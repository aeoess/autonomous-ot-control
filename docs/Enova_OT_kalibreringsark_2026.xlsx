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1d63738ac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_meg" sheetId="1" r:id="R3ea6dd66a8864702"/>
    <x:sheet xmlns:r="http://schemas.openxmlformats.org/officeDocument/2006/relationships" name="PDF_bygg_2015" sheetId="2" r:id="R5e0842e2154b473e"/>
    <x:sheet xmlns:r="http://schemas.openxmlformats.org/officeDocument/2006/relationships" name="Arsbenchmarks" sheetId="3" r:id="Rafdb81b77df94476"/>
    <x:sheet xmlns:r="http://schemas.openxmlformats.org/officeDocument/2006/relationships" name="Attest_utvalg" sheetId="4" r:id="Ra60edb096ef3410a"/>
    <x:sheet xmlns:r="http://schemas.openxmlformats.org/officeDocument/2006/relationships" name="Sammenhenger" sheetId="5" r:id="R0d147e3617c54f3e"/>
    <x:sheet xmlns:r="http://schemas.openxmlformats.org/officeDocument/2006/relationships" name="Forskning_rapporter" sheetId="6" r:id="R45623defe3c249f2"/>
    <x:sheet xmlns:r="http://schemas.openxmlformats.org/officeDocument/2006/relationships" name="OT_mapping" sheetId="7" r:id="R1153eb8e5a774b07"/>
    <x:sheet xmlns:r="http://schemas.openxmlformats.org/officeDocument/2006/relationships" name="Startprofiler" sheetId="8" r:id="R0572ba9bce9d44a6"/>
    <x:sheet xmlns:r="http://schemas.openxmlformats.org/officeDocument/2006/relationships" name="Datadictionary" sheetId="9" r:id="R7d4f8bf7a4f74d76"/>
    <x:sheet xmlns:r="http://schemas.openxmlformats.org/officeDocument/2006/relationships" name="Twin_270m2" sheetId="10" r:id="Rdb9d1223e9f44961"/>
    <x:sheet xmlns:r="http://schemas.openxmlformats.org/officeDocument/2006/relationships" name="Datakvalitet" sheetId="11" r:id="Re7a30479bdfe41ec"/>
    <x:sheet xmlns:r="http://schemas.openxmlformats.org/officeDocument/2006/relationships" name="Tiltak_og_sensorer" sheetId="12" r:id="R8e55250011e2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9bb37c3724c1e" /><Relationship Type="http://schemas.openxmlformats.org/officeDocument/2006/relationships/theme" Target="/xl/theme/theme1.xml" Id="Rfcf0644658f84bb6" /><Relationship Type="http://schemas.openxmlformats.org/officeDocument/2006/relationships/sharedStrings" Target="/xl/sharedStrings.xml" Id="Re5ac5dcfb4e646f4" /><Relationship Type="http://schemas.openxmlformats.org/officeDocument/2006/relationships/worksheet" Target="/xl/worksheets/sheet1.xml" Id="R3ea6dd66a8864702" /><Relationship Type="http://schemas.openxmlformats.org/officeDocument/2006/relationships/worksheet" Target="/xl/worksheets/sheet2.xml" Id="R5e0842e2154b473e" /><Relationship Type="http://schemas.openxmlformats.org/officeDocument/2006/relationships/worksheet" Target="/xl/worksheets/sheet3.xml" Id="Rafdb81b77df94476" /><Relationship Type="http://schemas.openxmlformats.org/officeDocument/2006/relationships/worksheet" Target="/xl/worksheets/sheet4.xml" Id="Ra60edb096ef3410a" /><Relationship Type="http://schemas.openxmlformats.org/officeDocument/2006/relationships/worksheet" Target="/xl/worksheets/sheet5.xml" Id="R0d147e3617c54f3e" /><Relationship Type="http://schemas.openxmlformats.org/officeDocument/2006/relationships/worksheet" Target="/xl/worksheets/sheet6.xml" Id="R45623defe3c249f2" /><Relationship Type="http://schemas.openxmlformats.org/officeDocument/2006/relationships/worksheet" Target="/xl/worksheets/sheet7.xml" Id="R1153eb8e5a774b07" /><Relationship Type="http://schemas.openxmlformats.org/officeDocument/2006/relationships/worksheet" Target="/xl/worksheets/sheet8.xml" Id="R0572ba9bce9d44a6" /><Relationship Type="http://schemas.openxmlformats.org/officeDocument/2006/relationships/worksheet" Target="/xl/worksheets/sheet9.xml" Id="R7d4f8bf7a4f74d76" /><Relationship Type="http://schemas.openxmlformats.org/officeDocument/2006/relationships/worksheet" Target="/xl/worksheets/sheet10.xml" Id="Rdb9d1223e9f44961" /><Relationship Type="http://schemas.openxmlformats.org/officeDocument/2006/relationships/worksheet" Target="/xl/worksheets/sheet11.xml" Id="Re7a30479bdfe41ec" /><Relationship Type="http://schemas.openxmlformats.org/officeDocument/2006/relationships/worksheet" Target="/xl/worksheets/sheet12.xml" Id="R8e55250011e2482b" /></Relationships>
</file>

<file path=xl/tables/table1.xml><?xml version="1.0" encoding="utf-8"?>
<x:table xmlns:x="http://schemas.openxmlformats.org/spreadsheetml/2006/main" id="1" name="READMEInfo" displayName="READMEInfo" ref="A1:B18" headerRowCount="1" totalsRowCount="0" totalsRowShown="0">
  <x:tableColumns count="2">
    <x:tableColumn id="1" name="TEMA"/>
    <x:tableColumn id="2" name="FORKLAR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DFBuildingCases" displayName="PDFBuildingCases" ref="A1:AZ537" headerRowCount="1" totalsRowCount="0" totalsRowShown="0">
  <x:tableColumns count="52">
    <x:tableColumn id="1" name="ID anonym"/>
    <x:tableColumn id="2" name="Attestår"/>
    <x:tableColumn id="3" name="Byggkategori"/>
    <x:tableColumn id="4" name="Bygningstype"/>
    <x:tableColumn id="5" name="Energikarakter"/>
    <x:tableColumn id="6" name="Oppv.farge"/>
    <x:tableColumn id="7" name="Byggeår"/>
    <x:tableColumn id="8" name="BRA (m²)"/>
    <x:tableColumn id="9" name="Beregnet levert (kWh/m²år)"/>
    <x:tableColumn id="10" name="Datagrunnlag"/>
    <x:tableColumn id="11" name="Yttervegger (m²)"/>
    <x:tableColumn id="12" name="Tak (m²)"/>
    <x:tableColumn id="13" name="Gulv (m²)"/>
    <x:tableColumn id="14" name="Vinduer+porter (m²)"/>
    <x:tableColumn id="15" name="U yttervegg (W/m²K)"/>
    <x:tableColumn id="16" name="U tak (W/m²K)"/>
    <x:tableColumn id="17" name="U gulv (W/m²K)"/>
    <x:tableColumn id="18" name="U vinduer (W/m²K)"/>
    <x:tableColumn id="19" name="Varmegjenvinner (%)"/>
    <x:tableColumn id="20" name="Gjenvinning årsjustert (%)"/>
    <x:tableColumn id="21" name="SFP i drift (kW/m³/s)"/>
    <x:tableColumn id="22" name="SFP utenfor drift (kW/m³/s)"/>
    <x:tableColumn id="23" name="Ventilasjon (m³/m²h)"/>
    <x:tableColumn id="24" name="Systemvirkningsgrad varme (%)"/>
    <x:tableColumn id="25" name="Dim. varmeeffekt (W/m²)"/>
    <x:tableColumn id="26" name="Dim. kjøleeffekt (W/m²)"/>
    <x:tableColumn id="27" name="Settpkt varme (°C)"/>
    <x:tableColumn id="28" name="Settpkt kjøling (°C)"/>
    <x:tableColumn id="29" name="Lekkasjetall n50 (1/h)"/>
    <x:tableColumn id="30" name="Norm. varmekapasitet (Wh/m²K)"/>
    <x:tableColumn id="31" name="Kuldebroverdi (W/m²K)"/>
    <x:tableColumn id="32" name="Drift ventilasjon (h/døgn)"/>
    <x:tableColumn id="33" name="Drift varme (h/døgn)"/>
    <x:tableColumn id="34" name="Drift kjøling (h/døgn)"/>
    <x:tableColumn id="35" name="Lys (W/m²)"/>
    <x:tableColumn id="36" name="Utstyr (W/m²)"/>
    <x:tableColumn id="37" name="Kjølefaktor (%)"/>
    <x:tableColumn id="38" name="Oppvarmingskilde"/>
    <x:tableColumn id="39" name="Tiltak ventilasjon gjenv."/>
    <x:tableColumn id="40" name="Tiltak behovstyring"/>
    <x:tableColumn id="41" name="Tiltak isolering"/>
    <x:tableColumn id="42" name="Tiltak vinduer"/>
    <x:tableColumn id="43" name="Tiltak varmepumpe"/>
    <x:tableColumn id="44" name="Tiltak EOS"/>
    <x:tableColumn id="45" name="Tiltak lys"/>
    <x:tableColumn id="46" name="Tiltak drift"/>
    <x:tableColumn id="47" name="Kilde"/>
    <x:tableColumn id="48" name="UA transmisjon (W/K) [beregnet]"/>
    <x:tableColumn id="49" name="UA/BRA (W/m²K) [beregnet]"/>
    <x:tableColumn id="50" name="C effektiv (J/K) [beregnet]"/>
    <x:tableColumn id="51" name="Varmeeffekt (W) [beregnet]"/>
    <x:tableColumn id="52" name="Kvalitet tekniske fe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nualBenchmarks" displayName="AnnualBenchmarks" ref="A1:J253" headerRowCount="1" totalsRowCount="0" totalsRowShown="0">
  <x:tableColumns count="10">
    <x:tableColumn id="1" name="Attestår"/>
    <x:tableColumn id="2" name="Byggkategori"/>
    <x:tableColumn id="3" name="Energikarakter"/>
    <x:tableColumn id="4" name="N attest total"/>
    <x:tableColumn id="5" name="N gyldig kWh/m²"/>
    <x:tableColumn id="6" name="P10 kWh/m²år"/>
    <x:tableColumn id="7" name="Median kWh/m²år"/>
    <x:tableColumn id="8" name="P90 kWh/m²år"/>
    <x:tableColumn id="9" name="Snitt kWh/m²år"/>
    <x:tableColumn id="10" name="Merkn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nualSamples" displayName="AnnualSamples" ref="A1:J1173" headerRowCount="1" totalsRowCount="0" totalsRowShown="0">
  <x:tableColumns count="10">
    <x:tableColumn id="1" name="Hash-kode"/>
    <x:tableColumn id="2" name="Attestår"/>
    <x:tableColumn id="3" name="Byggkategori"/>
    <x:tableColumn id="4" name="Energikarakter"/>
    <x:tableColumn id="5" name="Byggeår"/>
    <x:tableColumn id="6" name="Beregnet kWh/m²år"/>
    <x:tableColumn id="7" name="Registrering"/>
    <x:tableColumn id="8" name="Materialvalg"/>
    <x:tableColumn id="9" name="Dataart"/>
    <x:tableColumn id="10" name="Kildesf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bservedCorrelations" displayName="ObservedCorrelations" ref="A1:E37" headerRowCount="1" totalsRowCount="0" totalsRowShown="0">
  <x:tableColumns count="5">
    <x:tableColumn id="1" name="Segment"/>
    <x:tableColumn id="2" name="Variabel X"/>
    <x:tableColumn id="3" name="Antall par"/>
    <x:tableColumn id="4" name="Pearson r (X vs beregnet kWh/m²)"/>
    <x:tableColumn id="5" name="Tolk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Research" displayName="EvidenceResearch" ref="A1:G8" headerRowCount="1" totalsRowCount="0" totalsRowShown="0">
  <x:tableColumns count="7">
    <x:tableColumn id="1" name="Kilde"/>
    <x:tableColumn id="2" name="Fil"/>
    <x:tableColumn id="3" name="Tema"/>
    <x:tableColumn id="4" name="Hvor i kilden"/>
    <x:tableColumn id="5" name="Funn dokumentert i kilden"/>
    <x:tableColumn id="6" name="Konsekvens for OT-modell"/>
    <x:tableColumn id="7" name="Avgrensn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TParameterMapping" displayName="OTParameterMapping" ref="A1:G17" headerRowCount="1" totalsRowCount="0" totalsRowShown="0">
  <x:tableColumns count="7">
    <x:tableColumn id="1" name="Parameter i twin"/>
    <x:tableColumn id="2" name="Felt / metode"/>
    <x:tableColumn id="3" name="Enhet"/>
    <x:tableColumn id="4" name="Kildetype"/>
    <x:tableColumn id="5" name="Hvordan bruke"/>
    <x:tableColumn id="6" name="Sikkerhet/konfidens"/>
    <x:tableColumn id="7" name="Begrens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mpiricalPriors" displayName="EmpiricalPriors" ref="A1:N10" headerRowCount="1" totalsRowCount="0" totalsRowShown="0">
  <x:tableColumns count="14">
    <x:tableColumn id="1" name="Kategori"/>
    <x:tableColumn id="2" name="Arealgruppe"/>
    <x:tableColumn id="3" name="Antall PDF-bygg"/>
    <x:tableColumn id="4" name="Median BRA m²"/>
    <x:tableColumn id="5" name="Median kWh/m²år"/>
    <x:tableColumn id="6" name="U vegg"/>
    <x:tableColumn id="7" name="U vindu"/>
    <x:tableColumn id="8" name="Års-HRV %"/>
    <x:tableColumn id="9" name="Ventilasjonsluft m³/m²h"/>
    <x:tableColumn id="10" name="SFP drift"/>
    <x:tableColumn id="11" name="C normert Wh/m²K"/>
    <x:tableColumn id="12" name="Varme W/m²"/>
    <x:tableColumn id="13" name="UA trans/BRA W/m²K"/>
    <x:tableColumn id="14" name="Kvalit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librationDictionary" displayName="CalibrationDictionary" ref="A1:G23" headerRowCount="1" totalsRowCount="0" totalsRowShown="0">
  <x:tableColumns count="7">
    <x:tableColumn id="1" name="Feltnavn"/>
    <x:tableColumn id="2" name="Definisjon/metode"/>
    <x:tableColumn id="3" name="Enhet"/>
    <x:tableColumn id="4" name="Primærkilde"/>
    <x:tableColumn id="5" name="Bruksområde"/>
    <x:tableColumn id="6" name="Type"/>
    <x:tableColumn id="7" name="Begrensn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inCandidate" displayName="TwinCandidate" ref="A1:L4" headerRowCount="1" totalsRowCount="0" totalsRowShown="0">
  <x:tableColumns count="12">
    <x:tableColumn id="1" name="Sone"/>
    <x:tableColumn id="2" name="Areal m²"/>
    <x:tableColumn id="3" name="UA repo (W/K)"/>
    <x:tableColumn id="4" name="C repo (J/K)"/>
    <x:tableColumn id="5" name="Varme repo (W)"/>
    <x:tableColumn id="6" name="Eff repo"/>
    <x:tableColumn id="7" name="UA empirisk (W/K)"/>
    <x:tableColumn id="8" name="C empirisk (J/K)"/>
    <x:tableColumn id="9" name="Varme empirisk (W)"/>
    <x:tableColumn id="10" name="Eff empirisk"/>
    <x:tableColumn id="11" name="Status"/>
    <x:tableColumn id="12" name="Datakilde/merkna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ualityChecks" displayName="QualityChecks" ref="A1:C17" headerRowCount="1" totalsRowCount="0" totalsRowShown="0">
  <x:tableColumns count="3">
    <x:tableColumn id="1" name="Kontroll"/>
    <x:tableColumn id="2" name="Resultat"/>
    <x:tableColumn id="3" name="Hva betyr det?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asureMapping" displayName="MeasureMapping" ref="A1:E10" headerRowCount="1" totalsRowCount="0" totalsRowShown="0">
  <x:tableColumns count="5">
    <x:tableColumn id="1" name="Tema"/>
    <x:tableColumn id="2" name="Fra energiattest"/>
    <x:tableColumn id="3" name="Ekstra data som må måles"/>
    <x:tableColumn id="4" name="Viktig forbehold"/>
    <x:tableColumn id="5" name="Kil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0afd50468641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f1fa7256734f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0650992e4544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400e4f5a634a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848a5d22524f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22c070204e47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75a7e188f74c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0924e7364a4b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dfeba3ce8f440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ed304a3860846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65eb750916843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4a46c4c2f48495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5" hidden="0" customWidth="1"/>
  </x:cols>
  <x:sheetData>
    <x:row r="1" ht="26" customHeight="1">
      <x:c r="A1" s="5" t="str">
        <x:v>TEMA</x:v>
      </x:c>
      <x:c r="B1" s="5" t="str">
        <x:v>FORKLARING</x:v>
      </x:c>
    </x:row>
    <x:row r="2" ht="22" customHeight="1">
      <x:c r="A2" t="str">
        <x:v>FORMÅL</x:v>
      </x:c>
      <x:c r="B2" s="10" t="str">
        <x:v>Kalibreringsgrunnlag for autonomous-ot-control. Anonymiserte energiattestdata og kilder.</x:v>
      </x:c>
    </x:row>
    <x:row r="3" ht="22" customHeight="1">
      <x:c r="A3" t="str">
        <x:v>DATO</x:v>
      </x:c>
      <x:c r="B3" s="10" t="str">
        <x:v>2026-10-27 | Kun lokale kilder og GitHub-dokumentasjon kontrollert denne datoen.</x:v>
      </x:c>
    </x:row>
    <x:row r="4" ht="22" customHeight="1">
      <x:c r="A4" t="str">
        <x:v>FØRST</x:v>
      </x:c>
      <x:c r="B4" s="10" t="str">
        <x:v>PDF_bygg_2015: 536 bygg. 2015-utstedte energiattester, detaljer fra rapporterte PDF-vedlegg i eksisterende JSON-ekstraksjon.</x:v>
      </x:c>
    </x:row>
    <x:row r="5" ht="22" customHeight="1">
      <x:c r="A5" t="str">
        <x:v>DERETTER</x:v>
      </x:c>
      <x:c r="B5" s="10" t="str">
        <x:v>Årsbenchmarks: 2015, 2016, 2025; faktiske annualiserte beregnede energiverdier, filtrert for plausible enheter.</x:v>
      </x:c>
    </x:row>
    <x:row r="6" ht="22" customHeight="1">
      <x:c r="A6" t="str">
        <x:v>BREDDEN</x:v>
      </x:c>
      <x:c r="B6" s="10" t="str">
        <x:v>Attest_utvalg: anonymisert stratifisert utvalg fra årsfilene. Areal og U-verdier er ikke oppgitt i disse CSV-ene.</x:v>
      </x:c>
    </x:row>
    <x:row r="7" ht="22" customHeight="1">
      <x:c r="A7" t="str">
        <x:v>DATASTATUS</x:v>
      </x:c>
      <x:c r="B7" s="10" t="str">
        <x:v>PDF-data kommer fra tidligere maskinell PDF-ekstraksjon i energiattester_export, ikke nye PDF-nedlastinger. Tekstfelt kan være feilparset.</x:v>
      </x:c>
    </x:row>
    <x:row r="8" ht="22" customHeight="1">
      <x:c r="A8" t="str">
        <x:v>VIKTIG</x:v>
      </x:c>
      <x:c r="B8" s="10" t="str">
        <x:v>Beregnet levert energi kWh/m² per år er IKKE strømregning, timeserie, faktisk driftsenergi eller kontrollbesparelse.</x:v>
      </x:c>
    </x:row>
    <x:row r="9" ht="22" customHeight="1">
      <x:c r="A9" t="str">
        <x:v>VIKTIG</x:v>
      </x:c>
      <x:c r="B9" s="10" t="str">
        <x:v>Energikarakter fra ulike utstedelsesår skal ikke uten videre tolkes som sammenlignbare måleskalaer.</x:v>
      </x:c>
    </x:row>
    <x:row r="10" ht="22" customHeight="1">
      <x:c r="A10" t="str">
        <x:v>MODELL</x:v>
      </x:c>
      <x:c r="B10" s="10" t="str">
        <x:v>Tre-soners RC-demo: UA, thermal capacity J/K, varmeeffekt W, virkningsgrad; dette arket gir priorer, ikke ferdig kalibrering.</x:v>
      </x:c>
    </x:row>
    <x:row r="11" ht="22" customHeight="1">
      <x:c r="A11" t="str">
        <x:v>IKKE ADRESSER</x:v>
      </x:c>
      <x:c r="B11" s="10" t="str">
        <x:v>Ingen gateadresse, postnummer, organisasjonsnummer, eiernavn eller attestnummer eksponeres i hovedarket. Opaque hash-ID.</x:v>
      </x:c>
    </x:row>
    <x:row r="12" ht="22" customHeight="1">
      <x:c r="A12" t="str">
        <x:v>NEI TIL LEKKASJE-OMREGNING</x:v>
      </x:c>
      <x:c r="B12" s="10" t="str">
        <x:v>Lekkasjetall (typisk n50) kan ikke brukes direkte som infiltrasjonsluftmengde i drift uten tilleggsmodell.</x:v>
      </x:c>
    </x:row>
    <x:row r="13" ht="22" customHeight="1">
      <x:c r="A13" t="str">
        <x:v>MÅLEBEHOV</x:v>
      </x:c>
      <x:c r="B13" s="10" t="str">
        <x:v>Timeserie av temperatur ute/inne, varmeeffekt, aggregatdrift, luftmengde, settpunkt, brukstid, sol og energimåling.</x:v>
      </x:c>
    </x:row>
    <x:row r="14" ht="22" customHeight="1">
      <x:c r="A14" t="str">
        <x:v>GITHUB</x:v>
      </x:c>
      <x:c r="B14" s="10" t="str">
        <x:v>https://github.com/darklordVirtual/autonomous-ot-control</x:v>
      </x:c>
    </x:row>
    <x:row r="15" ht="22" customHeight="1">
      <x:c r="A15" t="str">
        <x:v>KONTRAKT</x:v>
      </x:c>
      <x:c r="B15" s="10" t="str">
        <x:v>https://github.com/darklordVirtual/autonomous-ot-control/blob/main/twin/fixtures/three-zone-v1.json</x:v>
      </x:c>
    </x:row>
    <x:row r="16" ht="22" customHeight="1">
      <x:c r="A16" t="str">
        <x:v>SIKKERHET</x:v>
      </x:c>
      <x:c r="B16" s="10" t="str">
        <x:v>Prosjektet beskriver kun simulert styring. Dette regnearket gir ikke grunnlag for fysisk BMS/OT-styring.</x:v>
      </x:c>
    </x:row>
    <x:row r="17" ht="22" customHeight="1">
      <x:c r="A17" t="str">
        <x:v>KILDER</x:v>
      </x:c>
      <x:c r="B17" s="10" t="str">
        <x:v>01012015_31122015.csv; 01012016_31122016enova.csv; 01012025_17082025_2025.csv; energiattester_export_2025-08-14.json; fire thesis-PDF-er.</x:v>
      </x:c>
    </x:row>
    <x:row r="18" ht="22" customHeight="1">
      <x:c r="A18" t="str">
        <x:v>KILDER</x:v>
      </x:c>
      <x:c r="B18" s="10" t="str">
        <x:v>Referanser og proveniens i Forskning_rapporter, Datadictionary og OT_mapping.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2e0afd50468641a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0" hidden="0" customWidth="1"/>
    <x:col min="4" max="4" width="3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34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48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</x:cols>
  <x:sheetData>
    <x:row r="1" ht="38" customHeight="1">
      <x:c r="A1" s="5" t="str">
        <x:v>ID anonym</x:v>
      </x:c>
      <x:c r="B1" s="5" t="str">
        <x:v>Attestår</x:v>
      </x:c>
      <x:c r="C1" s="5" t="str">
        <x:v>Byggkategori</x:v>
      </x:c>
      <x:c r="D1" s="5" t="str">
        <x:v>Bygningstype</x:v>
      </x:c>
      <x:c r="E1" s="5" t="str">
        <x:v>Energikarakter</x:v>
      </x:c>
      <x:c r="F1" s="5" t="str">
        <x:v>Oppv.farge</x:v>
      </x:c>
      <x:c r="G1" s="5" t="str">
        <x:v>Byggeår</x:v>
      </x:c>
      <x:c r="H1" s="5" t="str">
        <x:v>BRA (m²)</x:v>
      </x:c>
      <x:c r="I1" s="5" t="str">
        <x:v>Beregnet levert (kWh/m²år)</x:v>
      </x:c>
      <x:c r="J1" s="5" t="str">
        <x:v>Datagrunnlag</x:v>
      </x:c>
      <x:c r="K1" s="5" t="str">
        <x:v>Yttervegger (m²)</x:v>
      </x:c>
      <x:c r="L1" s="5" t="str">
        <x:v>Tak (m²)</x:v>
      </x:c>
      <x:c r="M1" s="5" t="str">
        <x:v>Gulv (m²)</x:v>
      </x:c>
      <x:c r="N1" s="5" t="str">
        <x:v>Vinduer+porter (m²)</x:v>
      </x:c>
      <x:c r="O1" s="5" t="str">
        <x:v>U yttervegg (W/m²K)</x:v>
      </x:c>
      <x:c r="P1" s="5" t="str">
        <x:v>U tak (W/m²K)</x:v>
      </x:c>
      <x:c r="Q1" s="5" t="str">
        <x:v>U gulv (W/m²K)</x:v>
      </x:c>
      <x:c r="R1" s="5" t="str">
        <x:v>U vinduer (W/m²K)</x:v>
      </x:c>
      <x:c r="S1" s="5" t="str">
        <x:v>Varmegjenvinner (%)</x:v>
      </x:c>
      <x:c r="T1" s="5" t="str">
        <x:v>Gjenvinning årsjustert (%)</x:v>
      </x:c>
      <x:c r="U1" s="5" t="str">
        <x:v>SFP i drift (kW/m³/s)</x:v>
      </x:c>
      <x:c r="V1" s="5" t="str">
        <x:v>SFP utenfor drift (kW/m³/s)</x:v>
      </x:c>
      <x:c r="W1" s="5" t="str">
        <x:v>Ventilasjon (m³/m²h)</x:v>
      </x:c>
      <x:c r="X1" s="5" t="str">
        <x:v>Systemvirkningsgrad varme (%)</x:v>
      </x:c>
      <x:c r="Y1" s="5" t="str">
        <x:v>Dim. varmeeffekt (W/m²)</x:v>
      </x:c>
      <x:c r="Z1" s="5" t="str">
        <x:v>Dim. kjøleeffekt (W/m²)</x:v>
      </x:c>
      <x:c r="AA1" s="5" t="str">
        <x:v>Settpkt varme (°C)</x:v>
      </x:c>
      <x:c r="AB1" s="5" t="str">
        <x:v>Settpkt kjøling (°C)</x:v>
      </x:c>
      <x:c r="AC1" s="5" t="str">
        <x:v>Lekkasjetall n50 (1/h)</x:v>
      </x:c>
      <x:c r="AD1" s="5" t="str">
        <x:v>Norm. varmekapasitet (Wh/m²K)</x:v>
      </x:c>
      <x:c r="AE1" s="5" t="str">
        <x:v>Kuldebroverdi (W/m²K)</x:v>
      </x:c>
      <x:c r="AF1" s="5" t="str">
        <x:v>Drift ventilasjon (h/døgn)</x:v>
      </x:c>
      <x:c r="AG1" s="5" t="str">
        <x:v>Drift varme (h/døgn)</x:v>
      </x:c>
      <x:c r="AH1" s="5" t="str">
        <x:v>Drift kjøling (h/døgn)</x:v>
      </x:c>
      <x:c r="AI1" s="5" t="str">
        <x:v>Lys (W/m²)</x:v>
      </x:c>
      <x:c r="AJ1" s="5" t="str">
        <x:v>Utstyr (W/m²)</x:v>
      </x:c>
      <x:c r="AK1" s="5" t="str">
        <x:v>Kjølefaktor (%)</x:v>
      </x:c>
      <x:c r="AL1" s="5" t="str">
        <x:v>Oppvarmingskilde</x:v>
      </x:c>
      <x:c r="AM1" s="5" t="str">
        <x:v>Tiltak ventilasjon gjenv.</x:v>
      </x:c>
      <x:c r="AN1" s="5" t="str">
        <x:v>Tiltak behovstyring</x:v>
      </x:c>
      <x:c r="AO1" s="5" t="str">
        <x:v>Tiltak isolering</x:v>
      </x:c>
      <x:c r="AP1" s="5" t="str">
        <x:v>Tiltak vinduer</x:v>
      </x:c>
      <x:c r="AQ1" s="5" t="str">
        <x:v>Tiltak varmepumpe</x:v>
      </x:c>
      <x:c r="AR1" s="5" t="str">
        <x:v>Tiltak EOS</x:v>
      </x:c>
      <x:c r="AS1" s="5" t="str">
        <x:v>Tiltak lys</x:v>
      </x:c>
      <x:c r="AT1" s="5" t="str">
        <x:v>Tiltak drift</x:v>
      </x:c>
      <x:c r="AU1" s="5" t="str">
        <x:v>Kilde</x:v>
      </x:c>
      <x:c r="AV1" s="5" t="str">
        <x:v>UA transmisjon (W/K) [beregnet]</x:v>
      </x:c>
      <x:c r="AW1" s="5" t="str">
        <x:v>UA/BRA (W/m²K) [beregnet]</x:v>
      </x:c>
      <x:c r="AX1" s="5" t="str">
        <x:v>C effektiv (J/K) [beregnet]</x:v>
      </x:c>
      <x:c r="AY1" s="5" t="str">
        <x:v>Varmeeffekt (W) [beregnet]</x:v>
      </x:c>
      <x:c r="AZ1" s="5" t="str">
        <x:v>Kvalitet tekniske felt</x:v>
      </x:c>
    </x:row>
    <x:row r="2" ht="22" customHeight="1">
      <x:c r="A2" t="str">
        <x:v>OT-77e73ccee3ec</x:v>
      </x:c>
      <x:c r="B2" t="n">
        <x:v>2015</x:v>
      </x:c>
      <x:c r="C2" t="str">
        <x:v>Kontorbygg</x:v>
      </x:c>
      <x:c r="D2" t="str">
        <x:v>KONTORER, MED VENTILASJON OG KJØLEANLEGG</x:v>
      </x:c>
      <x:c r="E2" t="str">
        <x:v>F</x:v>
      </x:c>
      <x:c r="F2" t="str">
        <x:v>GREEN</x:v>
      </x:c>
      <x:c r="G2" t="n">
        <x:v>1920</x:v>
      </x:c>
      <x:c r="H2" t="n">
        <x:v>1500</x:v>
      </x:c>
      <x:c r="I2" t="n">
        <x:v>220.8</x:v>
      </x:c>
      <x:c r="J2" t="str">
        <x:v>PDF/avansert</x:v>
      </x:c>
      <x:c r="K2" t="n">
        <x:v>625</x:v>
      </x:c>
      <x:c r="L2" t="n">
        <x:v>312</x:v>
      </x:c>
      <x:c r="M2" t="n">
        <x:v>312</x:v>
      </x:c>
      <x:c r="N2" t="n">
        <x:v>161</x:v>
      </x:c>
      <x:c r="O2" t="n">
        <x:v>0.4</x:v>
      </x:c>
      <x:c r="P2" t="n">
        <x:v>0.2</x:v>
      </x:c>
      <x:c r="Q2" t="n">
        <x:v>0.16</x:v>
      </x:c>
      <x:c r="R2" t="n">
        <x:v>3.11</x:v>
      </x:c>
      <x:c r="S2" t="n">
        <x:v>31</x:v>
      </x:c>
      <x:c r="T2" t="n">
        <x:v>31</x:v>
      </x:c>
      <x:c r="U2" t="n">
        <x:v>2.47</x:v>
      </x:c>
      <x:c r="V2" t="n">
        <x:v>0.26</x:v>
      </x:c>
      <x:c r="W2" t="n">
        <x:v>7</x:v>
      </x:c>
      <x:c r="X2" t="n">
        <x:v>83</x:v>
      </x:c>
      <x:c r="Y2" t="n">
        <x:v>62</x:v>
      </x:c>
      <x:c r="Z2" t="n">
        <x:v>12</x:v>
      </x:c>
      <x:c r="AA2" t="n">
        <x:v>21</x:v>
      </x:c>
      <x:c r="AB2" t="n">
        <x:v>22</x:v>
      </x:c>
      <x:c r="AC2" t="n">
        <x:v>2</x:v>
      </x:c>
      <x:c r="AD2" t="n">
        <x:v>95.1</x:v>
      </x:c>
      <x:c r="AE2" t="n">
        <x:v>0.06</x:v>
      </x:c>
      <x:c r="AF2" t="n">
        <x:v>12</x:v>
      </x:c>
      <x:c r="AG2" t="n">
        <x:v>12</x:v>
      </x:c>
      <x:c r="AH2" t="n">
        <x:v>24</x:v>
      </x:c>
      <x:c r="AI2" t="n">
        <x:v>8</x:v>
      </x:c>
      <x:c r="AJ2" t="n">
        <x:v>11</x:v>
      </x:c>
      <x:c r="AK2" t="n">
        <x:v>250</x:v>
      </x:c>
      <x:c r="AL2" t="str">
        <x:v>Fjernvarme;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1</x:v>
      </x:c>
      <x:c r="AS2" t="n">
        <x:v>1</x:v>
      </x:c>
      <x:c r="AT2" t="n">
        <x:v>0</x:v>
      </x:c>
      <x:c r="AU2" t="str">
        <x:v>energiattester_export_2025-08-14.json | PDF vedlegg side 5-7</x:v>
      </x:c>
      <x:c r="AV2" s="12" t="n">
        <x:f>IF(COUNT(O2,P2,Q2,R2,K2,L2,M2,N2)=8,O2*K2+P2*L2+Q2*M2+R2*N2,"")</x:f>
        <x:v>863.03</x:v>
      </x:c>
      <x:c r="AW2" s="12" t="n">
        <x:f>IF(AND(ISNUMBER(AV2),H2&gt;0),AV2/H2,"")</x:f>
        <x:v>0.5753533333333333</x:v>
      </x:c>
      <x:c r="AX2" s="12" t="n">
        <x:f>IF(AND(ISNUMBER(AD2),H2&gt;0),AD2*H2*3600,"")</x:f>
        <x:v>513540000</x:v>
      </x:c>
      <x:c r="AY2" s="12" t="n">
        <x:f>IF(AND(ISNUMBER(Y2),H2&gt;0),Y2*H2,"")</x:f>
        <x:v>93000</x:v>
      </x:c>
      <x:c r="AZ2" t="str">
        <x:v>Høy</x:v>
      </x:c>
    </x:row>
    <x:row r="3" ht="22" customHeight="1">
      <x:c r="A3" t="str">
        <x:v>OT-dc114cc6f7c1</x:v>
      </x:c>
      <x:c r="B3" t="n">
        <x:v>2015</x:v>
      </x:c>
      <x:c r="C3" t="str">
        <x:v>Hoteller</x:v>
      </x:c>
      <x:c r="D3" t="str">
        <x:v>BYGNING FOR OVERNATTING</x:v>
      </x:c>
      <x:c r="E3" t="str">
        <x:v>E</x:v>
      </x:c>
      <x:c r="F3" t="str">
        <x:v>GREEN</x:v>
      </x:c>
      <x:c r="G3" t="n">
        <x:v>2007</x:v>
      </x:c>
      <x:c r="H3" t="n">
        <x:v>7851</x:v>
      </x:c>
      <x:c r="I3" t="n">
        <x:v>328.8</x:v>
      </x:c>
      <x:c r="J3" t="str">
        <x:v>PDF/avansert</x:v>
      </x:c>
      <x:c r="K3" t="n">
        <x:v>2132</x:v>
      </x:c>
      <x:c r="L3" t="n">
        <x:v>2620</x:v>
      </x:c>
      <x:c r="M3" t="n">
        <x:v>2434</x:v>
      </x:c>
      <x:c r="N3" t="n">
        <x:v>2900</x:v>
      </x:c>
      <x:c r="O3" t="n">
        <x:v>0.19</x:v>
      </x:c>
      <x:c r="P3" t="n">
        <x:v>0.16</x:v>
      </x:c>
      <x:c r="Q3" t="n">
        <x:v>0.27</x:v>
      </x:c>
      <x:c r="R3" t="n">
        <x:v>1.46</x:v>
      </x:c>
      <x:c r="S3" t="n">
        <x:v>57</x:v>
      </x:c>
      <x:c r="T3" t="n">
        <x:v>57</x:v>
      </x:c>
      <x:c r="U3" t="n">
        <x:v>2.01</x:v>
      </x:c>
      <x:c r="V3" t="n">
        <x:v>0.26</x:v>
      </x:c>
      <x:c r="W3" t="n">
        <x:v>10</x:v>
      </x:c>
      <x:c r="X3" t="n">
        <x:v>87</x:v>
      </x:c>
      <x:c r="Y3" t="n">
        <x:v>117</x:v>
      </x:c>
      <x:c r="Z3" t="n">
        <x:v>77</x:v>
      </x:c>
      <x:c r="AA3" t="n">
        <x:v>21</x:v>
      </x:c>
      <x:c r="AB3" t="n">
        <x:v>22</x:v>
      </x:c>
      <x:c r="AC3" t="n">
        <x:v>2.86</x:v>
      </x:c>
      <x:c r="AD3" t="n">
        <x:v>69</x:v>
      </x:c>
      <x:c r="AE3" t="n">
        <x:v>0.1</x:v>
      </x:c>
      <x:c r="AF3" t="n">
        <x:v>16</x:v>
      </x:c>
      <x:c r="AG3" t="n">
        <x:v>16</x:v>
      </x:c>
      <x:c r="AH3" t="n">
        <x:v>24</x:v>
      </x:c>
      <x:c r="AI3" t="n">
        <x:v>7.2</x:v>
      </x:c>
      <x:c r="AJ3" t="n">
        <x:v>1</x:v>
      </x:c>
      <x:c r="AK3" t="n">
        <x:v>240</x:v>
      </x:c>
      <x:c r="AL3" t="str">
        <x:v>Direkte elektrisk; Fjernvarme;</x:v>
      </x:c>
      <x:c r="AM3" t="n">
        <x:v>1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str">
        <x:v>energiattester_export_2025-08-14.json | PDF vedlegg side 5-7</x:v>
      </x:c>
      <x:c r="AV3" s="12" t="n">
        <x:f>IF(COUNT(O3,P3,Q3,R3,K3,L3,M3,N3)=8,O3*K3+P3*L3+Q3*M3+R3*N3,"")</x:f>
        <x:v>5715.46</x:v>
      </x:c>
      <x:c r="AW3" s="12" t="n">
        <x:f>IF(AND(ISNUMBER(AV3),H3&gt;0),AV3/H3,"")</x:f>
        <x:v>0.7279913386829703</x:v>
      </x:c>
      <x:c r="AX3" s="12" t="n">
        <x:f>IF(AND(ISNUMBER(AD3),H3&gt;0),AD3*H3*3600,"")</x:f>
        <x:v>1950188400</x:v>
      </x:c>
      <x:c r="AY3" s="12" t="n">
        <x:f>IF(AND(ISNUMBER(Y3),H3&gt;0),Y3*H3,"")</x:f>
        <x:v>918567</x:v>
      </x:c>
      <x:c r="AZ3" t="str">
        <x:v>Høy</x:v>
      </x:c>
    </x:row>
    <x:row r="4" ht="22" customHeight="1">
      <x:c r="A4" t="str">
        <x:v>OT-ef8dfb743261</x:v>
      </x:c>
      <x:c r="B4" t="n">
        <x:v>2015</x:v>
      </x:c>
      <x:c r="C4" t="str">
        <x:v>Hoteller</x:v>
      </x:c>
      <x:c r="D4" t="str">
        <x:v>BYGNING FOR OVERNATTING</x:v>
      </x:c>
      <x:c r="E4" t="str">
        <x:v>G</x:v>
      </x:c>
      <x:c r="F4" t="str">
        <x:v>RED</x:v>
      </x:c>
      <x:c r="G4" t="n">
        <x:v>1977</x:v>
      </x:c>
      <x:c r="H4" t="n">
        <x:v>1053</x:v>
      </x:c>
      <x:c r="I4" t="n">
        <x:v>523</x:v>
      </x:c>
      <x:c r="J4" t="str">
        <x:v>PDF/avansert</x:v>
      </x:c>
      <x:c r="K4" t="n">
        <x:v>552</x:v>
      </x:c>
      <x:c r="L4" t="n">
        <x:v>522</x:v>
      </x:c>
      <x:c r="M4" t="n">
        <x:v>531</x:v>
      </x:c>
      <x:c r="N4" t="n">
        <x:v>155</x:v>
      </x:c>
      <x:c r="O4" t="n">
        <x:v>1.03</x:v>
      </x:c>
      <x:c r="P4" t="n">
        <x:v>0.27</x:v>
      </x:c>
      <x:c r="Q4" t="n">
        <x:v>0.67</x:v>
      </x:c>
      <x:c r="R4" t="n">
        <x:v>1.92</x:v>
      </x:c>
      <x:c r="S4" t="n">
        <x:v>10</x:v>
      </x:c>
      <x:c r="T4" t="n">
        <x:v>10</x:v>
      </x:c>
      <x:c r="U4" t="n">
        <x:v>2</x:v>
      </x:c>
      <x:c r="V4" t="n">
        <x:v>0.3</x:v>
      </x:c>
      <x:c r="W4" t="n">
        <x:v>10</x:v>
      </x:c>
      <x:c r="X4" t="n">
        <x:v>133</x:v>
      </x:c>
      <x:c r="Y4" t="n">
        <x:v>210</x:v>
      </x:c>
      <x:c r="Z4" t="n">
        <x:v>50</x:v>
      </x:c>
      <x:c r="AA4" t="n">
        <x:v>21</x:v>
      </x:c>
      <x:c r="AB4" t="n">
        <x:v>22</x:v>
      </x:c>
      <x:c r="AC4" t="n">
        <x:v>2.84</x:v>
      </x:c>
      <x:c r="AD4" t="n">
        <x:v>70.9</x:v>
      </x:c>
      <x:c r="AE4" t="n">
        <x:v>0.12</x:v>
      </x:c>
      <x:c r="AF4" t="n">
        <x:v>16</x:v>
      </x:c>
      <x:c r="AG4" t="n">
        <x:v>16</x:v>
      </x:c>
      <x:c r="AH4" t="n">
        <x:v>24</x:v>
      </x:c>
      <x:c r="AI4" t="n">
        <x:v>8</x:v>
      </x:c>
      <x:c r="AJ4" t="n">
        <x:v>1</x:v>
      </x:c>
      <x:c r="AK4" t="n">
        <x:v>250</x:v>
      </x:c>
      <x:c r="AL4" t="str">
        <x:v>Direkte elektrisk; Varmepumpe;</x:v>
      </x:c>
      <x:c r="AM4" t="n">
        <x:v>1</x:v>
      </x:c>
      <x:c r="AN4" t="n">
        <x:v>0</x:v>
      </x:c>
      <x:c r="AO4" t="n">
        <x:v>1</x:v>
      </x:c>
      <x:c r="AP4" t="n">
        <x:v>1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str">
        <x:v>energiattester_export_2025-08-14.json | PDF vedlegg side 5-7</x:v>
      </x:c>
      <x:c r="AV4" s="12" t="n">
        <x:f>IF(COUNT(O4,P4,Q4,R4,K4,L4,M4,N4)=8,O4*K4+P4*L4+Q4*M4+R4*N4,"")</x:f>
        <x:v>1362.87</x:v>
      </x:c>
      <x:c r="AW4" s="12" t="n">
        <x:f>IF(AND(ISNUMBER(AV4),H4&gt;0),AV4/H4,"")</x:f>
        <x:v>1.294273504273504</x:v>
      </x:c>
      <x:c r="AX4" s="12" t="n">
        <x:f>IF(AND(ISNUMBER(AD4),H4&gt;0),AD4*H4*3600,"")</x:f>
        <x:v>268767720.00000006</x:v>
      </x:c>
      <x:c r="AY4" s="12" t="n">
        <x:f>IF(AND(ISNUMBER(Y4),H4&gt;0),Y4*H4,"")</x:f>
        <x:v>221130</x:v>
      </x:c>
      <x:c r="AZ4" t="str">
        <x:v>Høy</x:v>
      </x:c>
    </x:row>
    <x:row r="5" ht="22" customHeight="1">
      <x:c r="A5" t="str">
        <x:v>OT-a8a1f76d4c7f</x:v>
      </x:c>
      <x:c r="B5" t="n">
        <x:v>2015</x:v>
      </x:c>
      <x:c r="C5" t="str">
        <x:v>Forretningsbygg</x:v>
      </x:c>
      <x:c r="D5" t="str">
        <x:v>BUTIKK MED KJØLE- / FRYSEROM</x:v>
      </x:c>
      <x:c r="E5" t="str">
        <x:v>E</x:v>
      </x:c>
      <x:c r="F5" t="str">
        <x:v>RED</x:v>
      </x:c>
      <x:c r="G5" t="n">
        <x:v>1996</x:v>
      </x:c>
      <x:c r="H5" t="n">
        <x:v>8598</x:v>
      </x:c>
      <x:c r="I5" t="n">
        <x:v>258.3</x:v>
      </x:c>
      <x:c r="J5" t="str">
        <x:v>PDF/avansert</x:v>
      </x:c>
      <x:c r="K5" t="n">
        <x:v>1665</x:v>
      </x:c>
      <x:c r="L5" t="n">
        <x:v>4461</x:v>
      </x:c>
      <x:c r="M5" t="n">
        <x:v>4679</x:v>
      </x:c>
      <x:c r="N5" t="n">
        <x:v>876</x:v>
      </x:c>
      <x:c r="O5" t="n">
        <x:v>0.29</x:v>
      </x:c>
      <x:c r="P5" t="n">
        <x:v>0.3</x:v>
      </x:c>
      <x:c r="Q5" t="n">
        <x:v>0.22</x:v>
      </x:c>
      <x:c r="R5" t="n">
        <x:v>2.73</x:v>
      </x:c>
      <x:c r="S5" t="n">
        <x:v>65</x:v>
      </x:c>
      <x:c r="T5" t="n">
        <x:v>65</x:v>
      </x:c>
      <x:c r="U5" t="n">
        <x:v>2.5</x:v>
      </x:c>
      <x:c r="V5" t="n">
        <x:v>0.23</x:v>
      </x:c>
      <x:c r="W5" t="n">
        <x:v>13</x:v>
      </x:c>
      <x:c r="X5" t="n">
        <x:v>89</x:v>
      </x:c>
      <x:c r="Y5" t="n">
        <x:v>80</x:v>
      </x:c>
      <x:c r="Z5" t="n">
        <x:v>62</x:v>
      </x:c>
      <x:c r="AA5" t="n">
        <x:v>21</x:v>
      </x:c>
      <x:c r="AB5" t="n">
        <x:v>22</x:v>
      </x:c>
      <x:c r="AC5" t="n">
        <x:v>2.63</x:v>
      </x:c>
      <x:c r="AD5" t="n">
        <x:v>158.7</x:v>
      </x:c>
      <x:c r="AE5" t="n">
        <x:v>0.12</x:v>
      </x:c>
      <x:c r="AF5" t="n">
        <x:v>12</x:v>
      </x:c>
      <x:c r="AG5" t="n">
        <x:v>12</x:v>
      </x:c>
      <x:c r="AH5" t="n">
        <x:v>24</x:v>
      </x:c>
      <x:c r="AI5" t="n">
        <x:v>15</x:v>
      </x:c>
      <x:c r="AJ5" t="n">
        <x:v>1</x:v>
      </x:c>
      <x:c r="AK5" t="n">
        <x:v>240</x:v>
      </x:c>
      <x:c r="AL5" t="str">
        <x:v>Direkte elektrisk;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1</x:v>
      </x:c>
      <x:c r="AS5" t="n">
        <x:v>1</x:v>
      </x:c>
      <x:c r="AT5" t="n">
        <x:v>1</x:v>
      </x:c>
      <x:c r="AU5" t="str">
        <x:v>energiattester_export_2025-08-14.json | PDF vedlegg side 5-7</x:v>
      </x:c>
      <x:c r="AV5" s="12" t="n">
        <x:f>IF(COUNT(O5,P5,Q5,R5,K5,L5,M5,N5)=8,O5*K5+P5*L5+Q5*M5+R5*N5,"")</x:f>
        <x:v>5242.01</x:v>
      </x:c>
      <x:c r="AW5" s="12" t="n">
        <x:f>IF(AND(ISNUMBER(AV5),H5&gt;0),AV5/H5,"")</x:f>
        <x:v>0.6096778320539661</x:v>
      </x:c>
      <x:c r="AX5" s="12" t="n">
        <x:f>IF(AND(ISNUMBER(AD5),H5&gt;0),AD5*H5*3600,"")</x:f>
        <x:v>4912209359.999999</x:v>
      </x:c>
      <x:c r="AY5" s="12" t="n">
        <x:f>IF(AND(ISNUMBER(Y5),H5&gt;0),Y5*H5,"")</x:f>
        <x:v>687840</x:v>
      </x:c>
      <x:c r="AZ5" t="str">
        <x:v>Høy</x:v>
      </x:c>
    </x:row>
    <x:row r="6" ht="22" customHeight="1">
      <x:c r="A6" t="str">
        <x:v>OT-356e37aa7a1a</x:v>
      </x:c>
      <x:c r="B6" t="n">
        <x:v>2015</x:v>
      </x:c>
      <x:c r="C6" t="str">
        <x:v>Kontorbygg</x:v>
      </x:c>
      <x:c r="D6" t="str">
        <x:v>KONTORER, MED VENTILASJON OG KJØLEANLEGG</x:v>
      </x:c>
      <x:c r="E6" t="str">
        <x:v>E</x:v>
      </x:c>
      <x:c r="F6" t="str">
        <x:v>RED</x:v>
      </x:c>
      <x:c r="G6" t="n">
        <x:v>1975</x:v>
      </x:c>
      <x:c r="H6" t="n">
        <x:v>5489</x:v>
      </x:c>
      <x:c r="I6" t="n">
        <x:v>210.8</x:v>
      </x:c>
      <x:c r="J6" t="str">
        <x:v>PDF/avansert</x:v>
      </x:c>
      <x:c r="K6" t="n">
        <x:v>1522</x:v>
      </x:c>
      <x:c r="L6" t="n">
        <x:v>2237</x:v>
      </x:c>
      <x:c r="M6" t="n">
        <x:v>2240</x:v>
      </x:c>
      <x:c r="N6" t="n">
        <x:v>588</x:v>
      </x:c>
      <x:c r="O6" t="n">
        <x:v>0.24</x:v>
      </x:c>
      <x:c r="P6" t="n">
        <x:v>0.25</x:v>
      </x:c>
      <x:c r="Q6" t="n">
        <x:v>0.09</x:v>
      </x:c>
      <x:c r="R6" t="n">
        <x:v>1.46</x:v>
      </x:c>
      <x:c r="S6" t="n">
        <x:v>70</x:v>
      </x:c>
      <x:c r="T6" t="n">
        <x:v>70</x:v>
      </x:c>
      <x:c r="U6" t="n">
        <x:v>2.5</x:v>
      </x:c>
      <x:c r="V6" t="n">
        <x:v>0.23</x:v>
      </x:c>
      <x:c r="W6" t="n">
        <x:v>13</x:v>
      </x:c>
      <x:c r="X6" t="n">
        <x:v>71</x:v>
      </x:c>
      <x:c r="Y6" t="n">
        <x:v>80</x:v>
      </x:c>
      <x:c r="Z6" t="n">
        <x:v>24</x:v>
      </x:c>
      <x:c r="AA6" t="n">
        <x:v>21</x:v>
      </x:c>
      <x:c r="AB6" t="n">
        <x:v>22</x:v>
      </x:c>
      <x:c r="AC6" t="n">
        <x:v>2.5</x:v>
      </x:c>
      <x:c r="AD6" t="n">
        <x:v>147</x:v>
      </x:c>
      <x:c r="AE6" t="n">
        <x:v>0.12</x:v>
      </x:c>
      <x:c r="AF6" t="n">
        <x:v>12</x:v>
      </x:c>
      <x:c r="AG6" t="n">
        <x:v>12</x:v>
      </x:c>
      <x:c r="AH6" t="n">
        <x:v>24</x:v>
      </x:c>
      <x:c r="AI6" t="n">
        <x:v>8</x:v>
      </x:c>
      <x:c r="AJ6" t="n">
        <x:v>11</x:v>
      </x:c>
      <x:c r="AK6" t="n">
        <x:v>250</x:v>
      </x:c>
      <x:c r="AL6" t="str">
        <x:v>Direkte elektrisk; Olje;</x:v>
      </x:c>
      <x:c r="AM6" t="n">
        <x:v>0</x:v>
      </x:c>
      <x:c r="AN6" t="n">
        <x:v>0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str">
        <x:v>energiattester_export_2025-08-14.json | PDF vedlegg side 5-7</x:v>
      </x:c>
      <x:c r="AV6" s="12" t="n">
        <x:f>IF(COUNT(O6,P6,Q6,R6,K6,L6,M6,N6)=8,O6*K6+P6*L6+Q6*M6+R6*N6,"")</x:f>
        <x:v>1984.61</x:v>
      </x:c>
      <x:c r="AW6" s="12" t="n">
        <x:f>IF(AND(ISNUMBER(AV6),H6&gt;0),AV6/H6,"")</x:f>
        <x:v>0.3615613044270359</x:v>
      </x:c>
      <x:c r="AX6" s="12" t="n">
        <x:f>IF(AND(ISNUMBER(AD6),H6&gt;0),AD6*H6*3600,"")</x:f>
        <x:v>2904778800</x:v>
      </x:c>
      <x:c r="AY6" s="12" t="n">
        <x:f>IF(AND(ISNUMBER(Y6),H6&gt;0),Y6*H6,"")</x:f>
        <x:v>439120</x:v>
      </x:c>
      <x:c r="AZ6" t="str">
        <x:v>Høy</x:v>
      </x:c>
    </x:row>
    <x:row r="7" ht="22" customHeight="1">
      <x:c r="A7" t="str">
        <x:v>OT-a0094175b182</x:v>
      </x:c>
      <x:c r="B7" t="n">
        <x:v>2015</x:v>
      </x:c>
      <x:c r="C7" t="str">
        <x:v>Kontorbygg</x:v>
      </x:c>
      <x:c r="D7" t="str">
        <x:v>ANNET KONTORBYGG</x:v>
      </x:c>
      <x:c r="E7" t="str">
        <x:v>D</x:v>
      </x:c>
      <x:c r="F7" t="str">
        <x:v>GREEN</x:v>
      </x:c>
      <x:c r="G7" t="n">
        <x:v>2000</x:v>
      </x:c>
      <x:c r="H7" t="n">
        <x:v>1039</x:v>
      </x:c>
      <x:c r="I7" t="n">
        <x:v>175.7</x:v>
      </x:c>
      <x:c r="J7" t="str">
        <x:v>PDF/avansert</x:v>
      </x:c>
      <x:c r="K7" t="n">
        <x:v>316</x:v>
      </x:c>
      <x:c r="L7" t="n">
        <x:v>1039</x:v>
      </x:c>
      <x:c r="M7" t="n">
        <x:v>0</x:v>
      </x:c>
      <x:c r="N7" t="n">
        <x:v>113</x:v>
      </x:c>
      <x:c r="O7" t="n">
        <x:v>1.11</x:v>
      </x:c>
      <x:c r="P7" t="n">
        <x:v>0.09</x:v>
      </x:c>
      <x:c r="Q7" t="n">
        <x:v>0</x:v>
      </x:c>
      <x:c r="R7" t="n">
        <x:v>1.48</x:v>
      </x:c>
      <x:c r="S7" t="n">
        <x:v>81</x:v>
      </x:c>
      <x:c r="T7" t="n">
        <x:v>81</x:v>
      </x:c>
      <x:c r="U7" t="n">
        <x:v>1.5</x:v>
      </x:c>
      <x:c r="V7" t="n">
        <x:v>0.28</x:v>
      </x:c>
      <x:c r="W7" t="n">
        <x:v>7.21</x:v>
      </x:c>
      <x:c r="X7" t="n">
        <x:v>85</x:v>
      </x:c>
      <x:c r="Y7" t="n">
        <x:v>68</x:v>
      </x:c>
      <x:c r="Z7" t="n">
        <x:v>19</x:v>
      </x:c>
      <x:c r="AA7" t="n">
        <x:v>21</x:v>
      </x:c>
      <x:c r="AB7" t="n">
        <x:v>22</x:v>
      </x:c>
      <x:c r="AC7" t="n">
        <x:v>3</x:v>
      </x:c>
      <x:c r="AD7" t="n">
        <x:v>88.8</x:v>
      </x:c>
      <x:c r="AE7" t="n">
        <x:v>0.11</x:v>
      </x:c>
      <x:c r="AF7" t="n">
        <x:v>12</x:v>
      </x:c>
      <x:c r="AG7" t="n">
        <x:v>12</x:v>
      </x:c>
      <x:c r="AH7" t="n">
        <x:v>24</x:v>
      </x:c>
      <x:c r="AI7" t="n">
        <x:v>8</x:v>
      </x:c>
      <x:c r="AJ7" t="n">
        <x:v>11</x:v>
      </x:c>
      <x:c r="AK7" t="n">
        <x:v>250</x:v>
      </x:c>
      <x:c r="AL7" t="str">
        <x:v>Fjernvarme;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</x:v>
      </x:c>
      <x:c r="AT7" t="n">
        <x:v>1</x:v>
      </x:c>
      <x:c r="AU7" t="str">
        <x:v>energiattester_export_2025-08-14.json | PDF vedlegg side 5-7</x:v>
      </x:c>
      <x:c r="AV7" s="12" t="n">
        <x:f>IF(COUNT(O7,P7,Q7,R7,K7,L7,M7,N7)=8,O7*K7+P7*L7+Q7*M7+R7*N7,"")</x:f>
        <x:v>611.51</x:v>
      </x:c>
      <x:c r="AW7" s="12" t="n">
        <x:f>IF(AND(ISNUMBER(AV7),H7&gt;0),AV7/H7,"")</x:f>
        <x:v>0.5885563041385948</x:v>
      </x:c>
      <x:c r="AX7" s="12" t="n">
        <x:f>IF(AND(ISNUMBER(AD7),H7&gt;0),AD7*H7*3600,"")</x:f>
        <x:v>332147520</x:v>
      </x:c>
      <x:c r="AY7" s="12" t="n">
        <x:f>IF(AND(ISNUMBER(Y7),H7&gt;0),Y7*H7,"")</x:f>
        <x:v>70652</x:v>
      </x:c>
      <x:c r="AZ7" t="str">
        <x:v>Høy</x:v>
      </x:c>
    </x:row>
    <x:row r="8" ht="22" customHeight="1">
      <x:c r="A8" t="str">
        <x:v>OT-654d6702f87c</x:v>
      </x:c>
      <x:c r="B8" t="n">
        <x:v>2015</x:v>
      </x:c>
      <x:c r="C8" t="str">
        <x:v>Hoteller</x:v>
      </x:c>
      <x:c r="D8" t="str">
        <x:v>RESTAURANTBYGNING</x:v>
      </x:c>
      <x:c r="E8" t="str">
        <x:v>D</x:v>
      </x:c>
      <x:c r="F8" t="str">
        <x:v>GREEN</x:v>
      </x:c>
      <x:c r="G8" t="n">
        <x:v>2000</x:v>
      </x:c>
      <x:c r="H8" t="n">
        <x:v>403</x:v>
      </x:c>
      <x:c r="I8" t="n">
        <x:v>245.6</x:v>
      </x:c>
      <x:c r="J8" t="str">
        <x:v>PDF/avansert</x:v>
      </x:c>
      <x:c r="K8" t="n">
        <x:v>84</x:v>
      </x:c>
      <x:c r="L8" t="n">
        <x:v>0</x:v>
      </x:c>
      <x:c r="M8" t="n">
        <x:v>402</x:v>
      </x:c>
      <x:c r="N8" t="n">
        <x:v>50</x:v>
      </x:c>
      <x:c r="O8" t="n">
        <x:v>1.3</x:v>
      </x:c>
      <x:c r="P8" t="n">
        <x:v>0</x:v>
      </x:c>
      <x:c r="Q8" t="n">
        <x:v>0.16</x:v>
      </x:c>
      <x:c r="R8" t="n">
        <x:v>1.67</x:v>
      </x:c>
      <x:c r="S8" t="n">
        <x:v>83</x:v>
      </x:c>
      <x:c r="T8" t="n">
        <x:v>83</x:v>
      </x:c>
      <x:c r="U8" t="n">
        <x:v>1.66</x:v>
      </x:c>
      <x:c r="V8" t="n">
        <x:v>0.21</x:v>
      </x:c>
      <x:c r="W8" t="n">
        <x:v>9.56</x:v>
      </x:c>
      <x:c r="X8" t="n">
        <x:v>85</x:v>
      </x:c>
      <x:c r="Y8" t="n">
        <x:v>71</x:v>
      </x:c>
      <x:c r="Z8" t="n">
        <x:v>0</x:v>
      </x:c>
      <x:c r="AA8" t="n">
        <x:v>21</x:v>
      </x:c>
      <x:c r="AB8" t="n">
        <x:v>22</x:v>
      </x:c>
      <x:c r="AC8" t="n">
        <x:v>3</x:v>
      </x:c>
      <x:c r="AD8" t="n">
        <x:v>114.5</x:v>
      </x:c>
      <x:c r="AE8" t="n">
        <x:v>0.11</x:v>
      </x:c>
      <x:c r="AF8" t="n">
        <x:v>16</x:v>
      </x:c>
      <x:c r="AG8" t="n">
        <x:v>16</x:v>
      </x:c>
      <x:c r="AH8" t="n">
        <x:v>24</x:v>
      </x:c>
      <x:c r="AI8" t="n">
        <x:v>8</x:v>
      </x:c>
      <x:c r="AJ8" t="n">
        <x:v>1</x:v>
      </x:c>
      <x:c r="AK8" t="n">
        <x:v>250</x:v>
      </x:c>
      <x:c r="AL8" t="str">
        <x:v>Fjernvarme;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1</x:v>
      </x:c>
      <x:c r="AT8" t="n">
        <x:v>1</x:v>
      </x:c>
      <x:c r="AU8" t="str">
        <x:v>energiattester_export_2025-08-14.json | PDF vedlegg side 5-7</x:v>
      </x:c>
      <x:c r="AV8" s="12" t="n">
        <x:f>IF(COUNT(O8,P8,Q8,R8,K8,L8,M8,N8)=8,O8*K8+P8*L8+Q8*M8+R8*N8,"")</x:f>
        <x:v>257.02</x:v>
      </x:c>
      <x:c r="AW8" s="12" t="n">
        <x:f>IF(AND(ISNUMBER(AV8),H8&gt;0),AV8/H8,"")</x:f>
        <x:v>0.6377667493796526</x:v>
      </x:c>
      <x:c r="AX8" s="12" t="n">
        <x:f>IF(AND(ISNUMBER(AD8),H8&gt;0),AD8*H8*3600,"")</x:f>
        <x:v>166116600</x:v>
      </x:c>
      <x:c r="AY8" s="12" t="n">
        <x:f>IF(AND(ISNUMBER(Y8),H8&gt;0),Y8*H8,"")</x:f>
        <x:v>28613</x:v>
      </x:c>
      <x:c r="AZ8" t="str">
        <x:v>Høy</x:v>
      </x:c>
    </x:row>
    <x:row r="9" ht="22" customHeight="1">
      <x:c r="A9" t="str">
        <x:v>OT-c973e9fd61e5</x:v>
      </x:c>
      <x:c r="B9" t="n">
        <x:v>2015</x:v>
      </x:c>
      <x:c r="C9" t="str">
        <x:v>Forretningsbygg</x:v>
      </x:c>
      <x:c r="D9" t="str">
        <x:v>BUTIKK</x:v>
      </x:c>
      <x:c r="E9" t="str">
        <x:v>D</x:v>
      </x:c>
      <x:c r="F9" t="str">
        <x:v>GREEN</x:v>
      </x:c>
      <x:c r="G9" t="n">
        <x:v>2000</x:v>
      </x:c>
      <x:c r="H9" t="n">
        <x:v>731</x:v>
      </x:c>
      <x:c r="I9" t="n">
        <x:v>234.7</x:v>
      </x:c>
      <x:c r="J9" t="str">
        <x:v>PDF/avansert</x:v>
      </x:c>
      <x:c r="K9" t="n">
        <x:v>343</x:v>
      </x:c>
      <x:c r="L9" t="n">
        <x:v>97</x:v>
      </x:c>
      <x:c r="M9" t="n">
        <x:v>731</x:v>
      </x:c>
      <x:c r="N9" t="n">
        <x:v>101</x:v>
      </x:c>
      <x:c r="O9" t="n">
        <x:v>0.88</x:v>
      </x:c>
      <x:c r="P9" t="n">
        <x:v>0.17</x:v>
      </x:c>
      <x:c r="Q9" t="n">
        <x:v>0.19</x:v>
      </x:c>
      <x:c r="R9" t="n">
        <x:v>1.5</x:v>
      </x:c>
      <x:c r="S9" t="n">
        <x:v>82</x:v>
      </x:c>
      <x:c r="T9" t="n">
        <x:v>82</x:v>
      </x:c>
      <x:c r="U9" t="n">
        <x:v>1.77</x:v>
      </x:c>
      <x:c r="V9" t="n">
        <x:v>0.16</x:v>
      </x:c>
      <x:c r="W9" t="n">
        <x:v>13.11</x:v>
      </x:c>
      <x:c r="X9" t="n">
        <x:v>85</x:v>
      </x:c>
      <x:c r="Y9" t="n">
        <x:v>73</x:v>
      </x:c>
      <x:c r="Z9" t="n">
        <x:v>0</x:v>
      </x:c>
      <x:c r="AA9" t="n">
        <x:v>21</x:v>
      </x:c>
      <x:c r="AB9" t="n">
        <x:v>22</x:v>
      </x:c>
      <x:c r="AC9" t="n">
        <x:v>2.77</x:v>
      </x:c>
      <x:c r="AD9" t="n">
        <x:v>105.9</x:v>
      </x:c>
      <x:c r="AE9" t="n">
        <x:v>0.11</x:v>
      </x:c>
      <x:c r="AF9" t="n">
        <x:v>12</x:v>
      </x:c>
      <x:c r="AG9" t="n">
        <x:v>12</x:v>
      </x:c>
      <x:c r="AH9" t="n">
        <x:v>24</x:v>
      </x:c>
      <x:c r="AI9" t="n">
        <x:v>15</x:v>
      </x:c>
      <x:c r="AJ9" t="n">
        <x:v>1</x:v>
      </x:c>
      <x:c r="AK9" t="n">
        <x:v>250</x:v>
      </x:c>
      <x:c r="AL9" t="str">
        <x:v>Fjernvarme;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1</x:v>
      </x:c>
      <x:c r="AT9" t="n">
        <x:v>1</x:v>
      </x:c>
      <x:c r="AU9" t="str">
        <x:v>energiattester_export_2025-08-14.json | PDF vedlegg side 5-7</x:v>
      </x:c>
      <x:c r="AV9" s="12" t="n">
        <x:f>IF(COUNT(O9,P9,Q9,R9,K9,L9,M9,N9)=8,O9*K9+P9*L9+Q9*M9+R9*N9,"")</x:f>
        <x:v>608.72</x:v>
      </x:c>
      <x:c r="AW9" s="12" t="n">
        <x:f>IF(AND(ISNUMBER(AV9),H9&gt;0),AV9/H9,"")</x:f>
        <x:v>0.8327222982216143</x:v>
      </x:c>
      <x:c r="AX9" s="12" t="n">
        <x:f>IF(AND(ISNUMBER(AD9),H9&gt;0),AD9*H9*3600,"")</x:f>
        <x:v>278686440.00000006</x:v>
      </x:c>
      <x:c r="AY9" s="12" t="n">
        <x:f>IF(AND(ISNUMBER(Y9),H9&gt;0),Y9*H9,"")</x:f>
        <x:v>53363</x:v>
      </x:c>
      <x:c r="AZ9" t="str">
        <x:v>Høy</x:v>
      </x:c>
    </x:row>
    <x:row r="10" ht="22" customHeight="1">
      <x:c r="A10" t="str">
        <x:v>OT-44e8f9899e97</x:v>
      </x:c>
      <x:c r="B10" t="n">
        <x:v>2015</x:v>
      </x:c>
      <x:c r="C10" t="str">
        <x:v>Forretningsbygg</x:v>
      </x:c>
      <x:c r="D10" t="str">
        <x:v>BUTIKK</x:v>
      </x:c>
      <x:c r="E10" t="str">
        <x:v>G</x:v>
      </x:c>
      <x:c r="F10" t="str">
        <x:v>RED</x:v>
      </x:c>
      <x:c r="G10" t="n">
        <x:v>1938</x:v>
      </x:c>
      <x:c r="H10" t="n">
        <x:v>994</x:v>
      </x:c>
      <x:c r="I10" t="n">
        <x:v>544.6</x:v>
      </x:c>
      <x:c r="J10" t="str">
        <x:v>PDF/avansert</x:v>
      </x:c>
      <x:c r="K10" t="n">
        <x:v>169</x:v>
      </x:c>
      <x:c r="L10" t="n">
        <x:v>0</x:v>
      </x:c>
      <x:c r="M10" t="n">
        <x:v>994</x:v>
      </x:c>
      <x:c r="N10" t="n">
        <x:v>117</x:v>
      </x:c>
      <x:c r="O10" t="n">
        <x:v>0.87</x:v>
      </x:c>
      <x:c r="P10" t="n">
        <x:v>0</x:v>
      </x:c>
      <x:c r="Q10" t="n">
        <x:v>1.88</x:v>
      </x:c>
      <x:c r="R10" t="n">
        <x:v>3.01</x:v>
      </x:c>
      <x:c r="S10" t="n">
        <x:v>75</x:v>
      </x:c>
      <x:c r="T10" t="n">
        <x:v>75</x:v>
      </x:c>
      <x:c r="U10" t="n">
        <x:v>2</x:v>
      </x:c>
      <x:c r="V10" t="n">
        <x:v>0.38</x:v>
      </x:c>
      <x:c r="W10" t="n">
        <x:v>20</x:v>
      </x:c>
      <x:c r="X10" t="n">
        <x:v>79</x:v>
      </x:c>
      <x:c r="Y10" t="n">
        <x:v>80</x:v>
      </x:c>
      <x:c r="Z10" t="n">
        <x:v>30</x:v>
      </x:c>
      <x:c r="AA10" t="n">
        <x:v>21</x:v>
      </x:c>
      <x:c r="AB10" t="n">
        <x:v>22</x:v>
      </x:c>
      <x:c r="AC10" t="n">
        <x:v>2</x:v>
      </x:c>
      <x:c r="AD10" t="n">
        <x:v>73</x:v>
      </x:c>
      <x:c r="AE10" t="n">
        <x:v>0.1</x:v>
      </x:c>
      <x:c r="AF10" t="n">
        <x:v>12</x:v>
      </x:c>
      <x:c r="AG10" t="n">
        <x:v>12</x:v>
      </x:c>
      <x:c r="AH10" t="n">
        <x:v>24</x:v>
      </x:c>
      <x:c r="AI10" t="n">
        <x:v>15</x:v>
      </x:c>
      <x:c r="AJ10" t="n">
        <x:v>1</x:v>
      </x:c>
      <x:c r="AK10" t="n">
        <x:v>250</x:v>
      </x:c>
      <x:c r="AL10" t="str">
        <x:v>Direkte elektrisk; Olje;</x:v>
      </x:c>
      <x:c r="AM10" t="n">
        <x:v>0</x:v>
      </x:c>
      <x:c r="AN10" t="n">
        <x:v>0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0</x:v>
      </x:c>
      <x:c r="AU10" t="str">
        <x:v>energiattester_export_2025-08-14.json | PDF vedlegg side 5-7</x:v>
      </x:c>
      <x:c r="AV10" s="12" t="n">
        <x:f>IF(COUNT(O10,P10,Q10,R10,K10,L10,M10,N10)=8,O10*K10+P10*L10+Q10*M10+R10*N10,"")</x:f>
        <x:v>2367.9199999999996</x:v>
      </x:c>
      <x:c r="AW10" s="12" t="n">
        <x:f>IF(AND(ISNUMBER(AV10),H10&gt;0),AV10/H10,"")</x:f>
        <x:v>2.382213279678068</x:v>
      </x:c>
      <x:c r="AX10" s="12" t="n">
        <x:f>IF(AND(ISNUMBER(AD10),H10&gt;0),AD10*H10*3600,"")</x:f>
        <x:v>261223200</x:v>
      </x:c>
      <x:c r="AY10" s="12" t="n">
        <x:f>IF(AND(ISNUMBER(Y10),H10&gt;0),Y10*H10,"")</x:f>
        <x:v>79520</x:v>
      </x:c>
      <x:c r="AZ10" t="str">
        <x:v>Høy</x:v>
      </x:c>
    </x:row>
    <x:row r="11" ht="22" customHeight="1">
      <x:c r="A11" t="str">
        <x:v>OT-50c6944343b3</x:v>
      </x:c>
      <x:c r="B11" t="n">
        <x:v>2015</x:v>
      </x:c>
      <x:c r="C11" t="str">
        <x:v>Kontorbygg</x:v>
      </x:c>
      <x:c r="D11" t="str">
        <x:v>KONTORER, ENKLE</x:v>
      </x:c>
      <x:c r="E11" t="str">
        <x:v>G</x:v>
      </x:c>
      <x:c r="F11" t="str">
        <x:v>RED</x:v>
      </x:c>
      <x:c r="G11" t="n">
        <x:v>1938</x:v>
      </x:c>
      <x:c r="H11" t="n">
        <x:v>1732</x:v>
      </x:c>
      <x:c r="I11" t="n">
        <x:v>286.4</x:v>
      </x:c>
      <x:c r="J11" t="str">
        <x:v>PDF/avansert</x:v>
      </x:c>
      <x:c r="K11" t="n">
        <x:v>734</x:v>
      </x:c>
      <x:c r="L11" t="n">
        <x:v>606</x:v>
      </x:c>
      <x:c r="M11" t="n">
        <x:v>549</x:v>
      </x:c>
      <x:c r="N11" t="n">
        <x:v>233</x:v>
      </x:c>
      <x:c r="O11" t="n">
        <x:v>1.1</x:v>
      </x:c>
      <x:c r="P11" t="n">
        <x:v>0.2</x:v>
      </x:c>
      <x:c r="Q11" t="n">
        <x:v>0.56</x:v>
      </x:c>
      <x:c r="R11" t="n">
        <x:v>2.79</x:v>
      </x:c>
      <x:c r="S11" t="n">
        <x:v>75</x:v>
      </x:c>
      <x:c r="T11" t="n">
        <x:v>75</x:v>
      </x:c>
      <x:c r="U11" t="n">
        <x:v>2</x:v>
      </x:c>
      <x:c r="V11" t="n">
        <x:v>0.45</x:v>
      </x:c>
      <x:c r="W11" t="n">
        <x:v>10</x:v>
      </x:c>
      <x:c r="X11" t="n">
        <x:v>74</x:v>
      </x:c>
      <x:c r="Y11" t="n">
        <x:v>80</x:v>
      </x:c>
      <x:c r="Z11" t="n">
        <x:v>30</x:v>
      </x:c>
      <x:c r="AA11" t="n">
        <x:v>21</x:v>
      </x:c>
      <x:c r="AB11" t="n">
        <x:v>22</x:v>
      </x:c>
      <x:c r="AC11" t="n">
        <x:v>1.9</x:v>
      </x:c>
      <x:c r="AD11" t="n">
        <x:v>56.3</x:v>
      </x:c>
      <x:c r="AE11" t="n">
        <x:v>0.1</x:v>
      </x:c>
      <x:c r="AF11" t="n">
        <x:v>12</x:v>
      </x:c>
      <x:c r="AG11" t="n">
        <x:v>12</x:v>
      </x:c>
      <x:c r="AH11" t="n">
        <x:v>24</x:v>
      </x:c>
      <x:c r="AI11" t="n">
        <x:v>8</x:v>
      </x:c>
      <x:c r="AJ11" t="n">
        <x:v>11</x:v>
      </x:c>
      <x:c r="AK11" t="n">
        <x:v>250</x:v>
      </x:c>
      <x:c r="AL11" t="str">
        <x:v>Direkte elektrisk; Olje;</x:v>
      </x:c>
      <x:c r="AM11" t="n">
        <x:v>0</x:v>
      </x:c>
      <x:c r="AN11" t="n">
        <x:v>0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0</x:v>
      </x:c>
      <x:c r="AT11" t="n">
        <x:v>0</x:v>
      </x:c>
      <x:c r="AU11" t="str">
        <x:v>energiattester_export_2025-08-14.json | PDF vedlegg side 5-7</x:v>
      </x:c>
      <x:c r="AV11" s="12" t="n">
        <x:f>IF(COUNT(O11,P11,Q11,R11,K11,L11,M11,N11)=8,O11*K11+P11*L11+Q11*M11+R11*N11,"")</x:f>
        <x:v>1886.1100000000001</x:v>
      </x:c>
      <x:c r="AW11" s="12" t="n">
        <x:f>IF(AND(ISNUMBER(AV11),H11&gt;0),AV11/H11,"")</x:f>
        <x:v>1.0889780600461894</x:v>
      </x:c>
      <x:c r="AX11" s="12" t="n">
        <x:f>IF(AND(ISNUMBER(AD11),H11&gt;0),AD11*H11*3600,"")</x:f>
        <x:v>351041759.99999994</x:v>
      </x:c>
      <x:c r="AY11" s="12" t="n">
        <x:f>IF(AND(ISNUMBER(Y11),H11&gt;0),Y11*H11,"")</x:f>
        <x:v>138560</x:v>
      </x:c>
      <x:c r="AZ11" t="str">
        <x:v>Høy</x:v>
      </x:c>
    </x:row>
    <x:row r="12" ht="22" customHeight="1">
      <x:c r="A12" t="str">
        <x:v>OT-7d8c484d857f</x:v>
      </x:c>
      <x:c r="B12" t="n">
        <x:v>2015</x:v>
      </x:c>
      <x:c r="C12" t="str">
        <x:v>Kontorbygg</x:v>
      </x:c>
      <x:c r="D12" t="str">
        <x:v>KONTORER, ENKLE</x:v>
      </x:c>
      <x:c r="E12" t="str">
        <x:v>E</x:v>
      </x:c>
      <x:c r="F12" t="str">
        <x:v>RED</x:v>
      </x:c>
      <x:c r="G12" t="n">
        <x:v>1950</x:v>
      </x:c>
      <x:c r="H12" t="n">
        <x:v>6188</x:v>
      </x:c>
      <x:c r="I12" t="n">
        <x:v>185.3</x:v>
      </x:c>
      <x:c r="J12" t="str">
        <x:v>PDF/avansert</x:v>
      </x:c>
      <x:c r="K12" t="n">
        <x:v>1406</x:v>
      </x:c>
      <x:c r="L12" t="n">
        <x:v>1652</x:v>
      </x:c>
      <x:c r="M12" t="n">
        <x:v>0</x:v>
      </x:c>
      <x:c r="N12" t="n">
        <x:v>589</x:v>
      </x:c>
      <x:c r="O12" t="n">
        <x:v>0.68</x:v>
      </x:c>
      <x:c r="P12" t="n">
        <x:v>0.2</x:v>
      </x:c>
      <x:c r="Q12" t="n">
        <x:v>0</x:v>
      </x:c>
      <x:c r="R12" t="n">
        <x:v>2.81</x:v>
      </x:c>
      <x:c r="S12" t="n">
        <x:v>75</x:v>
      </x:c>
      <x:c r="T12" t="n">
        <x:v>75</x:v>
      </x:c>
      <x:c r="U12" t="n">
        <x:v>2</x:v>
      </x:c>
      <x:c r="V12" t="n">
        <x:v>0.45</x:v>
      </x:c>
      <x:c r="W12" t="n">
        <x:v>10</x:v>
      </x:c>
      <x:c r="X12" t="n">
        <x:v>74</x:v>
      </x:c>
      <x:c r="Y12" t="n">
        <x:v>80</x:v>
      </x:c>
      <x:c r="Z12" t="n">
        <x:v>30</x:v>
      </x:c>
      <x:c r="AA12" t="n">
        <x:v>21</x:v>
      </x:c>
      <x:c r="AB12" t="n">
        <x:v>22</x:v>
      </x:c>
      <x:c r="AC12" t="n">
        <x:v>1.7</x:v>
      </x:c>
      <x:c r="AD12" t="n">
        <x:v>25.3</x:v>
      </x:c>
      <x:c r="AE12" t="n">
        <x:v>0.1</x:v>
      </x:c>
      <x:c r="AF12" t="n">
        <x:v>12</x:v>
      </x:c>
      <x:c r="AG12" t="n">
        <x:v>12</x:v>
      </x:c>
      <x:c r="AH12" t="n">
        <x:v>24</x:v>
      </x:c>
      <x:c r="AI12" t="n">
        <x:v>8</x:v>
      </x:c>
      <x:c r="AJ12" t="n">
        <x:v>11</x:v>
      </x:c>
      <x:c r="AK12" t="n">
        <x:v>250</x:v>
      </x:c>
      <x:c r="AL12" t="str">
        <x:v>Direkte elektrisk; Olje;</x:v>
      </x:c>
      <x:c r="AM12" t="n">
        <x:v>0</x:v>
      </x:c>
      <x:c r="AN12" t="n">
        <x:v>0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0</x:v>
      </x:c>
      <x:c r="AT12" t="n">
        <x:v>0</x:v>
      </x:c>
      <x:c r="AU12" t="str">
        <x:v>energiattester_export_2025-08-14.json | PDF vedlegg side 5-7</x:v>
      </x:c>
      <x:c r="AV12" s="12" t="n">
        <x:f>IF(COUNT(O12,P12,Q12,R12,K12,L12,M12,N12)=8,O12*K12+P12*L12+Q12*M12+R12*N12,"")</x:f>
        <x:v>2941.5699999999997</x:v>
      </x:c>
      <x:c r="AW12" s="12" t="n">
        <x:f>IF(AND(ISNUMBER(AV12),H12&gt;0),AV12/H12,"")</x:f>
        <x:v>0.47536683904330956</x:v>
      </x:c>
      <x:c r="AX12" s="12" t="n">
        <x:f>IF(AND(ISNUMBER(AD12),H12&gt;0),AD12*H12*3600,"")</x:f>
        <x:v>563603040</x:v>
      </x:c>
      <x:c r="AY12" s="12" t="n">
        <x:f>IF(AND(ISNUMBER(Y12),H12&gt;0),Y12*H12,"")</x:f>
        <x:v>495040</x:v>
      </x:c>
      <x:c r="AZ12" t="str">
        <x:v>Høy</x:v>
      </x:c>
    </x:row>
    <x:row r="13" ht="22" customHeight="1">
      <x:c r="A13" t="str">
        <x:v>OT-488d9dbc77ba</x:v>
      </x:c>
      <x:c r="B13" t="n">
        <x:v>2015</x:v>
      </x:c>
      <x:c r="C13" t="str">
        <x:v>Kontorbygg</x:v>
      </x:c>
      <x:c r="D13" t="str">
        <x:v>KONTORER, ENKLE</x:v>
      </x:c>
      <x:c r="E13" t="str">
        <x:v>G</x:v>
      </x:c>
      <x:c r="F13" t="str">
        <x:v>RED</x:v>
      </x:c>
      <x:c r="G13" t="n">
        <x:v>1974</x:v>
      </x:c>
      <x:c r="H13" t="n">
        <x:v>1440</x:v>
      </x:c>
      <x:c r="I13" t="n">
        <x:v>294.9</x:v>
      </x:c>
      <x:c r="J13" t="str">
        <x:v>PDF/avansert</x:v>
      </x:c>
      <x:c r="K13" t="n">
        <x:v>756</x:v>
      </x:c>
      <x:c r="L13" t="n">
        <x:v>480</x:v>
      </x:c>
      <x:c r="M13" t="n">
        <x:v>480</x:v>
      </x:c>
      <x:c r="N13" t="n">
        <x:v>225</x:v>
      </x:c>
      <x:c r="O13" t="n">
        <x:v>0.48</x:v>
      </x:c>
      <x:c r="P13" t="n">
        <x:v>0.47</x:v>
      </x:c>
      <x:c r="Q13" t="n">
        <x:v>0.18</x:v>
      </x:c>
      <x:c r="R13" t="n">
        <x:v>2.75</x:v>
      </x:c>
      <x:c r="S13" t="n">
        <x:v>0</x:v>
      </x:c>
      <x:c r="T13" t="n">
        <x:v>0</x:v>
      </x:c>
      <x:c r="U13" t="n">
        <x:v>2</x:v>
      </x:c>
      <x:c r="V13" t="n">
        <x:v>0.43</x:v>
      </x:c>
      <x:c r="W13" t="n">
        <x:v>7</x:v>
      </x:c>
      <x:c r="X13" t="n">
        <x:v>89</x:v>
      </x:c>
      <x:c r="Y13" t="n">
        <x:v>50</x:v>
      </x:c>
      <x:c r="Z13" t="n">
        <x:v>0</x:v>
      </x:c>
      <x:c r="AA13" t="n">
        <x:v>21</x:v>
      </x:c>
      <x:c r="AB13" t="n">
        <x:v>22</x:v>
      </x:c>
      <x:c r="AC13" t="n">
        <x:v>3</x:v>
      </x:c>
      <x:c r="AD13" t="n">
        <x:v>53.6</x:v>
      </x:c>
      <x:c r="AE13" t="n">
        <x:v>0.12</x:v>
      </x:c>
      <x:c r="AF13" t="n">
        <x:v>12</x:v>
      </x:c>
      <x:c r="AG13" t="n">
        <x:v>12</x:v>
      </x:c>
      <x:c r="AH13" t="n">
        <x:v>24</x:v>
      </x:c>
      <x:c r="AI13" t="n">
        <x:v>8</x:v>
      </x:c>
      <x:c r="AJ13" t="n">
        <x:v>11</x:v>
      </x:c>
      <x:c r="AK13" t="n">
        <x:v>250</x:v>
      </x:c>
      <x:c r="AL13" t="str">
        <x:v>Direkte elektrisk;</x:v>
      </x:c>
      <x:c r="AM13" t="n">
        <x:v>1</x:v>
      </x:c>
      <x:c r="AN13" t="n">
        <x:v>0</x:v>
      </x:c>
      <x:c r="AO13" t="n">
        <x:v>1</x:v>
      </x:c>
      <x:c r="AP13" t="n">
        <x:v>1</x:v>
      </x:c>
      <x:c r="AQ13" t="n">
        <x:v>0</x:v>
      </x:c>
      <x:c r="AR13" t="n">
        <x:v>1</x:v>
      </x:c>
      <x:c r="AS13" t="n">
        <x:v>1</x:v>
      </x:c>
      <x:c r="AT13" t="n">
        <x:v>1</x:v>
      </x:c>
      <x:c r="AU13" t="str">
        <x:v>energiattester_export_2025-08-14.json | PDF vedlegg side 5-7</x:v>
      </x:c>
      <x:c r="AV13" s="12" t="n">
        <x:f>IF(COUNT(O13,P13,Q13,R13,K13,L13,M13,N13)=8,O13*K13+P13*L13+Q13*M13+R13*N13,"")</x:f>
        <x:v>1293.63</x:v>
      </x:c>
      <x:c r="AW13" s="12" t="n">
        <x:f>IF(AND(ISNUMBER(AV13),H13&gt;0),AV13/H13,"")</x:f>
        <x:v>0.8983541666666668</x:v>
      </x:c>
      <x:c r="AX13" s="12" t="n">
        <x:f>IF(AND(ISNUMBER(AD13),H13&gt;0),AD13*H13*3600,"")</x:f>
        <x:v>277862400</x:v>
      </x:c>
      <x:c r="AY13" s="12" t="n">
        <x:f>IF(AND(ISNUMBER(Y13),H13&gt;0),Y13*H13,"")</x:f>
        <x:v>72000</x:v>
      </x:c>
      <x:c r="AZ13" t="str">
        <x:v>Høy</x:v>
      </x:c>
    </x:row>
    <x:row r="14" ht="22" customHeight="1">
      <x:c r="A14" t="str">
        <x:v>OT-c81961be9ce6</x:v>
      </x:c>
      <x:c r="B14" t="n">
        <x:v>2015</x:v>
      </x:c>
      <x:c r="C14" t="str">
        <x:v>Forretningsbygg</x:v>
      </x:c>
      <x:c r="D14" t="str">
        <x:v>BUTIKK</x:v>
      </x:c>
      <x:c r="E14" t="str">
        <x:v>G</x:v>
      </x:c>
      <x:c r="F14" t="str">
        <x:v>ORANGE</x:v>
      </x:c>
      <x:c r="G14" t="n">
        <x:v>1973</x:v>
      </x:c>
      <x:c r="H14" t="n">
        <x:v>656</x:v>
      </x:c>
      <x:c r="I14" t="n">
        <x:v>449.8</x:v>
      </x:c>
      <x:c r="J14" t="str">
        <x:v>PDF/avansert</x:v>
      </x:c>
      <x:c r="K14" t="n">
        <x:v>192</x:v>
      </x:c>
      <x:c r="L14" t="n">
        <x:v>656</x:v>
      </x:c>
      <x:c r="M14" t="n">
        <x:v>0</x:v>
      </x:c>
      <x:c r="N14" t="n">
        <x:v>134</x:v>
      </x:c>
      <x:c r="O14" t="n">
        <x:v>0.37</x:v>
      </x:c>
      <x:c r="P14" t="n">
        <x:v>0.6</x:v>
      </x:c>
      <x:c r="Q14" t="n">
        <x:v>0</x:v>
      </x:c>
      <x:c r="R14" t="n">
        <x:v>2.62</x:v>
      </x:c>
      <x:c r="S14" t="n">
        <x:v>0</x:v>
      </x:c>
      <x:c r="T14" t="n">
        <x:v>0</x:v>
      </x:c>
      <x:c r="U14" t="n">
        <x:v>3.5</x:v>
      </x:c>
      <x:c r="V14" t="n">
        <x:v>0.23</x:v>
      </x:c>
      <x:c r="W14" t="n">
        <x:v>13</x:v>
      </x:c>
      <x:c r="X14" t="n">
        <x:v>154</x:v>
      </x:c>
      <x:c r="Y14" t="n">
        <x:v>226</x:v>
      </x:c>
      <x:c r="Z14" t="n">
        <x:v>55</x:v>
      </x:c>
      <x:c r="AA14" t="n">
        <x:v>21</x:v>
      </x:c>
      <x:c r="AB14" t="n">
        <x:v>22</x:v>
      </x:c>
      <x:c r="AC14" t="n">
        <x:v>5</x:v>
      </x:c>
      <x:c r="AD14" t="n">
        <x:v>87.5</x:v>
      </x:c>
      <x:c r="AE14" t="n">
        <x:v>0.12</x:v>
      </x:c>
      <x:c r="AF14" t="n">
        <x:v>12</x:v>
      </x:c>
      <x:c r="AG14" t="n">
        <x:v>12</x:v>
      </x:c>
      <x:c r="AH14" t="n">
        <x:v>24</x:v>
      </x:c>
      <x:c r="AI14" t="n">
        <x:v>15</x:v>
      </x:c>
      <x:c r="AJ14" t="n">
        <x:v>1</x:v>
      </x:c>
      <x:c r="AK14" t="n">
        <x:v>250</x:v>
      </x:c>
      <x:c r="AL14" t="str">
        <x:v>Direkte elektrisk; Olje; Varmepumpe;</x:v>
      </x:c>
      <x:c r="AM14" t="n">
        <x:v>0</x:v>
      </x:c>
      <x:c r="AN14" t="n">
        <x:v>0</x:v>
      </x:c>
      <x:c r="AO14" t="n">
        <x:v>1</x:v>
      </x:c>
      <x:c r="AP14" t="n">
        <x:v>1</x:v>
      </x:c>
      <x:c r="AQ14" t="n">
        <x:v>0</x:v>
      </x:c>
      <x:c r="AR14" t="n">
        <x:v>1</x:v>
      </x:c>
      <x:c r="AS14" t="n">
        <x:v>1</x:v>
      </x:c>
      <x:c r="AT14" t="n">
        <x:v>1</x:v>
      </x:c>
      <x:c r="AU14" t="str">
        <x:v>energiattester_export_2025-08-14.json | PDF vedlegg side 5-7</x:v>
      </x:c>
      <x:c r="AV14" s="12" t="n">
        <x:f>IF(COUNT(O14,P14,Q14,R14,K14,L14,M14,N14)=8,O14*K14+P14*L14+Q14*M14+R14*N14,"")</x:f>
        <x:v>815.72</x:v>
      </x:c>
      <x:c r="AW14" s="12" t="n">
        <x:f>IF(AND(ISNUMBER(AV14),H14&gt;0),AV14/H14,"")</x:f>
        <x:v>1.2434756097560975</x:v>
      </x:c>
      <x:c r="AX14" s="12" t="n">
        <x:f>IF(AND(ISNUMBER(AD14),H14&gt;0),AD14*H14*3600,"")</x:f>
        <x:v>206640000</x:v>
      </x:c>
      <x:c r="AY14" s="12" t="n">
        <x:f>IF(AND(ISNUMBER(Y14),H14&gt;0),Y14*H14,"")</x:f>
        <x:v>148256</x:v>
      </x:c>
      <x:c r="AZ14" t="str">
        <x:v>Høy</x:v>
      </x:c>
    </x:row>
    <x:row r="15" ht="22" customHeight="1">
      <x:c r="A15" t="str">
        <x:v>OT-286c463a2586</x:v>
      </x:c>
      <x:c r="B15" t="n">
        <x:v>2015</x:v>
      </x:c>
      <x:c r="C15" t="str">
        <x:v>Forretningsbygg</x:v>
      </x:c>
      <x:c r="D15" t="str">
        <x:v>BUTIKK</x:v>
      </x:c>
      <x:c r="E15" t="str">
        <x:v>B</x:v>
      </x:c>
      <x:c r="F15" t="str">
        <x:v>RED</x:v>
      </x:c>
      <x:c r="G15" t="n">
        <x:v>2015</x:v>
      </x:c>
      <x:c r="H15" t="n">
        <x:v>1167</x:v>
      </x:c>
      <x:c r="I15" t="n">
        <x:v>152.3</x:v>
      </x:c>
      <x:c r="J15" t="str">
        <x:v>PDF/avansert</x:v>
      </x:c>
      <x:c r="K15" t="n">
        <x:v>672</x:v>
      </x:c>
      <x:c r="L15" t="n">
        <x:v>481</x:v>
      </x:c>
      <x:c r="M15" t="n">
        <x:v>481</x:v>
      </x:c>
      <x:c r="N15" t="n">
        <x:v>226</x:v>
      </x:c>
      <x:c r="O15" t="n">
        <x:v>0.16</x:v>
      </x:c>
      <x:c r="P15" t="n">
        <x:v>0.12</x:v>
      </x:c>
      <x:c r="Q15" t="n">
        <x:v>0.15</x:v>
      </x:c>
      <x:c r="R15" t="n">
        <x:v>1.22</x:v>
      </x:c>
      <x:c r="S15" t="n">
        <x:v>75</x:v>
      </x:c>
      <x:c r="T15" t="n">
        <x:v>75</x:v>
      </x:c>
      <x:c r="U15" t="n">
        <x:v>2</x:v>
      </x:c>
      <x:c r="V15" t="n">
        <x:v>0.08</x:v>
      </x:c>
      <x:c r="W15" t="n">
        <x:v>13</x:v>
      </x:c>
      <x:c r="X15" t="n">
        <x:v>155</x:v>
      </x:c>
      <x:c r="Y15" t="n">
        <x:v>86</x:v>
      </x:c>
      <x:c r="Z15" t="n">
        <x:v>39</x:v>
      </x:c>
      <x:c r="AA15" t="n">
        <x:v>21</x:v>
      </x:c>
      <x:c r="AB15" t="n">
        <x:v>22</x:v>
      </x:c>
      <x:c r="AC15" t="n">
        <x:v>2.5</x:v>
      </x:c>
      <x:c r="AD15" t="n">
        <x:v>102.7</x:v>
      </x:c>
      <x:c r="AE15" t="n">
        <x:v>0.03</x:v>
      </x:c>
      <x:c r="AF15" t="n">
        <x:v>12</x:v>
      </x:c>
      <x:c r="AG15" t="n">
        <x:v>12</x:v>
      </x:c>
      <x:c r="AH15" t="n">
        <x:v>24</x:v>
      </x:c>
      <x:c r="AI15" t="n">
        <x:v>15</x:v>
      </x:c>
      <x:c r="AJ15" t="n">
        <x:v>1</x:v>
      </x:c>
      <x:c r="AK15" t="n">
        <x:v>250</x:v>
      </x:c>
      <x:c r="AL15" t="str">
        <x:v>Direkte elektrisk; Varmepumpe;</x:v>
      </x:c>
      <x:c r="AM15" t="n">
        <x:v>0</x:v>
      </x:c>
      <x:c r="AN15" t="n">
        <x:v>0</x:v>
      </x:c>
      <x:c r="AO15" t="n">
        <x:v>1</x:v>
      </x:c>
      <x:c r="AP15" t="n">
        <x:v>1</x:v>
      </x:c>
      <x:c r="AQ15" t="n">
        <x:v>1</x:v>
      </x:c>
      <x:c r="AR15" t="n">
        <x:v>1</x:v>
      </x:c>
      <x:c r="AS15" t="n">
        <x:v>1</x:v>
      </x:c>
      <x:c r="AT15" t="n">
        <x:v>1</x:v>
      </x:c>
      <x:c r="AU15" t="str">
        <x:v>energiattester_export_2025-08-14.json | PDF vedlegg side 5-7</x:v>
      </x:c>
      <x:c r="AV15" s="12" t="n">
        <x:f>IF(COUNT(O15,P15,Q15,R15,K15,L15,M15,N15)=8,O15*K15+P15*L15+Q15*M15+R15*N15,"")</x:f>
        <x:v>513.1099999999999</x:v>
      </x:c>
      <x:c r="AW15" s="12" t="n">
        <x:f>IF(AND(ISNUMBER(AV15),H15&gt;0),AV15/H15,"")</x:f>
        <x:v>0.4396829477292201</x:v>
      </x:c>
      <x:c r="AX15" s="12" t="n">
        <x:f>IF(AND(ISNUMBER(AD15),H15&gt;0),AD15*H15*3600,"")</x:f>
        <x:v>431463240.00000006</x:v>
      </x:c>
      <x:c r="AY15" s="12" t="n">
        <x:f>IF(AND(ISNUMBER(Y15),H15&gt;0),Y15*H15,"")</x:f>
        <x:v>100362</x:v>
      </x:c>
      <x:c r="AZ15" t="str">
        <x:v>Høy</x:v>
      </x:c>
    </x:row>
    <x:row r="16" ht="22" customHeight="1">
      <x:c r="A16" t="str">
        <x:v>OT-333ac71954b6</x:v>
      </x:c>
      <x:c r="B16" t="n">
        <x:v>2015</x:v>
      </x:c>
      <x:c r="C16" t="str">
        <x:v>Forretningsbygg</x:v>
      </x:c>
      <x:c r="D16" t="str">
        <x:v>BUTIKK</x:v>
      </x:c>
      <x:c r="E16" t="str">
        <x:v>G</x:v>
      </x:c>
      <x:c r="F16" t="str">
        <x:v>RED</x:v>
      </x:c>
      <x:c r="G16" t="n">
        <x:v>1938</x:v>
      </x:c>
      <x:c r="H16" t="n">
        <x:v>994</x:v>
      </x:c>
      <x:c r="I16" t="n">
        <x:v>544.6</x:v>
      </x:c>
      <x:c r="J16" t="str">
        <x:v>PDF/avansert</x:v>
      </x:c>
      <x:c r="K16" t="n">
        <x:v>169</x:v>
      </x:c>
      <x:c r="L16" t="n">
        <x:v>0</x:v>
      </x:c>
      <x:c r="M16" t="n">
        <x:v>994</x:v>
      </x:c>
      <x:c r="N16" t="n">
        <x:v>117</x:v>
      </x:c>
      <x:c r="O16" t="n">
        <x:v>0.87</x:v>
      </x:c>
      <x:c r="P16" t="n">
        <x:v>0</x:v>
      </x:c>
      <x:c r="Q16" t="n">
        <x:v>1.88</x:v>
      </x:c>
      <x:c r="R16" t="n">
        <x:v>3.01</x:v>
      </x:c>
      <x:c r="S16" t="n">
        <x:v>75</x:v>
      </x:c>
      <x:c r="T16" t="n">
        <x:v>75</x:v>
      </x:c>
      <x:c r="U16" t="n">
        <x:v>2</x:v>
      </x:c>
      <x:c r="V16" t="n">
        <x:v>0.38</x:v>
      </x:c>
      <x:c r="W16" t="n">
        <x:v>20</x:v>
      </x:c>
      <x:c r="X16" t="n">
        <x:v>79</x:v>
      </x:c>
      <x:c r="Y16" t="n">
        <x:v>80</x:v>
      </x:c>
      <x:c r="Z16" t="n">
        <x:v>30</x:v>
      </x:c>
      <x:c r="AA16" t="n">
        <x:v>21</x:v>
      </x:c>
      <x:c r="AB16" t="n">
        <x:v>22</x:v>
      </x:c>
      <x:c r="AC16" t="n">
        <x:v>2</x:v>
      </x:c>
      <x:c r="AD16" t="n">
        <x:v>73</x:v>
      </x:c>
      <x:c r="AE16" t="n">
        <x:v>0.1</x:v>
      </x:c>
      <x:c r="AF16" t="n">
        <x:v>12</x:v>
      </x:c>
      <x:c r="AG16" t="n">
        <x:v>12</x:v>
      </x:c>
      <x:c r="AH16" t="n">
        <x:v>24</x:v>
      </x:c>
      <x:c r="AI16" t="n">
        <x:v>15</x:v>
      </x:c>
      <x:c r="AJ16" t="n">
        <x:v>1</x:v>
      </x:c>
      <x:c r="AK16" t="n">
        <x:v>250</x:v>
      </x:c>
      <x:c r="AL16" t="str">
        <x:v>Direkte elektrisk; Olje;</x:v>
      </x:c>
      <x:c r="AM16" t="n">
        <x:v>0</x:v>
      </x:c>
      <x:c r="AN16" t="n">
        <x:v>0</x:v>
      </x:c>
      <x:c r="AO16" t="n">
        <x:v>1</x:v>
      </x:c>
      <x:c r="AP16" t="n">
        <x:v>1</x:v>
      </x:c>
      <x:c r="AQ16" t="n">
        <x:v>1</x:v>
      </x:c>
      <x:c r="AR16" t="n">
        <x:v>1</x:v>
      </x:c>
      <x:c r="AS16" t="n">
        <x:v>1</x:v>
      </x:c>
      <x:c r="AT16" t="n">
        <x:v>0</x:v>
      </x:c>
      <x:c r="AU16" t="str">
        <x:v>energiattester_export_2025-08-14.json | PDF vedlegg side 5-7</x:v>
      </x:c>
      <x:c r="AV16" s="12" t="n">
        <x:f>IF(COUNT(O16,P16,Q16,R16,K16,L16,M16,N16)=8,O16*K16+P16*L16+Q16*M16+R16*N16,"")</x:f>
        <x:v>2367.9199999999996</x:v>
      </x:c>
      <x:c r="AW16" s="12" t="n">
        <x:f>IF(AND(ISNUMBER(AV16),H16&gt;0),AV16/H16,"")</x:f>
        <x:v>2.382213279678068</x:v>
      </x:c>
      <x:c r="AX16" s="12" t="n">
        <x:f>IF(AND(ISNUMBER(AD16),H16&gt;0),AD16*H16*3600,"")</x:f>
        <x:v>261223200</x:v>
      </x:c>
      <x:c r="AY16" s="12" t="n">
        <x:f>IF(AND(ISNUMBER(Y16),H16&gt;0),Y16*H16,"")</x:f>
        <x:v>79520</x:v>
      </x:c>
      <x:c r="AZ16" t="str">
        <x:v>Høy</x:v>
      </x:c>
    </x:row>
    <x:row r="17" ht="22" customHeight="1">
      <x:c r="A17" t="str">
        <x:v>OT-2bf3f7290806</x:v>
      </x:c>
      <x:c r="B17" t="n">
        <x:v>2015</x:v>
      </x:c>
      <x:c r="C17" t="str">
        <x:v>Kontorbygg</x:v>
      </x:c>
      <x:c r="D17" t="str">
        <x:v>KONTORER, ENKLE</x:v>
      </x:c>
      <x:c r="E17" t="str">
        <x:v>G</x:v>
      </x:c>
      <x:c r="F17" t="str">
        <x:v>RED</x:v>
      </x:c>
      <x:c r="G17" t="n">
        <x:v>1938</x:v>
      </x:c>
      <x:c r="H17" t="n">
        <x:v>1732</x:v>
      </x:c>
      <x:c r="I17" t="n">
        <x:v>286.4</x:v>
      </x:c>
      <x:c r="J17" t="str">
        <x:v>PDF/avansert</x:v>
      </x:c>
      <x:c r="K17" t="n">
        <x:v>734</x:v>
      </x:c>
      <x:c r="L17" t="n">
        <x:v>606</x:v>
      </x:c>
      <x:c r="M17" t="n">
        <x:v>549</x:v>
      </x:c>
      <x:c r="N17" t="n">
        <x:v>233</x:v>
      </x:c>
      <x:c r="O17" t="n">
        <x:v>1.1</x:v>
      </x:c>
      <x:c r="P17" t="n">
        <x:v>0.2</x:v>
      </x:c>
      <x:c r="Q17" t="n">
        <x:v>0.56</x:v>
      </x:c>
      <x:c r="R17" t="n">
        <x:v>2.79</x:v>
      </x:c>
      <x:c r="S17" t="n">
        <x:v>75</x:v>
      </x:c>
      <x:c r="T17" t="n">
        <x:v>75</x:v>
      </x:c>
      <x:c r="U17" t="n">
        <x:v>2</x:v>
      </x:c>
      <x:c r="V17" t="n">
        <x:v>0.45</x:v>
      </x:c>
      <x:c r="W17" t="n">
        <x:v>10</x:v>
      </x:c>
      <x:c r="X17" t="n">
        <x:v>74</x:v>
      </x:c>
      <x:c r="Y17" t="n">
        <x:v>80</x:v>
      </x:c>
      <x:c r="Z17" t="n">
        <x:v>30</x:v>
      </x:c>
      <x:c r="AA17" t="n">
        <x:v>21</x:v>
      </x:c>
      <x:c r="AB17" t="n">
        <x:v>22</x:v>
      </x:c>
      <x:c r="AC17" t="n">
        <x:v>1.9</x:v>
      </x:c>
      <x:c r="AD17" t="n">
        <x:v>56.3</x:v>
      </x:c>
      <x:c r="AE17" t="n">
        <x:v>0.1</x:v>
      </x:c>
      <x:c r="AF17" t="n">
        <x:v>12</x:v>
      </x:c>
      <x:c r="AG17" t="n">
        <x:v>12</x:v>
      </x:c>
      <x:c r="AH17" t="n">
        <x:v>24</x:v>
      </x:c>
      <x:c r="AI17" t="n">
        <x:v>8</x:v>
      </x:c>
      <x:c r="AJ17" t="n">
        <x:v>11</x:v>
      </x:c>
      <x:c r="AK17" t="n">
        <x:v>250</x:v>
      </x:c>
      <x:c r="AL17" t="str">
        <x:v>Direkte elektrisk; Olje;</x:v>
      </x:c>
      <x:c r="AM17" t="n">
        <x:v>0</x:v>
      </x:c>
      <x:c r="AN17" t="n">
        <x:v>0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0</x:v>
      </x:c>
      <x:c r="AT17" t="n">
        <x:v>0</x:v>
      </x:c>
      <x:c r="AU17" t="str">
        <x:v>energiattester_export_2025-08-14.json | PDF vedlegg side 5-7</x:v>
      </x:c>
      <x:c r="AV17" s="12" t="n">
        <x:f>IF(COUNT(O17,P17,Q17,R17,K17,L17,M17,N17)=8,O17*K17+P17*L17+Q17*M17+R17*N17,"")</x:f>
        <x:v>1886.1100000000001</x:v>
      </x:c>
      <x:c r="AW17" s="12" t="n">
        <x:f>IF(AND(ISNUMBER(AV17),H17&gt;0),AV17/H17,"")</x:f>
        <x:v>1.0889780600461894</x:v>
      </x:c>
      <x:c r="AX17" s="12" t="n">
        <x:f>IF(AND(ISNUMBER(AD17),H17&gt;0),AD17*H17*3600,"")</x:f>
        <x:v>351041759.99999994</x:v>
      </x:c>
      <x:c r="AY17" s="12" t="n">
        <x:f>IF(AND(ISNUMBER(Y17),H17&gt;0),Y17*H17,"")</x:f>
        <x:v>138560</x:v>
      </x:c>
      <x:c r="AZ17" t="str">
        <x:v>Høy</x:v>
      </x:c>
    </x:row>
    <x:row r="18" ht="22" customHeight="1">
      <x:c r="A18" t="str">
        <x:v>OT-f37c5917e434</x:v>
      </x:c>
      <x:c r="B18" t="n">
        <x:v>2015</x:v>
      </x:c>
      <x:c r="C18" t="str">
        <x:v>Kontorbygg</x:v>
      </x:c>
      <x:c r="D18" t="str">
        <x:v>ANNET KONTORBYGG</x:v>
      </x:c>
      <x:c r="E18" t="str">
        <x:v>E</x:v>
      </x:c>
      <x:c r="F18" t="str">
        <x:v>GREEN</x:v>
      </x:c>
      <x:c r="G18" t="n">
        <x:v>2014</x:v>
      </x:c>
      <x:c r="H18" t="n">
        <x:v>186</x:v>
      </x:c>
      <x:c r="I18" t="n">
        <x:v>219.1</x:v>
      </x:c>
      <x:c r="J18" t="str">
        <x:v>PDF/avansert</x:v>
      </x:c>
      <x:c r="K18" t="n">
        <x:v>153</x:v>
      </x:c>
      <x:c r="L18" t="n">
        <x:v>40</x:v>
      </x:c>
      <x:c r="M18" t="n">
        <x:v>92</x:v>
      </x:c>
      <x:c r="N18" t="n">
        <x:v>37</x:v>
      </x:c>
      <x:c r="O18" t="n">
        <x:v>0.16</x:v>
      </x:c>
      <x:c r="P18" t="n">
        <x:v>0.13</x:v>
      </x:c>
      <x:c r="Q18" t="n">
        <x:v>0.13</x:v>
      </x:c>
      <x:c r="R18" t="n">
        <x:v>1.27</x:v>
      </x:c>
      <x:c r="S18" t="n">
        <x:v>45</x:v>
      </x:c>
      <x:c r="T18" t="n">
        <x:v>45</x:v>
      </x:c>
      <x:c r="U18" t="n">
        <x:v>1.52</x:v>
      </x:c>
      <x:c r="V18" t="n">
        <x:v>0.23</x:v>
      </x:c>
      <x:c r="W18" t="n">
        <x:v>9.86</x:v>
      </x:c>
      <x:c r="X18" t="n">
        <x:v>83</x:v>
      </x:c>
      <x:c r="Y18" t="n">
        <x:v>150</x:v>
      </x:c>
      <x:c r="Z18" t="n">
        <x:v>0</x:v>
      </x:c>
      <x:c r="AA18" t="n">
        <x:v>21</x:v>
      </x:c>
      <x:c r="AB18" t="n">
        <x:v>22</x:v>
      </x:c>
      <x:c r="AC18" t="n">
        <x:v>1.5</x:v>
      </x:c>
      <x:c r="AD18" t="n">
        <x:v>84.4</x:v>
      </x:c>
      <x:c r="AE18" t="n">
        <x:v>0.06</x:v>
      </x:c>
      <x:c r="AF18" t="n">
        <x:v>12</x:v>
      </x:c>
      <x:c r="AG18" t="n">
        <x:v>12</x:v>
      </x:c>
      <x:c r="AH18" t="n">
        <x:v>24</x:v>
      </x:c>
      <x:c r="AI18" t="n">
        <x:v>8</x:v>
      </x:c>
      <x:c r="AJ18" t="n">
        <x:v>11</x:v>
      </x:c>
      <x:c r="AK18" t="n">
        <x:v>250</x:v>
      </x:c>
      <x:c r="AL18" t="str">
        <x:v>Fjernvarme;</x:v>
      </x:c>
      <x:c r="AM18"/>
      <x:c r="AN18"/>
      <x:c r="AO18"/>
      <x:c r="AP18"/>
      <x:c r="AQ18"/>
      <x:c r="AR18"/>
      <x:c r="AS18"/>
      <x:c r="AT18"/>
      <x:c r="AU18" t="str">
        <x:v>energiattester_export_2025-08-14.json | PDF vedlegg side 5-7</x:v>
      </x:c>
      <x:c r="AV18" s="12" t="n">
        <x:f>IF(COUNT(O18,P18,Q18,R18,K18,L18,M18,N18)=8,O18*K18+P18*L18+Q18*M18+R18*N18,"")</x:f>
        <x:v>88.63</x:v>
      </x:c>
      <x:c r="AW18" s="12" t="n">
        <x:f>IF(AND(ISNUMBER(AV18),H18&gt;0),AV18/H18,"")</x:f>
        <x:v>0.476505376344086</x:v>
      </x:c>
      <x:c r="AX18" s="12" t="n">
        <x:f>IF(AND(ISNUMBER(AD18),H18&gt;0),AD18*H18*3600,"")</x:f>
        <x:v>56514240.00000001</x:v>
      </x:c>
      <x:c r="AY18" s="12" t="n">
        <x:f>IF(AND(ISNUMBER(Y18),H18&gt;0),Y18*H18,"")</x:f>
        <x:v>27900</x:v>
      </x:c>
      <x:c r="AZ18" t="str">
        <x:v>Høy</x:v>
      </x:c>
    </x:row>
    <x:row r="19" ht="22" customHeight="1">
      <x:c r="A19" t="str">
        <x:v>OT-af16fce977d2</x:v>
      </x:c>
      <x:c r="B19" t="n">
        <x:v>2015</x:v>
      </x:c>
      <x:c r="C19" t="str">
        <x:v>Kontorbygg</x:v>
      </x:c>
      <x:c r="D19" t="str">
        <x:v>KONTORER, MED VENTILASJON OG KJØLEANLEGG</x:v>
      </x:c>
      <x:c r="E19" t="str">
        <x:v>G</x:v>
      </x:c>
      <x:c r="F19" t="str">
        <x:v>RED</x:v>
      </x:c>
      <x:c r="G19" t="n">
        <x:v>1895</x:v>
      </x:c>
      <x:c r="H19" t="n">
        <x:v>906</x:v>
      </x:c>
      <x:c r="I19" t="n">
        <x:v>354.7</x:v>
      </x:c>
      <x:c r="J19" t="str">
        <x:v>PDF/avansert</x:v>
      </x:c>
      <x:c r="K19" t="n">
        <x:v>318</x:v>
      </x:c>
      <x:c r="L19" t="n">
        <x:v>298</x:v>
      </x:c>
      <x:c r="M19" t="n">
        <x:v>0</x:v>
      </x:c>
      <x:c r="N19" t="n">
        <x:v>182</x:v>
      </x:c>
      <x:c r="O19" t="n">
        <x:v>0.87</x:v>
      </x:c>
      <x:c r="P19" t="n">
        <x:v>1.2</x:v>
      </x:c>
      <x:c r="Q19" t="n">
        <x:v>0</x:v>
      </x:c>
      <x:c r="R19" t="n">
        <x:v>2.41</x:v>
      </x:c>
      <x:c r="S19" t="n">
        <x:v>60</x:v>
      </x:c>
      <x:c r="T19" t="n">
        <x:v>60</x:v>
      </x:c>
      <x:c r="U19" t="n">
        <x:v>4.36</x:v>
      </x:c>
      <x:c r="V19" t="n">
        <x:v>0.7</x:v>
      </x:c>
      <x:c r="W19" t="n">
        <x:v>13.91</x:v>
      </x:c>
      <x:c r="X19" t="n">
        <x:v>91</x:v>
      </x:c>
      <x:c r="Y19" t="n">
        <x:v>150</x:v>
      </x:c>
      <x:c r="Z19" t="n">
        <x:v>34</x:v>
      </x:c>
      <x:c r="AA19" t="n">
        <x:v>21</x:v>
      </x:c>
      <x:c r="AB19" t="n">
        <x:v>22</x:v>
      </x:c>
      <x:c r="AC19" t="n">
        <x:v>3.5</x:v>
      </x:c>
      <x:c r="AD19" t="n">
        <x:v>214.1</x:v>
      </x:c>
      <x:c r="AE19" t="n">
        <x:v>0.12</x:v>
      </x:c>
      <x:c r="AF19"/>
      <x:c r="AG19"/>
      <x:c r="AH19"/>
      <x:c r="AI19"/>
      <x:c r="AJ19"/>
      <x:c r="AK19" t="n">
        <x:v>240</x:v>
      </x:c>
      <x:c r="AL19"/>
      <x:c r="AM19" t="n">
        <x:v>1</x:v>
      </x:c>
      <x:c r="AN19" t="n">
        <x:v>0</x:v>
      </x:c>
      <x:c r="AO19" t="n">
        <x:v>1</x:v>
      </x:c>
      <x:c r="AP19" t="n">
        <x:v>1</x:v>
      </x:c>
      <x:c r="AQ19" t="n">
        <x:v>0</x:v>
      </x:c>
      <x:c r="AR19" t="n">
        <x:v>1</x:v>
      </x:c>
      <x:c r="AS19" t="n">
        <x:v>1</x:v>
      </x:c>
      <x:c r="AT19" t="n">
        <x:v>1</x:v>
      </x:c>
      <x:c r="AU19" t="str">
        <x:v>energiattester_export_2025-08-14.json | PDF vedlegg side 5-7</x:v>
      </x:c>
      <x:c r="AV19" s="12" t="n">
        <x:f>IF(COUNT(O19,P19,Q19,R19,K19,L19,M19,N19)=8,O19*K19+P19*L19+Q19*M19+R19*N19,"")</x:f>
        <x:v>1072.88</x:v>
      </x:c>
      <x:c r="AW19" s="12" t="n">
        <x:f>IF(AND(ISNUMBER(AV19),H19&gt;0),AV19/H19,"")</x:f>
        <x:v>1.1841942604856512</x:v>
      </x:c>
      <x:c r="AX19" s="12" t="n">
        <x:f>IF(AND(ISNUMBER(AD19),H19&gt;0),AD19*H19*3600,"")</x:f>
        <x:v>698308560</x:v>
      </x:c>
      <x:c r="AY19" s="12" t="n">
        <x:f>IF(AND(ISNUMBER(Y19),H19&gt;0),Y19*H19,"")</x:f>
        <x:v>135900</x:v>
      </x:c>
      <x:c r="AZ19" t="str">
        <x:v>Høy</x:v>
      </x:c>
    </x:row>
    <x:row r="20" ht="22" customHeight="1">
      <x:c r="A20" t="str">
        <x:v>OT-52a3b0820ef6</x:v>
      </x:c>
      <x:c r="B20" t="n">
        <x:v>2015</x:v>
      </x:c>
      <x:c r="C20" t="str">
        <x:v>Forretningsbygg</x:v>
      </x:c>
      <x:c r="D20" t="str">
        <x:v>BUTIKK</x:v>
      </x:c>
      <x:c r="E20" t="str">
        <x:v>G</x:v>
      </x:c>
      <x:c r="F20" t="str">
        <x:v>RED</x:v>
      </x:c>
      <x:c r="G20" t="n">
        <x:v>1895</x:v>
      </x:c>
      <x:c r="H20" t="n">
        <x:v>1044</x:v>
      </x:c>
      <x:c r="I20" t="n">
        <x:v>386.8</x:v>
      </x:c>
      <x:c r="J20" t="str">
        <x:v>PDF/avansert</x:v>
      </x:c>
      <x:c r="K20" t="n">
        <x:v>479</x:v>
      </x:c>
      <x:c r="L20" t="n">
        <x:v>0</x:v>
      </x:c>
      <x:c r="M20" t="n">
        <x:v>375</x:v>
      </x:c>
      <x:c r="N20" t="n">
        <x:v>172</x:v>
      </x:c>
      <x:c r="O20" t="n">
        <x:v>0.62</x:v>
      </x:c>
      <x:c r="P20" t="n">
        <x:v>0</x:v>
      </x:c>
      <x:c r="Q20" t="n">
        <x:v>0.27</x:v>
      </x:c>
      <x:c r="R20" t="n">
        <x:v>2.51</x:v>
      </x:c>
      <x:c r="S20" t="n">
        <x:v>34</x:v>
      </x:c>
      <x:c r="T20" t="n">
        <x:v>34</x:v>
      </x:c>
      <x:c r="U20" t="n">
        <x:v>4.34</x:v>
      </x:c>
      <x:c r="V20" t="n">
        <x:v>0.67</x:v>
      </x:c>
      <x:c r="W20" t="n">
        <x:v>13</x:v>
      </x:c>
      <x:c r="X20" t="n">
        <x:v>91</x:v>
      </x:c>
      <x:c r="Y20" t="n">
        <x:v>256</x:v>
      </x:c>
      <x:c r="Z20" t="n">
        <x:v>75</x:v>
      </x:c>
      <x:c r="AA20" t="n">
        <x:v>21</x:v>
      </x:c>
      <x:c r="AB20" t="n">
        <x:v>22</x:v>
      </x:c>
      <x:c r="AC20" t="n">
        <x:v>3.5</x:v>
      </x:c>
      <x:c r="AD20" t="n">
        <x:v>219.6</x:v>
      </x:c>
      <x:c r="AE20" t="n">
        <x:v>0.12</x:v>
      </x:c>
      <x:c r="AF20" t="n">
        <x:v>12</x:v>
      </x:c>
      <x:c r="AG20" t="n">
        <x:v>12</x:v>
      </x:c>
      <x:c r="AH20" t="n">
        <x:v>24</x:v>
      </x:c>
      <x:c r="AI20" t="n">
        <x:v>15</x:v>
      </x:c>
      <x:c r="AJ20" t="n">
        <x:v>1</x:v>
      </x:c>
      <x:c r="AK20" t="n">
        <x:v>240</x:v>
      </x:c>
      <x:c r="AL20" t="str">
        <x:v>Direkte elektrisk;</x:v>
      </x:c>
      <x:c r="AM20" t="n">
        <x:v>1</x:v>
      </x:c>
      <x:c r="AN20" t="n">
        <x:v>0</x:v>
      </x:c>
      <x:c r="AO20" t="n">
        <x:v>1</x:v>
      </x:c>
      <x:c r="AP20" t="n">
        <x:v>1</x:v>
      </x:c>
      <x:c r="AQ20" t="n">
        <x:v>0</x:v>
      </x:c>
      <x:c r="AR20" t="n">
        <x:v>1</x:v>
      </x:c>
      <x:c r="AS20" t="n">
        <x:v>1</x:v>
      </x:c>
      <x:c r="AT20" t="n">
        <x:v>1</x:v>
      </x:c>
      <x:c r="AU20" t="str">
        <x:v>energiattester_export_2025-08-14.json | PDF vedlegg side 5-7</x:v>
      </x:c>
      <x:c r="AV20" s="12" t="n">
        <x:f>IF(COUNT(O20,P20,Q20,R20,K20,L20,M20,N20)=8,O20*K20+P20*L20+Q20*M20+R20*N20,"")</x:f>
        <x:v>829.95</x:v>
      </x:c>
      <x:c r="AW20" s="12" t="n">
        <x:f>IF(AND(ISNUMBER(AV20),H20&gt;0),AV20/H20,"")</x:f>
        <x:v>0.7949712643678162</x:v>
      </x:c>
      <x:c r="AX20" s="12" t="n">
        <x:f>IF(AND(ISNUMBER(AD20),H20&gt;0),AD20*H20*3600,"")</x:f>
        <x:v>825344640</x:v>
      </x:c>
      <x:c r="AY20" s="12" t="n">
        <x:f>IF(AND(ISNUMBER(Y20),H20&gt;0),Y20*H20,"")</x:f>
        <x:v>267264</x:v>
      </x:c>
      <x:c r="AZ20" t="str">
        <x:v>Høy</x:v>
      </x:c>
    </x:row>
    <x:row r="21" ht="22" customHeight="1">
      <x:c r="A21" t="str">
        <x:v>OT-8baa6ff7b4c7</x:v>
      </x:c>
      <x:c r="B21" t="n">
        <x:v>2015</x:v>
      </x:c>
      <x:c r="C21" t="str">
        <x:v>Kontorbygg</x:v>
      </x:c>
      <x:c r="D21" t="str">
        <x:v>KONTORER, ENKLE</x:v>
      </x:c>
      <x:c r="E21" t="str">
        <x:v>G</x:v>
      </x:c>
      <x:c r="F21" t="str">
        <x:v>GREEN</x:v>
      </x:c>
      <x:c r="G21" t="n">
        <x:v>1979</x:v>
      </x:c>
      <x:c r="H21" t="n">
        <x:v>3792</x:v>
      </x:c>
      <x:c r="I21" t="n">
        <x:v>331.5</x:v>
      </x:c>
      <x:c r="J21" t="str">
        <x:v>PDF/avansert</x:v>
      </x:c>
      <x:c r="K21" t="n">
        <x:v>1707</x:v>
      </x:c>
      <x:c r="L21" t="n">
        <x:v>1530</x:v>
      </x:c>
      <x:c r="M21" t="n">
        <x:v>1530</x:v>
      </x:c>
      <x:c r="N21" t="n">
        <x:v>547</x:v>
      </x:c>
      <x:c r="O21" t="n">
        <x:v>0.66</x:v>
      </x:c>
      <x:c r="P21" t="n">
        <x:v>0.6</x:v>
      </x:c>
      <x:c r="Q21" t="n">
        <x:v>0.2</x:v>
      </x:c>
      <x:c r="R21" t="n">
        <x:v>2.8</x:v>
      </x:c>
      <x:c r="S21" t="n">
        <x:v>70</x:v>
      </x:c>
      <x:c r="T21" t="n">
        <x:v>70</x:v>
      </x:c>
      <x:c r="U21" t="n">
        <x:v>2</x:v>
      </x:c>
      <x:c r="V21" t="n">
        <x:v>0.35</x:v>
      </x:c>
      <x:c r="W21" t="n">
        <x:v>12.89</x:v>
      </x:c>
      <x:c r="X21" t="n">
        <x:v>89</x:v>
      </x:c>
      <x:c r="Y21" t="n">
        <x:v>130</x:v>
      </x:c>
      <x:c r="Z21" t="n">
        <x:v>130</x:v>
      </x:c>
      <x:c r="AA21" t="n">
        <x:v>21</x:v>
      </x:c>
      <x:c r="AB21" t="n">
        <x:v>22</x:v>
      </x:c>
      <x:c r="AC21" t="n">
        <x:v>7</x:v>
      </x:c>
      <x:c r="AD21" t="n">
        <x:v>60</x:v>
      </x:c>
      <x:c r="AE21" t="n">
        <x:v>0.08</x:v>
      </x:c>
      <x:c r="AF21" t="n">
        <x:v>12</x:v>
      </x:c>
      <x:c r="AG21" t="n">
        <x:v>12</x:v>
      </x:c>
      <x:c r="AH21" t="n">
        <x:v>24</x:v>
      </x:c>
      <x:c r="AI21" t="n">
        <x:v>8</x:v>
      </x:c>
      <x:c r="AJ21" t="n">
        <x:v>11</x:v>
      </x:c>
      <x:c r="AK21" t="n">
        <x:v>250</x:v>
      </x:c>
      <x:c r="AL21" t="str">
        <x:v>Fjernvarme;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1</x:v>
      </x:c>
      <x:c r="AT21" t="n">
        <x:v>1</x:v>
      </x:c>
      <x:c r="AU21" t="str">
        <x:v>energiattester_export_2025-08-14.json | PDF vedlegg side 5-7</x:v>
      </x:c>
      <x:c r="AV21" s="12" t="n">
        <x:f>IF(COUNT(O21,P21,Q21,R21,K21,L21,M21,N21)=8,O21*K21+P21*L21+Q21*M21+R21*N21,"")</x:f>
        <x:v>3882.22</x:v>
      </x:c>
      <x:c r="AW21" s="12" t="n">
        <x:f>IF(AND(ISNUMBER(AV21),H21&gt;0),AV21/H21,"")</x:f>
        <x:v>1.023792194092827</x:v>
      </x:c>
      <x:c r="AX21" s="12" t="n">
        <x:f>IF(AND(ISNUMBER(AD21),H21&gt;0),AD21*H21*3600,"")</x:f>
        <x:v>819072000</x:v>
      </x:c>
      <x:c r="AY21" s="12" t="n">
        <x:f>IF(AND(ISNUMBER(Y21),H21&gt;0),Y21*H21,"")</x:f>
        <x:v>492960</x:v>
      </x:c>
      <x:c r="AZ21" t="str">
        <x:v>Høy</x:v>
      </x:c>
    </x:row>
    <x:row r="22" ht="22" customHeight="1">
      <x:c r="A22" t="str">
        <x:v>OT-1dd80ce2a250</x:v>
      </x:c>
      <x:c r="B22" t="n">
        <x:v>2015</x:v>
      </x:c>
      <x:c r="C22" t="str">
        <x:v>Kontorbygg</x:v>
      </x:c>
      <x:c r="D22" t="str">
        <x:v>KONTORER, ENKLE</x:v>
      </x:c>
      <x:c r="E22" t="str">
        <x:v>E</x:v>
      </x:c>
      <x:c r="F22" t="str">
        <x:v>RED</x:v>
      </x:c>
      <x:c r="G22" t="n">
        <x:v>1993</x:v>
      </x:c>
      <x:c r="H22" t="n">
        <x:v>581</x:v>
      </x:c>
      <x:c r="I22" t="n">
        <x:v>190.5</x:v>
      </x:c>
      <x:c r="J22" t="str">
        <x:v>PDF/avansert</x:v>
      </x:c>
      <x:c r="K22" t="n">
        <x:v>294</x:v>
      </x:c>
      <x:c r="L22" t="n">
        <x:v>291</x:v>
      </x:c>
      <x:c r="M22" t="n">
        <x:v>291</x:v>
      </x:c>
      <x:c r="N22" t="n">
        <x:v>68</x:v>
      </x:c>
      <x:c r="O22" t="n">
        <x:v>0.28</x:v>
      </x:c>
      <x:c r="P22" t="n">
        <x:v>0.17</x:v>
      </x:c>
      <x:c r="Q22" t="n">
        <x:v>0.12</x:v>
      </x:c>
      <x:c r="R22" t="n">
        <x:v>2.49</x:v>
      </x:c>
      <x:c r="S22" t="n">
        <x:v>55</x:v>
      </x:c>
      <x:c r="T22" t="n">
        <x:v>55</x:v>
      </x:c>
      <x:c r="U22" t="n">
        <x:v>2</x:v>
      </x:c>
      <x:c r="V22" t="n">
        <x:v>0.43</x:v>
      </x:c>
      <x:c r="W22" t="n">
        <x:v>7</x:v>
      </x:c>
      <x:c r="X22" t="n">
        <x:v>90</x:v>
      </x:c>
      <x:c r="Y22" t="n">
        <x:v>80</x:v>
      </x:c>
      <x:c r="Z22" t="n">
        <x:v>30</x:v>
      </x:c>
      <x:c r="AA22" t="n">
        <x:v>21</x:v>
      </x:c>
      <x:c r="AB22" t="n">
        <x:v>22</x:v>
      </x:c>
      <x:c r="AC22" t="n">
        <x:v>1</x:v>
      </x:c>
      <x:c r="AD22" t="n">
        <x:v>48</x:v>
      </x:c>
      <x:c r="AE22" t="n">
        <x:v>0.09</x:v>
      </x:c>
      <x:c r="AF22" t="n">
        <x:v>12</x:v>
      </x:c>
      <x:c r="AG22" t="n">
        <x:v>12</x:v>
      </x:c>
      <x:c r="AH22" t="n">
        <x:v>24</x:v>
      </x:c>
      <x:c r="AI22" t="n">
        <x:v>8</x:v>
      </x:c>
      <x:c r="AJ22" t="n">
        <x:v>11</x:v>
      </x:c>
      <x:c r="AK22" t="n">
        <x:v>250</x:v>
      </x:c>
      <x:c r="AL22" t="str">
        <x:v>Direkte elektrisk;</x:v>
      </x:c>
      <x:c r="AM22" t="n">
        <x:v>1</x:v>
      </x:c>
      <x:c r="AN22" t="n">
        <x:v>0</x:v>
      </x:c>
      <x:c r="AO22" t="n">
        <x:v>1</x:v>
      </x:c>
      <x:c r="AP22" t="n">
        <x:v>0</x:v>
      </x:c>
      <x:c r="AQ22" t="n">
        <x:v>0</x:v>
      </x:c>
      <x:c r="AR22" t="n">
        <x:v>1</x:v>
      </x:c>
      <x:c r="AS22" t="n">
        <x:v>0</x:v>
      </x:c>
      <x:c r="AT22" t="n">
        <x:v>0</x:v>
      </x:c>
      <x:c r="AU22" t="str">
        <x:v>energiattester_export_2025-08-14.json | PDF vedlegg side 5-7</x:v>
      </x:c>
      <x:c r="AV22" s="12" t="n">
        <x:f>IF(COUNT(O22,P22,Q22,R22,K22,L22,M22,N22)=8,O22*K22+P22*L22+Q22*M22+R22*N22,"")</x:f>
        <x:v>336.0300000000001</x:v>
      </x:c>
      <x:c r="AW22" s="12" t="n">
        <x:f>IF(AND(ISNUMBER(AV22),H22&gt;0),AV22/H22,"")</x:f>
        <x:v>0.5783648881239244</x:v>
      </x:c>
      <x:c r="AX22" s="12" t="n">
        <x:f>IF(AND(ISNUMBER(AD22),H22&gt;0),AD22*H22*3600,"")</x:f>
        <x:v>100396800</x:v>
      </x:c>
      <x:c r="AY22" s="12" t="n">
        <x:f>IF(AND(ISNUMBER(Y22),H22&gt;0),Y22*H22,"")</x:f>
        <x:v>46480</x:v>
      </x:c>
      <x:c r="AZ22" t="str">
        <x:v>Høy</x:v>
      </x:c>
    </x:row>
    <x:row r="23" ht="22" customHeight="1">
      <x:c r="A23" t="str">
        <x:v>OT-537006a58718</x:v>
      </x:c>
      <x:c r="B23" t="n">
        <x:v>2015</x:v>
      </x:c>
      <x:c r="C23" t="str">
        <x:v>Kontorbygg</x:v>
      </x:c>
      <x:c r="D23" t="str">
        <x:v>Kontorer, enkle</x:v>
      </x:c>
      <x:c r="E23" t="str">
        <x:v>F</x:v>
      </x:c>
      <x:c r="F23" t="str">
        <x:v>RED</x:v>
      </x:c>
      <x:c r="G23" t="n">
        <x:v>1924</x:v>
      </x:c>
      <x:c r="H23" t="n">
        <x:v>2100</x:v>
      </x:c>
      <x:c r="I23" t="n">
        <x:v>260.41</x:v>
      </x:c>
      <x:c r="J23" t="str">
        <x:v>PDF/avansert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1</x:v>
      </x:c>
      <x:c r="AS23" t="n">
        <x:v>1</x:v>
      </x:c>
      <x:c r="AT23" t="n">
        <x:v>1</x:v>
      </x:c>
      <x:c r="AU23" t="str">
        <x:v>energiattester_export_2025-08-14.json | PDF vedlegg side 5-7</x:v>
      </x:c>
      <x:c r="AV23" s="12" t="str">
        <x:f>IF(COUNT(O23,P23,Q23,R23,K23,L23,M23,N23)=8,O23*K23+P23*L23+Q23*M23+R23*N23,"")</x:f>
      </x:c>
      <x:c r="AW23" s="12" t="str">
        <x:f>IF(AND(ISNUMBER(AV23),H23&gt;0),AV23/H23,"")</x:f>
      </x:c>
      <x:c r="AX23" s="12" t="str">
        <x:f>IF(AND(ISNUMBER(AD23),H23&gt;0),AD23*H23*3600,"")</x:f>
      </x:c>
      <x:c r="AY23" s="12" t="str">
        <x:f>IF(AND(ISNUMBER(Y23),H23&gt;0),Y23*H23,"")</x:f>
      </x:c>
      <x:c r="AZ23" t="str">
        <x:v>Mangler data</x:v>
      </x:c>
    </x:row>
    <x:row r="24" ht="22" customHeight="1">
      <x:c r="A24" t="str">
        <x:v>OT-361429d12241</x:v>
      </x:c>
      <x:c r="B24" t="n">
        <x:v>2015</x:v>
      </x:c>
      <x:c r="C24" t="str">
        <x:v>Hoteller</x:v>
      </x:c>
      <x:c r="D24" t="str">
        <x:v>Hotellbygning</x:v>
      </x:c>
      <x:c r="E24" t="str">
        <x:v>F</x:v>
      </x:c>
      <x:c r="F24" t="str">
        <x:v>RED</x:v>
      </x:c>
      <x:c r="G24" t="n">
        <x:v>1965</x:v>
      </x:c>
      <x:c r="H24" t="n">
        <x:v>2111</x:v>
      </x:c>
      <x:c r="I24" t="n">
        <x:v>356.31</x:v>
      </x:c>
      <x:c r="J24" t="str">
        <x:v>PDF/avansert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1</x:v>
      </x:c>
      <x:c r="AS24" t="n">
        <x:v>1</x:v>
      </x:c>
      <x:c r="AT24" t="n">
        <x:v>0</x:v>
      </x:c>
      <x:c r="AU24" t="str">
        <x:v>energiattester_export_2025-08-14.json | PDF vedlegg side 5-7</x:v>
      </x:c>
      <x:c r="AV24" s="12" t="str">
        <x:f>IF(COUNT(O24,P24,Q24,R24,K24,L24,M24,N24)=8,O24*K24+P24*L24+Q24*M24+R24*N24,"")</x:f>
      </x:c>
      <x:c r="AW24" s="12" t="str">
        <x:f>IF(AND(ISNUMBER(AV24),H24&gt;0),AV24/H24,"")</x:f>
      </x:c>
      <x:c r="AX24" s="12" t="str">
        <x:f>IF(AND(ISNUMBER(AD24),H24&gt;0),AD24*H24*3600,"")</x:f>
      </x:c>
      <x:c r="AY24" s="12" t="str">
        <x:f>IF(AND(ISNUMBER(Y24),H24&gt;0),Y24*H24,"")</x:f>
      </x:c>
      <x:c r="AZ24" t="str">
        <x:v>Mangler data</x:v>
      </x:c>
    </x:row>
    <x:row r="25" ht="22" customHeight="1">
      <x:c r="A25" t="str">
        <x:v>OT-ab8e3b5cc26b</x:v>
      </x:c>
      <x:c r="B25" t="n">
        <x:v>2015</x:v>
      </x:c>
      <x:c r="C25" t="str">
        <x:v>Hoteller</x:v>
      </x:c>
      <x:c r="D25" t="str">
        <x:v>BYGNING FOR OVERNATTING</x:v>
      </x:c>
      <x:c r="E25" t="str">
        <x:v>G</x:v>
      </x:c>
      <x:c r="F25" t="str">
        <x:v>ORANGE</x:v>
      </x:c>
      <x:c r="G25" t="n">
        <x:v>1954</x:v>
      </x:c>
      <x:c r="H25" t="n">
        <x:v>966</x:v>
      </x:c>
      <x:c r="I25" t="n">
        <x:v>706.8</x:v>
      </x:c>
      <x:c r="J25" t="str">
        <x:v>PDF/avansert</x:v>
      </x:c>
      <x:c r="K25" t="n">
        <x:v>603</x:v>
      </x:c>
      <x:c r="L25" t="n">
        <x:v>418</x:v>
      </x:c>
      <x:c r="M25" t="n">
        <x:v>402</x:v>
      </x:c>
      <x:c r="N25" t="n">
        <x:v>155</x:v>
      </x:c>
      <x:c r="O25" t="n">
        <x:v>1.59</x:v>
      </x:c>
      <x:c r="P25" t="n">
        <x:v>1.1</x:v>
      </x:c>
      <x:c r="Q25" t="n">
        <x:v>0.28</x:v>
      </x:c>
      <x:c r="R25" t="n">
        <x:v>2.74</x:v>
      </x:c>
      <x:c r="S25" t="n">
        <x:v>14</x:v>
      </x:c>
      <x:c r="T25" t="n">
        <x:v>14</x:v>
      </x:c>
      <x:c r="U25" t="n">
        <x:v>4.16</x:v>
      </x:c>
      <x:c r="V25" t="n">
        <x:v>0.4</x:v>
      </x:c>
      <x:c r="W25" t="n">
        <x:v>10</x:v>
      </x:c>
      <x:c r="X25" t="n">
        <x:v>173</x:v>
      </x:c>
      <x:c r="Y25" t="n">
        <x:v>271</x:v>
      </x:c>
      <x:c r="Z25" t="n">
        <x:v>49</x:v>
      </x:c>
      <x:c r="AA25" t="n">
        <x:v>21</x:v>
      </x:c>
      <x:c r="AB25" t="n">
        <x:v>22</x:v>
      </x:c>
      <x:c r="AC25" t="n">
        <x:v>3</x:v>
      </x:c>
      <x:c r="AD25" t="n">
        <x:v>106.4</x:v>
      </x:c>
      <x:c r="AE25" t="n">
        <x:v>0.12</x:v>
      </x:c>
      <x:c r="AF25" t="n">
        <x:v>16</x:v>
      </x:c>
      <x:c r="AG25" t="n">
        <x:v>16</x:v>
      </x:c>
      <x:c r="AH25" t="n">
        <x:v>24</x:v>
      </x:c>
      <x:c r="AI25" t="n">
        <x:v>8</x:v>
      </x:c>
      <x:c r="AJ25" t="n">
        <x:v>1</x:v>
      </x:c>
      <x:c r="AK25" t="n">
        <x:v>250</x:v>
      </x:c>
      <x:c r="AL25" t="str">
        <x:v>Direkte elektrisk; Olje; Varmepumpe;</x:v>
      </x:c>
      <x:c r="AM25" t="n">
        <x:v>1</x:v>
      </x:c>
      <x:c r="AN25" t="n">
        <x:v>0</x:v>
      </x:c>
      <x:c r="AO25" t="n">
        <x:v>1</x:v>
      </x:c>
      <x:c r="AP25" t="n">
        <x:v>1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str">
        <x:v>energiattester_export_2025-08-14.json | PDF vedlegg side 5-7</x:v>
      </x:c>
      <x:c r="AV25" s="12" t="n">
        <x:f>IF(COUNT(O25,P25,Q25,R25,K25,L25,M25,N25)=8,O25*K25+P25*L25+Q25*M25+R25*N25,"")</x:f>
        <x:v>1955.8300000000002</x:v>
      </x:c>
      <x:c r="AW25" s="12" t="n">
        <x:f>IF(AND(ISNUMBER(AV25),H25&gt;0),AV25/H25,"")</x:f>
        <x:v>2.0246687370600416</x:v>
      </x:c>
      <x:c r="AX25" s="12" t="n">
        <x:f>IF(AND(ISNUMBER(AD25),H25&gt;0),AD25*H25*3600,"")</x:f>
        <x:v>370016640.00000006</x:v>
      </x:c>
      <x:c r="AY25" s="12" t="n">
        <x:f>IF(AND(ISNUMBER(Y25),H25&gt;0),Y25*H25,"")</x:f>
        <x:v>261786</x:v>
      </x:c>
      <x:c r="AZ25" t="str">
        <x:v>Høy</x:v>
      </x:c>
    </x:row>
    <x:row r="26" ht="22" customHeight="1">
      <x:c r="A26" t="str">
        <x:v>OT-f0707107c391</x:v>
      </x:c>
      <x:c r="B26" t="n">
        <x:v>2015</x:v>
      </x:c>
      <x:c r="C26" t="str">
        <x:v>Hoteller</x:v>
      </x:c>
      <x:c r="D26" t="str">
        <x:v>BYGNING FOR OVERNATTING</x:v>
      </x:c>
      <x:c r="E26" t="str">
        <x:v>G</x:v>
      </x:c>
      <x:c r="F26" t="str">
        <x:v>ORANGE</x:v>
      </x:c>
      <x:c r="G26" t="n">
        <x:v>1984</x:v>
      </x:c>
      <x:c r="H26" t="n">
        <x:v>1381</x:v>
      </x:c>
      <x:c r="I26" t="n">
        <x:v>580.9</x:v>
      </x:c>
      <x:c r="J26" t="str">
        <x:v>PDF/avansert</x:v>
      </x:c>
      <x:c r="K26" t="n">
        <x:v>966</x:v>
      </x:c>
      <x:c r="L26" t="n">
        <x:v>817</x:v>
      </x:c>
      <x:c r="M26" t="n">
        <x:v>817</x:v>
      </x:c>
      <x:c r="N26" t="n">
        <x:v>223</x:v>
      </x:c>
      <x:c r="O26" t="n">
        <x:v>1.58</x:v>
      </x:c>
      <x:c r="P26" t="n">
        <x:v>0.61</x:v>
      </x:c>
      <x:c r="Q26" t="n">
        <x:v>0.56</x:v>
      </x:c>
      <x:c r="R26" t="n">
        <x:v>2.35</x:v>
      </x:c>
      <x:c r="S26" t="n">
        <x:v>32</x:v>
      </x:c>
      <x:c r="T26" t="n">
        <x:v>32</x:v>
      </x:c>
      <x:c r="U26" t="n">
        <x:v>4.41</x:v>
      </x:c>
      <x:c r="V26" t="n">
        <x:v>0.4</x:v>
      </x:c>
      <x:c r="W26" t="n">
        <x:v>10</x:v>
      </x:c>
      <x:c r="X26" t="n">
        <x:v>163</x:v>
      </x:c>
      <x:c r="Y26" t="n">
        <x:v>298</x:v>
      </x:c>
      <x:c r="Z26" t="n">
        <x:v>68</x:v>
      </x:c>
      <x:c r="AA26" t="n">
        <x:v>21</x:v>
      </x:c>
      <x:c r="AB26" t="n">
        <x:v>22</x:v>
      </x:c>
      <x:c r="AC26" t="n">
        <x:v>3.28</x:v>
      </x:c>
      <x:c r="AD26" t="n">
        <x:v>119</x:v>
      </x:c>
      <x:c r="AE26" t="n">
        <x:v>0.12</x:v>
      </x:c>
      <x:c r="AF26" t="n">
        <x:v>16</x:v>
      </x:c>
      <x:c r="AG26" t="n">
        <x:v>16</x:v>
      </x:c>
      <x:c r="AH26" t="n">
        <x:v>24</x:v>
      </x:c>
      <x:c r="AI26" t="n">
        <x:v>8</x:v>
      </x:c>
      <x:c r="AJ26" t="n">
        <x:v>1</x:v>
      </x:c>
      <x:c r="AK26" t="n">
        <x:v>250</x:v>
      </x:c>
      <x:c r="AL26" t="str">
        <x:v>Direkte elektrisk; Varmepumpe;</x:v>
      </x:c>
      <x:c r="AM26" t="n">
        <x:v>1</x:v>
      </x:c>
      <x:c r="AN26" t="n">
        <x:v>0</x:v>
      </x:c>
      <x:c r="AO26" t="n">
        <x:v>1</x:v>
      </x:c>
      <x:c r="AP26" t="n">
        <x:v>1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str">
        <x:v>energiattester_export_2025-08-14.json | PDF vedlegg side 5-7</x:v>
      </x:c>
      <x:c r="AV26" s="12" t="n">
        <x:f>IF(COUNT(O26,P26,Q26,R26,K26,L26,M26,N26)=8,O26*K26+P26*L26+Q26*M26+R26*N26,"")</x:f>
        <x:v>3006.2200000000003</x:v>
      </x:c>
      <x:c r="AW26" s="12" t="n">
        <x:f>IF(AND(ISNUMBER(AV26),H26&gt;0),AV26/H26,"")</x:f>
        <x:v>2.1768428674873284</x:v>
      </x:c>
      <x:c r="AX26" s="12" t="n">
        <x:f>IF(AND(ISNUMBER(AD26),H26&gt;0),AD26*H26*3600,"")</x:f>
        <x:v>591620400</x:v>
      </x:c>
      <x:c r="AY26" s="12" t="n">
        <x:f>IF(AND(ISNUMBER(Y26),H26&gt;0),Y26*H26,"")</x:f>
        <x:v>411538</x:v>
      </x:c>
      <x:c r="AZ26" t="str">
        <x:v>Høy</x:v>
      </x:c>
    </x:row>
    <x:row r="27" ht="22" customHeight="1">
      <x:c r="A27" t="str">
        <x:v>OT-e632bb3c21b9</x:v>
      </x:c>
      <x:c r="B27" t="n">
        <x:v>2015</x:v>
      </x:c>
      <x:c r="C27" t="str">
        <x:v>Kontorbygg</x:v>
      </x:c>
      <x:c r="D27" t="str">
        <x:v>KONTORER, ENKLE</x:v>
      </x:c>
      <x:c r="E27" t="str">
        <x:v>E</x:v>
      </x:c>
      <x:c r="F27" t="str">
        <x:v>GREEN</x:v>
      </x:c>
      <x:c r="G27" t="n">
        <x:v>1993</x:v>
      </x:c>
      <x:c r="H27" t="n">
        <x:v>836</x:v>
      </x:c>
      <x:c r="I27" t="n">
        <x:v>201</x:v>
      </x:c>
      <x:c r="J27" t="str">
        <x:v>PDF/avansert</x:v>
      </x:c>
      <x:c r="K27" t="n">
        <x:v>324</x:v>
      </x:c>
      <x:c r="L27" t="n">
        <x:v>433</x:v>
      </x:c>
      <x:c r="M27" t="n">
        <x:v>687</x:v>
      </x:c>
      <x:c r="N27" t="n">
        <x:v>103</x:v>
      </x:c>
      <x:c r="O27" t="n">
        <x:v>0.36</x:v>
      </x:c>
      <x:c r="P27" t="n">
        <x:v>0.24</x:v>
      </x:c>
      <x:c r="Q27" t="n">
        <x:v>0.17</x:v>
      </x:c>
      <x:c r="R27" t="n">
        <x:v>2.4</x:v>
      </x:c>
      <x:c r="S27" t="n">
        <x:v>70</x:v>
      </x:c>
      <x:c r="T27" t="n">
        <x:v>70</x:v>
      </x:c>
      <x:c r="U27" t="n">
        <x:v>2</x:v>
      </x:c>
      <x:c r="V27" t="n">
        <x:v>0.43</x:v>
      </x:c>
      <x:c r="W27" t="n">
        <x:v>7</x:v>
      </x:c>
      <x:c r="X27" t="n">
        <x:v>81</x:v>
      </x:c>
      <x:c r="Y27" t="n">
        <x:v>80</x:v>
      </x:c>
      <x:c r="Z27" t="n">
        <x:v>30</x:v>
      </x:c>
      <x:c r="AA27" t="n">
        <x:v>21</x:v>
      </x:c>
      <x:c r="AB27" t="n">
        <x:v>22</x:v>
      </x:c>
      <x:c r="AC27" t="n">
        <x:v>3.5</x:v>
      </x:c>
      <x:c r="AD27" t="n">
        <x:v>114.5</x:v>
      </x:c>
      <x:c r="AE27" t="n">
        <x:v>0.12</x:v>
      </x:c>
      <x:c r="AF27" t="n">
        <x:v>12</x:v>
      </x:c>
      <x:c r="AG27" t="n">
        <x:v>12</x:v>
      </x:c>
      <x:c r="AH27" t="n">
        <x:v>24</x:v>
      </x:c>
      <x:c r="AI27" t="n">
        <x:v>8</x:v>
      </x:c>
      <x:c r="AJ27" t="n">
        <x:v>11</x:v>
      </x:c>
      <x:c r="AK27" t="n">
        <x:v>250</x:v>
      </x:c>
      <x:c r="AL27" t="str">
        <x:v>Fjernvarme;</x:v>
      </x:c>
      <x:c r="AM27"/>
      <x:c r="AN27"/>
      <x:c r="AO27"/>
      <x:c r="AP27"/>
      <x:c r="AQ27"/>
      <x:c r="AR27"/>
      <x:c r="AS27"/>
      <x:c r="AT27"/>
      <x:c r="AU27" t="str">
        <x:v>energiattester_export_2025-08-14.json | PDF vedlegg side 5-7</x:v>
      </x:c>
      <x:c r="AV27" s="12" t="n">
        <x:f>IF(COUNT(O27,P27,Q27,R27,K27,L27,M27,N27)=8,O27*K27+P27*L27+Q27*M27+R27*N27,"")</x:f>
        <x:v>584.55</x:v>
      </x:c>
      <x:c r="AW27" s="12" t="n">
        <x:f>IF(AND(ISNUMBER(AV27),H27&gt;0),AV27/H27,"")</x:f>
        <x:v>0.6992224880382775</x:v>
      </x:c>
      <x:c r="AX27" s="12" t="n">
        <x:f>IF(AND(ISNUMBER(AD27),H27&gt;0),AD27*H27*3600,"")</x:f>
        <x:v>344599200</x:v>
      </x:c>
      <x:c r="AY27" s="12" t="n">
        <x:f>IF(AND(ISNUMBER(Y27),H27&gt;0),Y27*H27,"")</x:f>
        <x:v>66880</x:v>
      </x:c>
      <x:c r="AZ27" t="str">
        <x:v>Høy</x:v>
      </x:c>
    </x:row>
    <x:row r="28" ht="22" customHeight="1">
      <x:c r="A28" t="str">
        <x:v>OT-2a78044c1738</x:v>
      </x:c>
      <x:c r="B28" t="n">
        <x:v>2015</x:v>
      </x:c>
      <x:c r="C28" t="str">
        <x:v>Forretningsbygg</x:v>
      </x:c>
      <x:c r="D28" t="str">
        <x:v>BENSINSTASJON</x:v>
      </x:c>
      <x:c r="E28" t="str">
        <x:v>C</x:v>
      </x:c>
      <x:c r="F28" t="str">
        <x:v>RED</x:v>
      </x:c>
      <x:c r="G28" t="n">
        <x:v>1999</x:v>
      </x:c>
      <x:c r="H28" t="n">
        <x:v>371</x:v>
      </x:c>
      <x:c r="I28" t="n">
        <x:v>202.7</x:v>
      </x:c>
      <x:c r="J28" t="str">
        <x:v>PDF/avansert</x:v>
      </x:c>
      <x:c r="K28" t="n">
        <x:v>203</x:v>
      </x:c>
      <x:c r="L28" t="n">
        <x:v>361</x:v>
      </x:c>
      <x:c r="M28" t="n">
        <x:v>361</x:v>
      </x:c>
      <x:c r="N28" t="n">
        <x:v>50</x:v>
      </x:c>
      <x:c r="O28" t="n">
        <x:v>0.2</x:v>
      </x:c>
      <x:c r="P28" t="n">
        <x:v>0.2</x:v>
      </x:c>
      <x:c r="Q28" t="n">
        <x:v>0.17</x:v>
      </x:c>
      <x:c r="R28" t="n">
        <x:v>2.31</x:v>
      </x:c>
      <x:c r="S28" t="n">
        <x:v>84</x:v>
      </x:c>
      <x:c r="T28" t="n">
        <x:v>84</x:v>
      </x:c>
      <x:c r="U28" t="n">
        <x:v>2.98</x:v>
      </x:c>
      <x:c r="V28" t="n">
        <x:v>0</x:v>
      </x:c>
      <x:c r="W28" t="n">
        <x:v>6.86</x:v>
      </x:c>
      <x:c r="X28" t="n">
        <x:v>91</x:v>
      </x:c>
      <x:c r="Y28" t="n">
        <x:v>125</x:v>
      </x:c>
      <x:c r="Z28" t="n">
        <x:v>1</x:v>
      </x:c>
      <x:c r="AA28" t="n">
        <x:v>21</x:v>
      </x:c>
      <x:c r="AB28" t="n">
        <x:v>22</x:v>
      </x:c>
      <x:c r="AC28" t="n">
        <x:v>3.5</x:v>
      </x:c>
      <x:c r="AD28" t="n">
        <x:v>116.1</x:v>
      </x:c>
      <x:c r="AE28" t="n">
        <x:v>0.08</x:v>
      </x:c>
      <x:c r="AF28" t="n">
        <x:v>12</x:v>
      </x:c>
      <x:c r="AG28" t="n">
        <x:v>12</x:v>
      </x:c>
      <x:c r="AH28" t="n">
        <x:v>24</x:v>
      </x:c>
      <x:c r="AI28" t="n">
        <x:v>15</x:v>
      </x:c>
      <x:c r="AJ28" t="n">
        <x:v>1</x:v>
      </x:c>
      <x:c r="AK28" t="n">
        <x:v>250</x:v>
      </x:c>
      <x:c r="AL28" t="str">
        <x:v>Direkte elektrisk;</x:v>
      </x:c>
      <x:c r="AM28" t="n">
        <x:v>0</x:v>
      </x:c>
      <x:c r="AN28" t="n">
        <x:v>0</x:v>
      </x:c>
      <x:c r="AO28" t="n">
        <x:v>0</x:v>
      </x:c>
      <x:c r="AP28" t="n">
        <x:v>1</x:v>
      </x:c>
      <x:c r="AQ28" t="n">
        <x:v>1</x:v>
      </x:c>
      <x:c r="AR28" t="n">
        <x:v>0</x:v>
      </x:c>
      <x:c r="AS28" t="n">
        <x:v>1</x:v>
      </x:c>
      <x:c r="AT28" t="n">
        <x:v>1</x:v>
      </x:c>
      <x:c r="AU28" t="str">
        <x:v>energiattester_export_2025-08-14.json | PDF vedlegg side 5-7</x:v>
      </x:c>
      <x:c r="AV28" s="12" t="n">
        <x:f>IF(COUNT(O28,P28,Q28,R28,K28,L28,M28,N28)=8,O28*K28+P28*L28+Q28*M28+R28*N28,"")</x:f>
        <x:v>289.67</x:v>
      </x:c>
      <x:c r="AW28" s="12" t="n">
        <x:f>IF(AND(ISNUMBER(AV28),H28&gt;0),AV28/H28,"")</x:f>
        <x:v>0.7807816711590297</x:v>
      </x:c>
      <x:c r="AX28" s="12" t="n">
        <x:f>IF(AND(ISNUMBER(AD28),H28&gt;0),AD28*H28*3600,"")</x:f>
        <x:v>155063160</x:v>
      </x:c>
      <x:c r="AY28" s="12" t="n">
        <x:f>IF(AND(ISNUMBER(Y28),H28&gt;0),Y28*H28,"")</x:f>
        <x:v>46375</x:v>
      </x:c>
      <x:c r="AZ28" t="str">
        <x:v>Høy</x:v>
      </x:c>
    </x:row>
    <x:row r="29" ht="22" customHeight="1">
      <x:c r="A29" t="str">
        <x:v>OT-78e373c7c1ad</x:v>
      </x:c>
      <x:c r="B29" t="n">
        <x:v>2015</x:v>
      </x:c>
      <x:c r="C29" t="str">
        <x:v>Kontorbygg</x:v>
      </x:c>
      <x:c r="D29" t="str">
        <x:v>Kontorer, med ventilasjon og kjøleanlegg</x:v>
      </x:c>
      <x:c r="E29" t="str">
        <x:v>E</x:v>
      </x:c>
      <x:c r="F29" t="str">
        <x:v>ORANGE</x:v>
      </x:c>
      <x:c r="G29" t="n">
        <x:v>1967</x:v>
      </x:c>
      <x:c r="H29" t="n">
        <x:v>2950</x:v>
      </x:c>
      <x:c r="I29" t="n">
        <x:v>210.79</x:v>
      </x:c>
      <x:c r="J29" t="str">
        <x:v>PDF/avansert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 t="str">
        <x:v>energiattester_export_2025-08-14.json | PDF vedlegg side 5-7</x:v>
      </x:c>
      <x:c r="AV29" s="12" t="str">
        <x:f>IF(COUNT(O29,P29,Q29,R29,K29,L29,M29,N29)=8,O29*K29+P29*L29+Q29*M29+R29*N29,"")</x:f>
      </x:c>
      <x:c r="AW29" s="12" t="str">
        <x:f>IF(AND(ISNUMBER(AV29),H29&gt;0),AV29/H29,"")</x:f>
      </x:c>
      <x:c r="AX29" s="12" t="str">
        <x:f>IF(AND(ISNUMBER(AD29),H29&gt;0),AD29*H29*3600,"")</x:f>
      </x:c>
      <x:c r="AY29" s="12" t="str">
        <x:f>IF(AND(ISNUMBER(Y29),H29&gt;0),Y29*H29,"")</x:f>
      </x:c>
      <x:c r="AZ29" t="str">
        <x:v>Mangler data</x:v>
      </x:c>
    </x:row>
    <x:row r="30" ht="22" customHeight="1">
      <x:c r="A30" t="str">
        <x:v>OT-69f4688aee62</x:v>
      </x:c>
      <x:c r="B30" t="n">
        <x:v>2015</x:v>
      </x:c>
      <x:c r="C30" t="str">
        <x:v>Kontorbygg</x:v>
      </x:c>
      <x:c r="D30" t="str">
        <x:v>Kontorer, med ventilasjon og kjøleanlegg</x:v>
      </x:c>
      <x:c r="E30" t="str">
        <x:v>G</x:v>
      </x:c>
      <x:c r="F30" t="str">
        <x:v>RED</x:v>
      </x:c>
      <x:c r="G30" t="n">
        <x:v>1920</x:v>
      </x:c>
      <x:c r="H30" t="n">
        <x:v>739</x:v>
      </x:c>
      <x:c r="I30" t="n">
        <x:v>527.99</x:v>
      </x:c>
      <x:c r="J30" t="str">
        <x:v>PDF/avansert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 t="str">
        <x:v>energiattester_export_2025-08-14.json | PDF vedlegg side 5-7</x:v>
      </x:c>
      <x:c r="AV30" s="12" t="str">
        <x:f>IF(COUNT(O30,P30,Q30,R30,K30,L30,M30,N30)=8,O30*K30+P30*L30+Q30*M30+R30*N30,"")</x:f>
      </x:c>
      <x:c r="AW30" s="12" t="str">
        <x:f>IF(AND(ISNUMBER(AV30),H30&gt;0),AV30/H30,"")</x:f>
      </x:c>
      <x:c r="AX30" s="12" t="str">
        <x:f>IF(AND(ISNUMBER(AD30),H30&gt;0),AD30*H30*3600,"")</x:f>
      </x:c>
      <x:c r="AY30" s="12" t="str">
        <x:f>IF(AND(ISNUMBER(Y30),H30&gt;0),Y30*H30,"")</x:f>
      </x:c>
      <x:c r="AZ30" t="str">
        <x:v>Mangler data</x:v>
      </x:c>
    </x:row>
    <x:row r="31" ht="22" customHeight="1">
      <x:c r="A31" t="str">
        <x:v>OT-319bbb2e63a4</x:v>
      </x:c>
      <x:c r="B31" t="n">
        <x:v>2015</x:v>
      </x:c>
      <x:c r="C31" t="str">
        <x:v>Hoteller</x:v>
      </x:c>
      <x:c r="D31" t="str">
        <x:v>BYGNING FOR OVERNATTING</x:v>
      </x:c>
      <x:c r="E31" t="str">
        <x:v>G</x:v>
      </x:c>
      <x:c r="F31" t="str">
        <x:v>ORANGE</x:v>
      </x:c>
      <x:c r="G31" t="n">
        <x:v>1954</x:v>
      </x:c>
      <x:c r="H31" t="n">
        <x:v>966</x:v>
      </x:c>
      <x:c r="I31" t="n">
        <x:v>706.8</x:v>
      </x:c>
      <x:c r="J31" t="str">
        <x:v>PDF/avansert</x:v>
      </x:c>
      <x:c r="K31" t="n">
        <x:v>603</x:v>
      </x:c>
      <x:c r="L31" t="n">
        <x:v>418</x:v>
      </x:c>
      <x:c r="M31" t="n">
        <x:v>402</x:v>
      </x:c>
      <x:c r="N31" t="n">
        <x:v>155</x:v>
      </x:c>
      <x:c r="O31" t="n">
        <x:v>1.59</x:v>
      </x:c>
      <x:c r="P31" t="n">
        <x:v>1.1</x:v>
      </x:c>
      <x:c r="Q31" t="n">
        <x:v>0.28</x:v>
      </x:c>
      <x:c r="R31" t="n">
        <x:v>2.74</x:v>
      </x:c>
      <x:c r="S31" t="n">
        <x:v>14</x:v>
      </x:c>
      <x:c r="T31" t="n">
        <x:v>14</x:v>
      </x:c>
      <x:c r="U31" t="n">
        <x:v>4.16</x:v>
      </x:c>
      <x:c r="V31" t="n">
        <x:v>0.4</x:v>
      </x:c>
      <x:c r="W31" t="n">
        <x:v>10</x:v>
      </x:c>
      <x:c r="X31" t="n">
        <x:v>173</x:v>
      </x:c>
      <x:c r="Y31" t="n">
        <x:v>271</x:v>
      </x:c>
      <x:c r="Z31" t="n">
        <x:v>49</x:v>
      </x:c>
      <x:c r="AA31" t="n">
        <x:v>21</x:v>
      </x:c>
      <x:c r="AB31" t="n">
        <x:v>22</x:v>
      </x:c>
      <x:c r="AC31" t="n">
        <x:v>3</x:v>
      </x:c>
      <x:c r="AD31" t="n">
        <x:v>106.4</x:v>
      </x:c>
      <x:c r="AE31" t="n">
        <x:v>0.12</x:v>
      </x:c>
      <x:c r="AF31" t="n">
        <x:v>16</x:v>
      </x:c>
      <x:c r="AG31" t="n">
        <x:v>16</x:v>
      </x:c>
      <x:c r="AH31" t="n">
        <x:v>24</x:v>
      </x:c>
      <x:c r="AI31" t="n">
        <x:v>8</x:v>
      </x:c>
      <x:c r="AJ31" t="n">
        <x:v>1</x:v>
      </x:c>
      <x:c r="AK31" t="n">
        <x:v>250</x:v>
      </x:c>
      <x:c r="AL31" t="str">
        <x:v>Direkte elektrisk; Olje; Varmepumpe;</x:v>
      </x:c>
      <x:c r="AM31" t="n">
        <x:v>1</x:v>
      </x:c>
      <x:c r="AN31" t="n">
        <x:v>0</x:v>
      </x:c>
      <x:c r="AO31" t="n">
        <x:v>1</x:v>
      </x:c>
      <x:c r="AP31" t="n">
        <x:v>1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str">
        <x:v>energiattester_export_2025-08-14.json | PDF vedlegg side 5-7</x:v>
      </x:c>
      <x:c r="AV31" s="12" t="n">
        <x:f>IF(COUNT(O31,P31,Q31,R31,K31,L31,M31,N31)=8,O31*K31+P31*L31+Q31*M31+R31*N31,"")</x:f>
        <x:v>1955.8300000000002</x:v>
      </x:c>
      <x:c r="AW31" s="12" t="n">
        <x:f>IF(AND(ISNUMBER(AV31),H31&gt;0),AV31/H31,"")</x:f>
        <x:v>2.0246687370600416</x:v>
      </x:c>
      <x:c r="AX31" s="12" t="n">
        <x:f>IF(AND(ISNUMBER(AD31),H31&gt;0),AD31*H31*3600,"")</x:f>
        <x:v>370016640.00000006</x:v>
      </x:c>
      <x:c r="AY31" s="12" t="n">
        <x:f>IF(AND(ISNUMBER(Y31),H31&gt;0),Y31*H31,"")</x:f>
        <x:v>261786</x:v>
      </x:c>
      <x:c r="AZ31" t="str">
        <x:v>Høy</x:v>
      </x:c>
    </x:row>
    <x:row r="32" ht="22" customHeight="1">
      <x:c r="A32" t="str">
        <x:v>OT-14b565ea96c0</x:v>
      </x:c>
      <x:c r="B32" t="n">
        <x:v>2015</x:v>
      </x:c>
      <x:c r="C32" t="str">
        <x:v>Kontorbygg</x:v>
      </x:c>
      <x:c r="D32" t="str">
        <x:v>KONTORER, ENKLE</x:v>
      </x:c>
      <x:c r="E32" t="str">
        <x:v>G</x:v>
      </x:c>
      <x:c r="F32" t="str">
        <x:v>RED</x:v>
      </x:c>
      <x:c r="G32" t="n">
        <x:v>1980</x:v>
      </x:c>
      <x:c r="H32" t="n">
        <x:v>301</x:v>
      </x:c>
      <x:c r="I32" t="n">
        <x:v>313.4</x:v>
      </x:c>
      <x:c r="J32" t="str">
        <x:v>PDF/avansert</x:v>
      </x:c>
      <x:c r="K32" t="n">
        <x:v>155</x:v>
      </x:c>
      <x:c r="L32" t="n">
        <x:v>301</x:v>
      </x:c>
      <x:c r="M32" t="n">
        <x:v>0</x:v>
      </x:c>
      <x:c r="N32" t="n">
        <x:v>18</x:v>
      </x:c>
      <x:c r="O32" t="n">
        <x:v>0.46</x:v>
      </x:c>
      <x:c r="P32" t="n">
        <x:v>0.41</x:v>
      </x:c>
      <x:c r="Q32" t="n">
        <x:v>0</x:v>
      </x:c>
      <x:c r="R32" t="n">
        <x:v>2.58</x:v>
      </x:c>
      <x:c r="S32" t="n">
        <x:v>0</x:v>
      </x:c>
      <x:c r="T32" t="n">
        <x:v>0</x:v>
      </x:c>
      <x:c r="U32" t="n">
        <x:v>2</x:v>
      </x:c>
      <x:c r="V32" t="n">
        <x:v>0.43</x:v>
      </x:c>
      <x:c r="W32" t="n">
        <x:v>7</x:v>
      </x:c>
      <x:c r="X32" t="n">
        <x:v>81</x:v>
      </x:c>
      <x:c r="Y32" t="n">
        <x:v>50</x:v>
      </x:c>
      <x:c r="Z32" t="n">
        <x:v>0</x:v>
      </x:c>
      <x:c r="AA32" t="n">
        <x:v>21</x:v>
      </x:c>
      <x:c r="AB32" t="n">
        <x:v>22</x:v>
      </x:c>
      <x:c r="AC32" t="n">
        <x:v>3</x:v>
      </x:c>
      <x:c r="AD32" t="n">
        <x:v>28</x:v>
      </x:c>
      <x:c r="AE32" t="n">
        <x:v>0.12</x:v>
      </x:c>
      <x:c r="AF32" t="n">
        <x:v>12</x:v>
      </x:c>
      <x:c r="AG32" t="n">
        <x:v>12</x:v>
      </x:c>
      <x:c r="AH32" t="n">
        <x:v>24</x:v>
      </x:c>
      <x:c r="AI32" t="n">
        <x:v>8</x:v>
      </x:c>
      <x:c r="AJ32" t="n">
        <x:v>11</x:v>
      </x:c>
      <x:c r="AK32" t="n">
        <x:v>250</x:v>
      </x:c>
      <x:c r="AL32" t="str">
        <x:v>Direkte elektrisk;</x:v>
      </x:c>
      <x:c r="AM32" t="n">
        <x:v>0</x:v>
      </x:c>
      <x:c r="AN32" t="n">
        <x:v>0</x:v>
      </x:c>
      <x:c r="AO32" t="n">
        <x:v>1</x:v>
      </x:c>
      <x:c r="AP32" t="n">
        <x:v>1</x:v>
      </x:c>
      <x:c r="AQ32" t="n">
        <x:v>0</x:v>
      </x:c>
      <x:c r="AR32" t="n">
        <x:v>1</x:v>
      </x:c>
      <x:c r="AS32" t="n">
        <x:v>1</x:v>
      </x:c>
      <x:c r="AT32" t="n">
        <x:v>0</x:v>
      </x:c>
      <x:c r="AU32" t="str">
        <x:v>energiattester_export_2025-08-14.json | PDF vedlegg side 5-7</x:v>
      </x:c>
      <x:c r="AV32" s="12" t="n">
        <x:f>IF(COUNT(O32,P32,Q32,R32,K32,L32,M32,N32)=8,O32*K32+P32*L32+Q32*M32+R32*N32,"")</x:f>
        <x:v>241.14999999999998</x:v>
      </x:c>
      <x:c r="AW32" s="12" t="n">
        <x:f>IF(AND(ISNUMBER(AV32),H32&gt;0),AV32/H32,"")</x:f>
        <x:v>0.8011627906976744</x:v>
      </x:c>
      <x:c r="AX32" s="12" t="n">
        <x:f>IF(AND(ISNUMBER(AD32),H32&gt;0),AD32*H32*3600,"")</x:f>
        <x:v>30340800</x:v>
      </x:c>
      <x:c r="AY32" s="12" t="n">
        <x:f>IF(AND(ISNUMBER(Y32),H32&gt;0),Y32*H32,"")</x:f>
        <x:v>15050</x:v>
      </x:c>
      <x:c r="AZ32" t="str">
        <x:v>Høy</x:v>
      </x:c>
    </x:row>
    <x:row r="33" ht="22" customHeight="1">
      <x:c r="A33" t="str">
        <x:v>OT-62e2edcf62dc</x:v>
      </x:c>
      <x:c r="B33" t="n">
        <x:v>2015</x:v>
      </x:c>
      <x:c r="C33" t="str">
        <x:v>Kontorbygg</x:v>
      </x:c>
      <x:c r="D33" t="str">
        <x:v>Kontorer, med ventilasjon og kjøleanlegg</x:v>
      </x:c>
      <x:c r="E33" t="str">
        <x:v>F</x:v>
      </x:c>
      <x:c r="F33" t="str">
        <x:v>RED</x:v>
      </x:c>
      <x:c r="G33" t="n">
        <x:v>1973</x:v>
      </x:c>
      <x:c r="H33" t="n">
        <x:v>1425</x:v>
      </x:c>
      <x:c r="I33" t="n">
        <x:v>225.67</x:v>
      </x:c>
      <x:c r="J33" t="str">
        <x:v>PDF/avansert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1</x:v>
      </x:c>
      <x:c r="AS33" t="n">
        <x:v>1</x:v>
      </x:c>
      <x:c r="AT33" t="n">
        <x:v>0</x:v>
      </x:c>
      <x:c r="AU33" t="str">
        <x:v>energiattester_export_2025-08-14.json | PDF vedlegg side 5-7</x:v>
      </x:c>
      <x:c r="AV33" s="12" t="str">
        <x:f>IF(COUNT(O33,P33,Q33,R33,K33,L33,M33,N33)=8,O33*K33+P33*L33+Q33*M33+R33*N33,"")</x:f>
      </x:c>
      <x:c r="AW33" s="12" t="str">
        <x:f>IF(AND(ISNUMBER(AV33),H33&gt;0),AV33/H33,"")</x:f>
      </x:c>
      <x:c r="AX33" s="12" t="str">
        <x:f>IF(AND(ISNUMBER(AD33),H33&gt;0),AD33*H33*3600,"")</x:f>
      </x:c>
      <x:c r="AY33" s="12" t="str">
        <x:f>IF(AND(ISNUMBER(Y33),H33&gt;0),Y33*H33,"")</x:f>
      </x:c>
      <x:c r="AZ33" t="str">
        <x:v>Mangler data</x:v>
      </x:c>
    </x:row>
    <x:row r="34" ht="22" customHeight="1">
      <x:c r="A34" t="str">
        <x:v>OT-81e69b440f3a</x:v>
      </x:c>
      <x:c r="B34" t="n">
        <x:v>2015</x:v>
      </x:c>
      <x:c r="C34" t="str">
        <x:v>Kontorbygg</x:v>
      </x:c>
      <x:c r="D34" t="str">
        <x:v>KONTORER, MED VENTILASJON OG KJØLEANLEGG</x:v>
      </x:c>
      <x:c r="E34" t="str">
        <x:v>D</x:v>
      </x:c>
      <x:c r="F34" t="str">
        <x:v>RED</x:v>
      </x:c>
      <x:c r="G34" t="n">
        <x:v>1989</x:v>
      </x:c>
      <x:c r="H34" t="n">
        <x:v>1152</x:v>
      </x:c>
      <x:c r="I34" t="n">
        <x:v>169.5</x:v>
      </x:c>
      <x:c r="J34" t="str">
        <x:v>PDF/avansert</x:v>
      </x:c>
      <x:c r="K34" t="n">
        <x:v>456</x:v>
      </x:c>
      <x:c r="L34" t="n">
        <x:v>576</x:v>
      </x:c>
      <x:c r="M34" t="n">
        <x:v>576</x:v>
      </x:c>
      <x:c r="N34" t="n">
        <x:v>110</x:v>
      </x:c>
      <x:c r="O34" t="n">
        <x:v>0.28</x:v>
      </x:c>
      <x:c r="P34" t="n">
        <x:v>0.2</x:v>
      </x:c>
      <x:c r="Q34" t="n">
        <x:v>0.15</x:v>
      </x:c>
      <x:c r="R34" t="n">
        <x:v>2.34</x:v>
      </x:c>
      <x:c r="S34" t="n">
        <x:v>70</x:v>
      </x:c>
      <x:c r="T34" t="n">
        <x:v>70</x:v>
      </x:c>
      <x:c r="U34" t="n">
        <x:v>2.5</x:v>
      </x:c>
      <x:c r="V34" t="n">
        <x:v>0.43</x:v>
      </x:c>
      <x:c r="W34" t="n">
        <x:v>7</x:v>
      </x:c>
      <x:c r="X34" t="n">
        <x:v>92</x:v>
      </x:c>
      <x:c r="Y34" t="n">
        <x:v>75</x:v>
      </x:c>
      <x:c r="Z34" t="n">
        <x:v>50</x:v>
      </x:c>
      <x:c r="AA34" t="n">
        <x:v>21</x:v>
      </x:c>
      <x:c r="AB34" t="n">
        <x:v>22</x:v>
      </x:c>
      <x:c r="AC34" t="n">
        <x:v>3</x:v>
      </x:c>
      <x:c r="AD34" t="n">
        <x:v>81</x:v>
      </x:c>
      <x:c r="AE34" t="n">
        <x:v>0.09</x:v>
      </x:c>
      <x:c r="AF34"/>
      <x:c r="AG34"/>
      <x:c r="AH34"/>
      <x:c r="AI34"/>
      <x:c r="AJ34"/>
      <x:c r="AK34" t="n">
        <x:v>270</x:v>
      </x:c>
      <x:c r="AL34"/>
      <x:c r="AM34" t="n">
        <x:v>0</x:v>
      </x:c>
      <x:c r="AN34" t="n">
        <x:v>0</x:v>
      </x:c>
      <x:c r="AO34" t="n">
        <x:v>1</x:v>
      </x:c>
      <x:c r="AP34" t="n">
        <x:v>1</x:v>
      </x:c>
      <x:c r="AQ34" t="n">
        <x:v>0</x:v>
      </x:c>
      <x:c r="AR34" t="n">
        <x:v>1</x:v>
      </x:c>
      <x:c r="AS34" t="n">
        <x:v>1</x:v>
      </x:c>
      <x:c r="AT34" t="n">
        <x:v>1</x:v>
      </x:c>
      <x:c r="AU34" t="str">
        <x:v>energiattester_export_2025-08-14.json | PDF vedlegg side 5-7</x:v>
      </x:c>
      <x:c r="AV34" s="12" t="n">
        <x:f>IF(COUNT(O34,P34,Q34,R34,K34,L34,M34,N34)=8,O34*K34+P34*L34+Q34*M34+R34*N34,"")</x:f>
        <x:v>586.68</x:v>
      </x:c>
      <x:c r="AW34" s="12" t="n">
        <x:f>IF(AND(ISNUMBER(AV34),H34&gt;0),AV34/H34,"")</x:f>
        <x:v>0.5092708333333333</x:v>
      </x:c>
      <x:c r="AX34" s="12" t="n">
        <x:f>IF(AND(ISNUMBER(AD34),H34&gt;0),AD34*H34*3600,"")</x:f>
        <x:v>335923200</x:v>
      </x:c>
      <x:c r="AY34" s="12" t="n">
        <x:f>IF(AND(ISNUMBER(Y34),H34&gt;0),Y34*H34,"")</x:f>
        <x:v>86400</x:v>
      </x:c>
      <x:c r="AZ34" t="str">
        <x:v>Høy</x:v>
      </x:c>
    </x:row>
    <x:row r="35" ht="22" customHeight="1">
      <x:c r="A35" t="str">
        <x:v>OT-096d448add38</x:v>
      </x:c>
      <x:c r="B35" t="n">
        <x:v>2015</x:v>
      </x:c>
      <x:c r="C35" t="str">
        <x:v>Hoteller</x:v>
      </x:c>
      <x:c r="D35" t="str">
        <x:v>HOTELLBYGNING</x:v>
      </x:c>
      <x:c r="E35" t="str">
        <x:v>E</x:v>
      </x:c>
      <x:c r="F35" t="str">
        <x:v>GREEN</x:v>
      </x:c>
      <x:c r="G35" t="n">
        <x:v>1930</x:v>
      </x:c>
      <x:c r="H35" t="n">
        <x:v>4217</x:v>
      </x:c>
      <x:c r="I35" t="n">
        <x:v>305.9</x:v>
      </x:c>
      <x:c r="J35" t="str">
        <x:v>PDF/avansert</x:v>
      </x:c>
      <x:c r="K35" t="n">
        <x:v>1507</x:v>
      </x:c>
      <x:c r="L35" t="n">
        <x:v>588</x:v>
      </x:c>
      <x:c r="M35" t="n">
        <x:v>588</x:v>
      </x:c>
      <x:c r="N35" t="n">
        <x:v>717</x:v>
      </x:c>
      <x:c r="O35" t="n">
        <x:v>0.3</x:v>
      </x:c>
      <x:c r="P35" t="n">
        <x:v>0.3</x:v>
      </x:c>
      <x:c r="Q35" t="n">
        <x:v>0.29</x:v>
      </x:c>
      <x:c r="R35" t="n">
        <x:v>2</x:v>
      </x:c>
      <x:c r="S35" t="n">
        <x:v>40</x:v>
      </x:c>
      <x:c r="T35" t="n">
        <x:v>40</x:v>
      </x:c>
      <x:c r="U35" t="n">
        <x:v>3.3</x:v>
      </x:c>
      <x:c r="V35" t="n">
        <x:v>0.28</x:v>
      </x:c>
      <x:c r="W35" t="n">
        <x:v>7.2</x:v>
      </x:c>
      <x:c r="X35" t="n">
        <x:v>87</x:v>
      </x:c>
      <x:c r="Y35" t="n">
        <x:v>180</x:v>
      </x:c>
      <x:c r="Z35" t="n">
        <x:v>30</x:v>
      </x:c>
      <x:c r="AA35" t="n">
        <x:v>21</x:v>
      </x:c>
      <x:c r="AB35" t="n">
        <x:v>22</x:v>
      </x:c>
      <x:c r="AC35" t="n">
        <x:v>2.5</x:v>
      </x:c>
      <x:c r="AD35" t="n">
        <x:v>48.1</x:v>
      </x:c>
      <x:c r="AE35" t="n">
        <x:v>0.12</x:v>
      </x:c>
      <x:c r="AF35" t="n">
        <x:v>16</x:v>
      </x:c>
      <x:c r="AG35" t="n">
        <x:v>16</x:v>
      </x:c>
      <x:c r="AH35" t="n">
        <x:v>24</x:v>
      </x:c>
      <x:c r="AI35" t="n">
        <x:v>8</x:v>
      </x:c>
      <x:c r="AJ35" t="n">
        <x:v>1</x:v>
      </x:c>
      <x:c r="AK35" t="n">
        <x:v>250</x:v>
      </x:c>
      <x:c r="AL35" t="str">
        <x:v>Fjernvarme;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str">
        <x:v>energiattester_export_2025-08-14.json | PDF vedlegg side 5-7</x:v>
      </x:c>
      <x:c r="AV35" s="12" t="n">
        <x:f>IF(COUNT(O35,P35,Q35,R35,K35,L35,M35,N35)=8,O35*K35+P35*L35+Q35*M35+R35*N35,"")</x:f>
        <x:v>2233.02</x:v>
      </x:c>
      <x:c r="AW35" s="12" t="n">
        <x:f>IF(AND(ISNUMBER(AV35),H35&gt;0),AV35/H35,"")</x:f>
        <x:v>0.5295281005454114</x:v>
      </x:c>
      <x:c r="AX35" s="12" t="n">
        <x:f>IF(AND(ISNUMBER(AD35),H35&gt;0),AD35*H35*3600,"")</x:f>
        <x:v>730215720</x:v>
      </x:c>
      <x:c r="AY35" s="12" t="n">
        <x:f>IF(AND(ISNUMBER(Y35),H35&gt;0),Y35*H35,"")</x:f>
        <x:v>759060</x:v>
      </x:c>
      <x:c r="AZ35" t="str">
        <x:v>Høy</x:v>
      </x:c>
    </x:row>
    <x:row r="36" ht="22" customHeight="1">
      <x:c r="A36" t="str">
        <x:v>OT-3273074a7672</x:v>
      </x:c>
      <x:c r="B36" t="n">
        <x:v>2015</x:v>
      </x:c>
      <x:c r="C36" t="str">
        <x:v>Hoteller</x:v>
      </x:c>
      <x:c r="D36" t="str">
        <x:v>HOTELLBYGNING</x:v>
      </x:c>
      <x:c r="E36" t="str">
        <x:v>E</x:v>
      </x:c>
      <x:c r="F36" t="str">
        <x:v>RED</x:v>
      </x:c>
      <x:c r="G36" t="n">
        <x:v>1898</x:v>
      </x:c>
      <x:c r="H36" t="n">
        <x:v>3537</x:v>
      </x:c>
      <x:c r="I36" t="n">
        <x:v>301.6</x:v>
      </x:c>
      <x:c r="J36" t="str">
        <x:v>PDF/avansert</x:v>
      </x:c>
      <x:c r="K36" t="n">
        <x:v>1241</x:v>
      </x:c>
      <x:c r="L36" t="n">
        <x:v>1287</x:v>
      </x:c>
      <x:c r="M36" t="n">
        <x:v>1287</x:v>
      </x:c>
      <x:c r="N36" t="n">
        <x:v>530</x:v>
      </x:c>
      <x:c r="O36" t="n">
        <x:v>0.35</x:v>
      </x:c>
      <x:c r="P36" t="n">
        <x:v>0.3</x:v>
      </x:c>
      <x:c r="Q36" t="n">
        <x:v>0.29</x:v>
      </x:c>
      <x:c r="R36" t="n">
        <x:v>2.4</x:v>
      </x:c>
      <x:c r="S36" t="n">
        <x:v>40</x:v>
      </x:c>
      <x:c r="T36" t="n">
        <x:v>40</x:v>
      </x:c>
      <x:c r="U36" t="n">
        <x:v>3.03</x:v>
      </x:c>
      <x:c r="V36" t="n">
        <x:v>0.86</x:v>
      </x:c>
      <x:c r="W36" t="n">
        <x:v>7</x:v>
      </x:c>
      <x:c r="X36" t="n">
        <x:v>95</x:v>
      </x:c>
      <x:c r="Y36" t="n">
        <x:v>270</x:v>
      </x:c>
      <x:c r="Z36" t="n">
        <x:v>30</x:v>
      </x:c>
      <x:c r="AA36" t="n">
        <x:v>21</x:v>
      </x:c>
      <x:c r="AB36" t="n">
        <x:v>22</x:v>
      </x:c>
      <x:c r="AC36" t="n">
        <x:v>3</x:v>
      </x:c>
      <x:c r="AD36" t="n">
        <x:v>76</x:v>
      </x:c>
      <x:c r="AE36" t="n">
        <x:v>0.12</x:v>
      </x:c>
      <x:c r="AF36" t="n">
        <x:v>16</x:v>
      </x:c>
      <x:c r="AG36" t="n">
        <x:v>16</x:v>
      </x:c>
      <x:c r="AH36" t="n">
        <x:v>24</x:v>
      </x:c>
      <x:c r="AI36" t="n">
        <x:v>8</x:v>
      </x:c>
      <x:c r="AJ36" t="n">
        <x:v>1</x:v>
      </x:c>
      <x:c r="AK36" t="n">
        <x:v>250</x:v>
      </x:c>
      <x:c r="AL36" t="str">
        <x:v>Direkte elektrisk;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str">
        <x:v>energiattester_export_2025-08-14.json | PDF vedlegg side 5-7</x:v>
      </x:c>
      <x:c r="AV36" s="12" t="n">
        <x:f>IF(COUNT(O36,P36,Q36,R36,K36,L36,M36,N36)=8,O36*K36+P36*L36+Q36*M36+R36*N36,"")</x:f>
        <x:v>2465.68</x:v>
      </x:c>
      <x:c r="AW36" s="12" t="n">
        <x:f>IF(AND(ISNUMBER(AV36),H36&gt;0),AV36/H36,"")</x:f>
        <x:v>0.697110545660164</x:v>
      </x:c>
      <x:c r="AX36" s="12" t="n">
        <x:f>IF(AND(ISNUMBER(AD36),H36&gt;0),AD36*H36*3600,"")</x:f>
        <x:v>967723200</x:v>
      </x:c>
      <x:c r="AY36" s="12" t="n">
        <x:f>IF(AND(ISNUMBER(Y36),H36&gt;0),Y36*H36,"")</x:f>
        <x:v>954990</x:v>
      </x:c>
      <x:c r="AZ36" t="str">
        <x:v>Høy</x:v>
      </x:c>
    </x:row>
    <x:row r="37" ht="22" customHeight="1">
      <x:c r="A37" t="str">
        <x:v>OT-ed418c23bbe4</x:v>
      </x:c>
      <x:c r="B37" t="n">
        <x:v>2015</x:v>
      </x:c>
      <x:c r="C37" t="str">
        <x:v>Kontorbygg</x:v>
      </x:c>
      <x:c r="D37" t="str">
        <x:v>KONTORER, ENKLE</x:v>
      </x:c>
      <x:c r="E37" t="str">
        <x:v>G</x:v>
      </x:c>
      <x:c r="F37" t="str">
        <x:v>RED</x:v>
      </x:c>
      <x:c r="G37" t="n">
        <x:v>1978</x:v>
      </x:c>
      <x:c r="H37" t="n">
        <x:v>200</x:v>
      </x:c>
      <x:c r="I37" t="n">
        <x:v>455.6</x:v>
      </x:c>
      <x:c r="J37" t="str">
        <x:v>PDF/avansert</x:v>
      </x:c>
      <x:c r="K37" t="n">
        <x:v>187</x:v>
      </x:c>
      <x:c r="L37" t="n">
        <x:v>152</x:v>
      </x:c>
      <x:c r="M37" t="n">
        <x:v>142</x:v>
      </x:c>
      <x:c r="N37" t="n">
        <x:v>38</x:v>
      </x:c>
      <x:c r="O37" t="n">
        <x:v>0.66</x:v>
      </x:c>
      <x:c r="P37" t="n">
        <x:v>0.6</x:v>
      </x:c>
      <x:c r="Q37" t="n">
        <x:v>0.34</x:v>
      </x:c>
      <x:c r="R37" t="n">
        <x:v>2.8</x:v>
      </x:c>
      <x:c r="S37" t="n">
        <x:v>0</x:v>
      </x:c>
      <x:c r="T37" t="n">
        <x:v>0</x:v>
      </x:c>
      <x:c r="U37" t="n">
        <x:v>2</x:v>
      </x:c>
      <x:c r="V37" t="n">
        <x:v>0.43</x:v>
      </x:c>
      <x:c r="W37" t="n">
        <x:v>7</x:v>
      </x:c>
      <x:c r="X37" t="n">
        <x:v>89</x:v>
      </x:c>
      <x:c r="Y37" t="n">
        <x:v>150</x:v>
      </x:c>
      <x:c r="Z37" t="n">
        <x:v>0</x:v>
      </x:c>
      <x:c r="AA37" t="n">
        <x:v>21</x:v>
      </x:c>
      <x:c r="AB37" t="n">
        <x:v>22</x:v>
      </x:c>
      <x:c r="AC37" t="n">
        <x:v>7</x:v>
      </x:c>
      <x:c r="AD37" t="n">
        <x:v>44.2</x:v>
      </x:c>
      <x:c r="AE37" t="n">
        <x:v>0.05</x:v>
      </x:c>
      <x:c r="AF37" t="n">
        <x:v>12</x:v>
      </x:c>
      <x:c r="AG37" t="n">
        <x:v>12</x:v>
      </x:c>
      <x:c r="AH37" t="n">
        <x:v>24</x:v>
      </x:c>
      <x:c r="AI37" t="n">
        <x:v>8</x:v>
      </x:c>
      <x:c r="AJ37" t="n">
        <x:v>11</x:v>
      </x:c>
      <x:c r="AK37" t="n">
        <x:v>250</x:v>
      </x:c>
      <x:c r="AL37" t="str">
        <x:v>Direkte elektrisk;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1</x:v>
      </x:c>
      <x:c r="AT37" t="n">
        <x:v>1</x:v>
      </x:c>
      <x:c r="AU37" t="str">
        <x:v>energiattester_export_2025-08-14.json | PDF vedlegg side 5-7</x:v>
      </x:c>
      <x:c r="AV37" s="12" t="n">
        <x:f>IF(COUNT(O37,P37,Q37,R37,K37,L37,M37,N37)=8,O37*K37+P37*L37+Q37*M37+R37*N37,"")</x:f>
        <x:v>369.29999999999995</x:v>
      </x:c>
      <x:c r="AW37" s="12" t="n">
        <x:f>IF(AND(ISNUMBER(AV37),H37&gt;0),AV37/H37,"")</x:f>
        <x:v>1.8464999999999998</x:v>
      </x:c>
      <x:c r="AX37" s="12" t="n">
        <x:f>IF(AND(ISNUMBER(AD37),H37&gt;0),AD37*H37*3600,"")</x:f>
        <x:v>31824000</x:v>
      </x:c>
      <x:c r="AY37" s="12" t="n">
        <x:f>IF(AND(ISNUMBER(Y37),H37&gt;0),Y37*H37,"")</x:f>
        <x:v>30000</x:v>
      </x:c>
      <x:c r="AZ37" t="str">
        <x:v>Høy</x:v>
      </x:c>
    </x:row>
    <x:row r="38" ht="22" customHeight="1">
      <x:c r="A38" t="str">
        <x:v>OT-637cabdd17b2</x:v>
      </x:c>
      <x:c r="B38" t="n">
        <x:v>2015</x:v>
      </x:c>
      <x:c r="C38" t="str">
        <x:v>Kontorbygg</x:v>
      </x:c>
      <x:c r="D38" t="str">
        <x:v>KONTORER, MED VENTILASJON OG KJØLEANLEGG</x:v>
      </x:c>
      <x:c r="E38" t="str">
        <x:v>C</x:v>
      </x:c>
      <x:c r="F38" t="str">
        <x:v>RED</x:v>
      </x:c>
      <x:c r="G38" t="n">
        <x:v>2004</x:v>
      </x:c>
      <x:c r="H38" t="n">
        <x:v>80</x:v>
      </x:c>
      <x:c r="I38" t="n">
        <x:v>137.1</x:v>
      </x:c>
      <x:c r="J38" t="str">
        <x:v>PDF/avansert</x:v>
      </x:c>
      <x:c r="K38" t="n">
        <x:v>56</x:v>
      </x:c>
      <x:c r="L38" t="n">
        <x:v>40</x:v>
      </x:c>
      <x:c r="M38" t="n">
        <x:v>40</x:v>
      </x:c>
      <x:c r="N38" t="n">
        <x:v>9</x:v>
      </x:c>
      <x:c r="O38" t="n">
        <x:v>0.21</x:v>
      </x:c>
      <x:c r="P38" t="n">
        <x:v>0.15</x:v>
      </x:c>
      <x:c r="Q38" t="n">
        <x:v>0.13</x:v>
      </x:c>
      <x:c r="R38" t="n">
        <x:v>1.2</x:v>
      </x:c>
      <x:c r="S38" t="n">
        <x:v>70</x:v>
      </x:c>
      <x:c r="T38" t="n">
        <x:v>70</x:v>
      </x:c>
      <x:c r="U38" t="n">
        <x:v>2</x:v>
      </x:c>
      <x:c r="V38" t="n">
        <x:v>0.43</x:v>
      </x:c>
      <x:c r="W38" t="n">
        <x:v>7</x:v>
      </x:c>
      <x:c r="X38" t="n">
        <x:v>90</x:v>
      </x:c>
      <x:c r="Y38" t="n">
        <x:v>80</x:v>
      </x:c>
      <x:c r="Z38" t="n">
        <x:v>0</x:v>
      </x:c>
      <x:c r="AA38" t="n">
        <x:v>21</x:v>
      </x:c>
      <x:c r="AB38" t="n">
        <x:v>22</x:v>
      </x:c>
      <x:c r="AC38" t="n">
        <x:v>2.1</x:v>
      </x:c>
      <x:c r="AD38" t="n">
        <x:v>56.1</x:v>
      </x:c>
      <x:c r="AE38" t="n">
        <x:v>0.09</x:v>
      </x:c>
      <x:c r="AF38" t="n">
        <x:v>12</x:v>
      </x:c>
      <x:c r="AG38" t="n">
        <x:v>12</x:v>
      </x:c>
      <x:c r="AH38" t="n">
        <x:v>24</x:v>
      </x:c>
      <x:c r="AI38" t="n">
        <x:v>8</x:v>
      </x:c>
      <x:c r="AJ38" t="n">
        <x:v>11</x:v>
      </x:c>
      <x:c r="AK38" t="n">
        <x:v>250</x:v>
      </x:c>
      <x:c r="AL38" t="str">
        <x:v>Direkte elektrisk;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1</x:v>
      </x:c>
      <x:c r="AS38" t="n">
        <x:v>1</x:v>
      </x:c>
      <x:c r="AT38" t="n">
        <x:v>0</x:v>
      </x:c>
      <x:c r="AU38" t="str">
        <x:v>energiattester_export_2025-08-14.json | PDF vedlegg side 5-7</x:v>
      </x:c>
      <x:c r="AV38" s="12" t="n">
        <x:f>IF(COUNT(O38,P38,Q38,R38,K38,L38,M38,N38)=8,O38*K38+P38*L38+Q38*M38+R38*N38,"")</x:f>
        <x:v>33.76</x:v>
      </x:c>
      <x:c r="AW38" s="12" t="n">
        <x:f>IF(AND(ISNUMBER(AV38),H38&gt;0),AV38/H38,"")</x:f>
        <x:v>0.422</x:v>
      </x:c>
      <x:c r="AX38" s="12" t="n">
        <x:f>IF(AND(ISNUMBER(AD38),H38&gt;0),AD38*H38*3600,"")</x:f>
        <x:v>16156800</x:v>
      </x:c>
      <x:c r="AY38" s="12" t="n">
        <x:f>IF(AND(ISNUMBER(Y38),H38&gt;0),Y38*H38,"")</x:f>
        <x:v>6400</x:v>
      </x:c>
      <x:c r="AZ38" t="str">
        <x:v>Høy</x:v>
      </x:c>
    </x:row>
    <x:row r="39" ht="22" customHeight="1">
      <x:c r="A39" t="str">
        <x:v>OT-ee001dff3f99</x:v>
      </x:c>
      <x:c r="B39" t="n">
        <x:v>2015</x:v>
      </x:c>
      <x:c r="C39" t="str">
        <x:v>Kontorbygg</x:v>
      </x:c>
      <x:c r="D39" t="str">
        <x:v>KONTORER, MED VENTILASJON OG KJØLEANLEGG</x:v>
      </x:c>
      <x:c r="E39" t="str">
        <x:v>D</x:v>
      </x:c>
      <x:c r="F39" t="str">
        <x:v>RED</x:v>
      </x:c>
      <x:c r="G39" t="n">
        <x:v>1979</x:v>
      </x:c>
      <x:c r="H39" t="n">
        <x:v>760</x:v>
      </x:c>
      <x:c r="I39" t="n">
        <x:v>172.9</x:v>
      </x:c>
      <x:c r="J39" t="str">
        <x:v>PDF/avansert</x:v>
      </x:c>
      <x:c r="K39" t="n">
        <x:v>198</x:v>
      </x:c>
      <x:c r="L39" t="n">
        <x:v>760</x:v>
      </x:c>
      <x:c r="M39" t="n">
        <x:v>760</x:v>
      </x:c>
      <x:c r="N39" t="n">
        <x:v>80</x:v>
      </x:c>
      <x:c r="O39" t="n">
        <x:v>0.25</x:v>
      </x:c>
      <x:c r="P39" t="n">
        <x:v>0.14</x:v>
      </x:c>
      <x:c r="Q39" t="n">
        <x:v>0.19</x:v>
      </x:c>
      <x:c r="R39" t="n">
        <x:v>2.7</x:v>
      </x:c>
      <x:c r="S39" t="n">
        <x:v>70</x:v>
      </x:c>
      <x:c r="T39" t="n">
        <x:v>70</x:v>
      </x:c>
      <x:c r="U39" t="n">
        <x:v>1.97</x:v>
      </x:c>
      <x:c r="V39" t="n">
        <x:v>0</x:v>
      </x:c>
      <x:c r="W39" t="n">
        <x:v>7</x:v>
      </x:c>
      <x:c r="X39" t="n">
        <x:v>89</x:v>
      </x:c>
      <x:c r="Y39" t="n">
        <x:v>80</x:v>
      </x:c>
      <x:c r="Z39" t="n">
        <x:v>0</x:v>
      </x:c>
      <x:c r="AA39" t="n">
        <x:v>21</x:v>
      </x:c>
      <x:c r="AB39" t="n">
        <x:v>22</x:v>
      </x:c>
      <x:c r="AC39" t="n">
        <x:v>3.5</x:v>
      </x:c>
      <x:c r="AD39" t="n">
        <x:v>20.8</x:v>
      </x:c>
      <x:c r="AE39" t="n">
        <x:v>0.05</x:v>
      </x:c>
      <x:c r="AF39" t="n">
        <x:v>12</x:v>
      </x:c>
      <x:c r="AG39" t="n">
        <x:v>12</x:v>
      </x:c>
      <x:c r="AH39" t="n">
        <x:v>24</x:v>
      </x:c>
      <x:c r="AI39" t="n">
        <x:v>8</x:v>
      </x:c>
      <x:c r="AJ39" t="n">
        <x:v>11</x:v>
      </x:c>
      <x:c r="AK39" t="n">
        <x:v>250</x:v>
      </x:c>
      <x:c r="AL39" t="str">
        <x:v>Direkte elektrisk;</x:v>
      </x:c>
      <x:c r="AM39" t="n">
        <x:v>0</x:v>
      </x:c>
      <x:c r="AN39" t="n">
        <x:v>0</x:v>
      </x:c>
      <x:c r="AO39" t="n">
        <x:v>1</x:v>
      </x:c>
      <x:c r="AP39" t="n">
        <x:v>0</x:v>
      </x:c>
      <x:c r="AQ39" t="n">
        <x:v>1</x:v>
      </x:c>
      <x:c r="AR39" t="n">
        <x:v>1</x:v>
      </x:c>
      <x:c r="AS39" t="n">
        <x:v>1</x:v>
      </x:c>
      <x:c r="AT39" t="n">
        <x:v>0</x:v>
      </x:c>
      <x:c r="AU39" t="str">
        <x:v>energiattester_export_2025-08-14.json | PDF vedlegg side 5-7</x:v>
      </x:c>
      <x:c r="AV39" s="12" t="n">
        <x:f>IF(COUNT(O39,P39,Q39,R39,K39,L39,M39,N39)=8,O39*K39+P39*L39+Q39*M39+R39*N39,"")</x:f>
        <x:v>516.3</x:v>
      </x:c>
      <x:c r="AW39" s="12" t="n">
        <x:f>IF(AND(ISNUMBER(AV39),H39&gt;0),AV39/H39,"")</x:f>
        <x:v>0.6793421052631579</x:v>
      </x:c>
      <x:c r="AX39" s="12" t="n">
        <x:f>IF(AND(ISNUMBER(AD39),H39&gt;0),AD39*H39*3600,"")</x:f>
        <x:v>56908800</x:v>
      </x:c>
      <x:c r="AY39" s="12" t="n">
        <x:f>IF(AND(ISNUMBER(Y39),H39&gt;0),Y39*H39,"")</x:f>
        <x:v>60800</x:v>
      </x:c>
      <x:c r="AZ39" t="str">
        <x:v>Høy</x:v>
      </x:c>
    </x:row>
    <x:row r="40" ht="22" customHeight="1">
      <x:c r="A40" t="str">
        <x:v>OT-0009fa67ab71</x:v>
      </x:c>
      <x:c r="B40" t="n">
        <x:v>2015</x:v>
      </x:c>
      <x:c r="C40" t="str">
        <x:v>Kontorbygg</x:v>
      </x:c>
      <x:c r="D40" t="str">
        <x:v>KONTORER, ENKLE</x:v>
      </x:c>
      <x:c r="E40" t="str">
        <x:v>G</x:v>
      </x:c>
      <x:c r="F40" t="str">
        <x:v>RED</x:v>
      </x:c>
      <x:c r="G40" t="n">
        <x:v>1922</x:v>
      </x:c>
      <x:c r="H40" t="n">
        <x:v>749</x:v>
      </x:c>
      <x:c r="I40" t="n">
        <x:v>1</x:v>
      </x:c>
      <x:c r="J40" t="str">
        <x:v>PDF/avansert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 t="n">
        <x:v>0</x:v>
      </x:c>
      <x:c r="AN40" t="n">
        <x:v>0</x:v>
      </x:c>
      <x:c r="AO40" t="n">
        <x:v>1</x:v>
      </x:c>
      <x:c r="AP40" t="n">
        <x:v>1</x:v>
      </x:c>
      <x:c r="AQ40" t="n">
        <x:v>1</x:v>
      </x:c>
      <x:c r="AR40" t="n">
        <x:v>1</x:v>
      </x:c>
      <x:c r="AS40" t="n">
        <x:v>1</x:v>
      </x:c>
      <x:c r="AT40" t="n">
        <x:v>1</x:v>
      </x:c>
      <x:c r="AU40" t="str">
        <x:v>energiattester_export_2025-08-14.json | PDF vedlegg side 5-7</x:v>
      </x:c>
      <x:c r="AV40" s="12" t="str">
        <x:f>IF(COUNT(O40,P40,Q40,R40,K40,L40,M40,N40)=8,O40*K40+P40*L40+Q40*M40+R40*N40,"")</x:f>
      </x:c>
      <x:c r="AW40" s="12" t="str">
        <x:f>IF(AND(ISNUMBER(AV40),H40&gt;0),AV40/H40,"")</x:f>
      </x:c>
      <x:c r="AX40" s="12" t="str">
        <x:f>IF(AND(ISNUMBER(AD40),H40&gt;0),AD40*H40*3600,"")</x:f>
      </x:c>
      <x:c r="AY40" s="12" t="str">
        <x:f>IF(AND(ISNUMBER(Y40),H40&gt;0),Y40*H40,"")</x:f>
      </x:c>
      <x:c r="AZ40" t="str">
        <x:v>Mangler data</x:v>
      </x:c>
    </x:row>
    <x:row r="41" ht="22" customHeight="1">
      <x:c r="A41" t="str">
        <x:v>OT-9d17dff0f1bd</x:v>
      </x:c>
      <x:c r="B41" t="n">
        <x:v>2015</x:v>
      </x:c>
      <x:c r="C41" t="str">
        <x:v>Kontorbygg</x:v>
      </x:c>
      <x:c r="D41" t="str">
        <x:v>KONTORER, MED VENTILASJON OG KJØLEANLEGG</x:v>
      </x:c>
      <x:c r="E41" t="str">
        <x:v>D</x:v>
      </x:c>
      <x:c r="F41" t="str">
        <x:v>RED</x:v>
      </x:c>
      <x:c r="G41" t="n">
        <x:v>1984</x:v>
      </x:c>
      <x:c r="H41" t="n">
        <x:v>680</x:v>
      </x:c>
      <x:c r="I41" t="n">
        <x:v>1</x:v>
      </x:c>
      <x:c r="J41" t="str">
        <x:v>PDF/avansert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 t="n">
        <x:v>0</x:v>
      </x:c>
      <x:c r="AN41" t="n">
        <x:v>0</x:v>
      </x:c>
      <x:c r="AO41" t="n">
        <x:v>1</x:v>
      </x:c>
      <x:c r="AP41" t="n">
        <x:v>1</x:v>
      </x:c>
      <x:c r="AQ41" t="n">
        <x:v>0</x:v>
      </x:c>
      <x:c r="AR41" t="n">
        <x:v>1</x:v>
      </x:c>
      <x:c r="AS41" t="n">
        <x:v>1</x:v>
      </x:c>
      <x:c r="AT41" t="n">
        <x:v>1</x:v>
      </x:c>
      <x:c r="AU41" t="str">
        <x:v>energiattester_export_2025-08-14.json | PDF vedlegg side 5-7</x:v>
      </x:c>
      <x:c r="AV41" s="12" t="str">
        <x:f>IF(COUNT(O41,P41,Q41,R41,K41,L41,M41,N41)=8,O41*K41+P41*L41+Q41*M41+R41*N41,"")</x:f>
      </x:c>
      <x:c r="AW41" s="12" t="str">
        <x:f>IF(AND(ISNUMBER(AV41),H41&gt;0),AV41/H41,"")</x:f>
      </x:c>
      <x:c r="AX41" s="12" t="str">
        <x:f>IF(AND(ISNUMBER(AD41),H41&gt;0),AD41*H41*3600,"")</x:f>
      </x:c>
      <x:c r="AY41" s="12" t="str">
        <x:f>IF(AND(ISNUMBER(Y41),H41&gt;0),Y41*H41,"")</x:f>
      </x:c>
      <x:c r="AZ41" t="str">
        <x:v>Mangler data</x:v>
      </x:c>
    </x:row>
    <x:row r="42" ht="22" customHeight="1">
      <x:c r="A42" t="str">
        <x:v>OT-62480d3be925</x:v>
      </x:c>
      <x:c r="B42" t="n">
        <x:v>2015</x:v>
      </x:c>
      <x:c r="C42" t="str">
        <x:v>Forretningsbygg</x:v>
      </x:c>
      <x:c r="D42" t="str">
        <x:v>BUTIKK</x:v>
      </x:c>
      <x:c r="E42" t="str">
        <x:v>D</x:v>
      </x:c>
      <x:c r="F42" t="str">
        <x:v>RED</x:v>
      </x:c>
      <x:c r="G42" t="n">
        <x:v>1980</x:v>
      </x:c>
      <x:c r="H42" t="n">
        <x:v>6710</x:v>
      </x:c>
      <x:c r="I42" t="n">
        <x:v>212.7</x:v>
      </x:c>
      <x:c r="J42" t="str">
        <x:v>PDF/avansert</x:v>
      </x:c>
      <x:c r="K42" t="n">
        <x:v>1884</x:v>
      </x:c>
      <x:c r="L42" t="n">
        <x:v>1560</x:v>
      </x:c>
      <x:c r="M42" t="n">
        <x:v>1824</x:v>
      </x:c>
      <x:c r="N42" t="n">
        <x:v>514</x:v>
      </x:c>
      <x:c r="O42" t="n">
        <x:v>0.28</x:v>
      </x:c>
      <x:c r="P42" t="n">
        <x:v>0.3</x:v>
      </x:c>
      <x:c r="Q42" t="n">
        <x:v>0.12</x:v>
      </x:c>
      <x:c r="R42" t="n">
        <x:v>2.59</x:v>
      </x:c>
      <x:c r="S42" t="n">
        <x:v>70</x:v>
      </x:c>
      <x:c r="T42" t="n">
        <x:v>70</x:v>
      </x:c>
      <x:c r="U42" t="n">
        <x:v>2.7</x:v>
      </x:c>
      <x:c r="V42" t="n">
        <x:v>0.23</x:v>
      </x:c>
      <x:c r="W42" t="n">
        <x:v>13</x:v>
      </x:c>
      <x:c r="X42" t="n">
        <x:v>81</x:v>
      </x:c>
      <x:c r="Y42" t="n">
        <x:v>80</x:v>
      </x:c>
      <x:c r="Z42" t="n">
        <x:v>30</x:v>
      </x:c>
      <x:c r="AA42" t="n">
        <x:v>21</x:v>
      </x:c>
      <x:c r="AB42" t="n">
        <x:v>22</x:v>
      </x:c>
      <x:c r="AC42" t="n">
        <x:v>3.5</x:v>
      </x:c>
      <x:c r="AD42" t="n">
        <x:v>49.5</x:v>
      </x:c>
      <x:c r="AE42" t="n">
        <x:v>0.12</x:v>
      </x:c>
      <x:c r="AF42" t="n">
        <x:v>12</x:v>
      </x:c>
      <x:c r="AG42" t="n">
        <x:v>12</x:v>
      </x:c>
      <x:c r="AH42" t="n">
        <x:v>24</x:v>
      </x:c>
      <x:c r="AI42" t="n">
        <x:v>15</x:v>
      </x:c>
      <x:c r="AJ42" t="n">
        <x:v>1</x:v>
      </x:c>
      <x:c r="AK42" t="n">
        <x:v>250</x:v>
      </x:c>
      <x:c r="AL42" t="str">
        <x:v>Direkte elektrisk;</x:v>
      </x:c>
      <x:c r="AM42"/>
      <x:c r="AN42"/>
      <x:c r="AO42"/>
      <x:c r="AP42"/>
      <x:c r="AQ42"/>
      <x:c r="AR42"/>
      <x:c r="AS42"/>
      <x:c r="AT42"/>
      <x:c r="AU42" t="str">
        <x:v>energiattester_export_2025-08-14.json | PDF vedlegg side 5-7</x:v>
      </x:c>
      <x:c r="AV42" s="12" t="n">
        <x:f>IF(COUNT(O42,P42,Q42,R42,K42,L42,M42,N42)=8,O42*K42+P42*L42+Q42*M42+R42*N42,"")</x:f>
        <x:v>2545.66</x:v>
      </x:c>
      <x:c r="AW42" s="12" t="n">
        <x:f>IF(AND(ISNUMBER(AV42),H42&gt;0),AV42/H42,"")</x:f>
        <x:v>0.37938301043219075</x:v>
      </x:c>
      <x:c r="AX42" s="12" t="n">
        <x:f>IF(AND(ISNUMBER(AD42),H42&gt;0),AD42*H42*3600,"")</x:f>
        <x:v>1195722000</x:v>
      </x:c>
      <x:c r="AY42" s="12" t="n">
        <x:f>IF(AND(ISNUMBER(Y42),H42&gt;0),Y42*H42,"")</x:f>
        <x:v>536800</x:v>
      </x:c>
      <x:c r="AZ42" t="str">
        <x:v>Høy</x:v>
      </x:c>
    </x:row>
    <x:row r="43" ht="22" customHeight="1">
      <x:c r="A43" t="str">
        <x:v>OT-66afe75a79ee</x:v>
      </x:c>
      <x:c r="B43" t="n">
        <x:v>2015</x:v>
      </x:c>
      <x:c r="C43" t="str">
        <x:v>Kontorbygg</x:v>
      </x:c>
      <x:c r="D43" t="str">
        <x:v>KONTORER, MED VENTILASJON OG KJØLEANLEGG</x:v>
      </x:c>
      <x:c r="E43" t="str">
        <x:v>D</x:v>
      </x:c>
      <x:c r="F43" t="str">
        <x:v>RED</x:v>
      </x:c>
      <x:c r="G43" t="n">
        <x:v>1984</x:v>
      </x:c>
      <x:c r="H43" t="n">
        <x:v>1026</x:v>
      </x:c>
      <x:c r="I43" t="n">
        <x:v>147.5</x:v>
      </x:c>
      <x:c r="J43" t="str">
        <x:v>PDF/avansert</x:v>
      </x:c>
      <x:c r="K43" t="n">
        <x:v>323</x:v>
      </x:c>
      <x:c r="L43" t="n">
        <x:v>485</x:v>
      </x:c>
      <x:c r="M43" t="n">
        <x:v>478</x:v>
      </x:c>
      <x:c r="N43" t="n">
        <x:v>114</x:v>
      </x:c>
      <x:c r="O43" t="n">
        <x:v>0.32</x:v>
      </x:c>
      <x:c r="P43" t="n">
        <x:v>0.16</x:v>
      </x:c>
      <x:c r="Q43" t="n">
        <x:v>0.18</x:v>
      </x:c>
      <x:c r="R43" t="n">
        <x:v>2.32</x:v>
      </x:c>
      <x:c r="S43" t="n">
        <x:v>85</x:v>
      </x:c>
      <x:c r="T43" t="n">
        <x:v>85</x:v>
      </x:c>
      <x:c r="U43" t="n">
        <x:v>1.66</x:v>
      </x:c>
      <x:c r="V43" t="n">
        <x:v>0.29</x:v>
      </x:c>
      <x:c r="W43" t="n">
        <x:v>7.18</x:v>
      </x:c>
      <x:c r="X43" t="n">
        <x:v>91</x:v>
      </x:c>
      <x:c r="Y43" t="n">
        <x:v>64</x:v>
      </x:c>
      <x:c r="Z43" t="n">
        <x:v>15</x:v>
      </x:c>
      <x:c r="AA43" t="n">
        <x:v>21</x:v>
      </x:c>
      <x:c r="AB43" t="n">
        <x:v>22</x:v>
      </x:c>
      <x:c r="AC43" t="n">
        <x:v>3.5</x:v>
      </x:c>
      <x:c r="AD43" t="n">
        <x:v>94.4</x:v>
      </x:c>
      <x:c r="AE43" t="n">
        <x:v>0.07</x:v>
      </x:c>
      <x:c r="AF43" t="n">
        <x:v>12</x:v>
      </x:c>
      <x:c r="AG43" t="n">
        <x:v>12</x:v>
      </x:c>
      <x:c r="AH43" t="n">
        <x:v>24</x:v>
      </x:c>
      <x:c r="AI43" t="n">
        <x:v>8</x:v>
      </x:c>
      <x:c r="AJ43" t="n">
        <x:v>11</x:v>
      </x:c>
      <x:c r="AK43" t="n">
        <x:v>250</x:v>
      </x:c>
      <x:c r="AL43" t="str">
        <x:v>Direkte elektrisk;</x:v>
      </x:c>
      <x:c r="AM43" t="n">
        <x:v>0</x:v>
      </x:c>
      <x:c r="AN43" t="n">
        <x:v>0</x:v>
      </x:c>
      <x:c r="AO43" t="n">
        <x:v>0</x:v>
      </x:c>
      <x:c r="AP43" t="n">
        <x:v>1</x:v>
      </x:c>
      <x:c r="AQ43" t="n">
        <x:v>0</x:v>
      </x:c>
      <x:c r="AR43" t="n">
        <x:v>1</x:v>
      </x:c>
      <x:c r="AS43" t="n">
        <x:v>1</x:v>
      </x:c>
      <x:c r="AT43" t="n">
        <x:v>1</x:v>
      </x:c>
      <x:c r="AU43" t="str">
        <x:v>energiattester_export_2025-08-14.json | PDF vedlegg side 5-7</x:v>
      </x:c>
      <x:c r="AV43" s="12" t="n">
        <x:f>IF(COUNT(O43,P43,Q43,R43,K43,L43,M43,N43)=8,O43*K43+P43*L43+Q43*M43+R43*N43,"")</x:f>
        <x:v>531.48</x:v>
      </x:c>
      <x:c r="AW43" s="12" t="n">
        <x:f>IF(AND(ISNUMBER(AV43),H43&gt;0),AV43/H43,"")</x:f>
        <x:v>0.5180116959064328</x:v>
      </x:c>
      <x:c r="AX43" s="12" t="n">
        <x:f>IF(AND(ISNUMBER(AD43),H43&gt;0),AD43*H43*3600,"")</x:f>
        <x:v>348675840.00000006</x:v>
      </x:c>
      <x:c r="AY43" s="12" t="n">
        <x:f>IF(AND(ISNUMBER(Y43),H43&gt;0),Y43*H43,"")</x:f>
        <x:v>65664</x:v>
      </x:c>
      <x:c r="AZ43" t="str">
        <x:v>Høy</x:v>
      </x:c>
    </x:row>
    <x:row r="44" ht="22" customHeight="1">
      <x:c r="A44" t="str">
        <x:v>OT-6ec399e8bd93</x:v>
      </x:c>
      <x:c r="B44" t="n">
        <x:v>2015</x:v>
      </x:c>
      <x:c r="C44" t="str">
        <x:v>Kontorbygg</x:v>
      </x:c>
      <x:c r="D44" t="str">
        <x:v>KONTORER, MED VENTILASJON OG KJØLEANLEGG</x:v>
      </x:c>
      <x:c r="E44" t="str">
        <x:v>D</x:v>
      </x:c>
      <x:c r="F44" t="str">
        <x:v>RED</x:v>
      </x:c>
      <x:c r="G44" t="n">
        <x:v>1977</x:v>
      </x:c>
      <x:c r="H44" t="n">
        <x:v>2502</x:v>
      </x:c>
      <x:c r="I44" t="n">
        <x:v>147.6</x:v>
      </x:c>
      <x:c r="J44" t="str">
        <x:v>PDF/avansert</x:v>
      </x:c>
      <x:c r="K44" t="n">
        <x:v>558</x:v>
      </x:c>
      <x:c r="L44" t="n">
        <x:v>946</x:v>
      </x:c>
      <x:c r="M44" t="n">
        <x:v>943</x:v>
      </x:c>
      <x:c r="N44" t="n">
        <x:v>316</x:v>
      </x:c>
      <x:c r="O44" t="n">
        <x:v>0.34</x:v>
      </x:c>
      <x:c r="P44" t="n">
        <x:v>0.19</x:v>
      </x:c>
      <x:c r="Q44" t="n">
        <x:v>0.21</x:v>
      </x:c>
      <x:c r="R44" t="n">
        <x:v>2.26</x:v>
      </x:c>
      <x:c r="S44" t="n">
        <x:v>80</x:v>
      </x:c>
      <x:c r="T44" t="n">
        <x:v>80</x:v>
      </x:c>
      <x:c r="U44" t="n">
        <x:v>2</x:v>
      </x:c>
      <x:c r="V44" t="n">
        <x:v>0.43</x:v>
      </x:c>
      <x:c r="W44" t="n">
        <x:v>7</x:v>
      </x:c>
      <x:c r="X44" t="n">
        <x:v>89</x:v>
      </x:c>
      <x:c r="Y44" t="n">
        <x:v>80</x:v>
      </x:c>
      <x:c r="Z44" t="n">
        <x:v>30</x:v>
      </x:c>
      <x:c r="AA44" t="n">
        <x:v>21</x:v>
      </x:c>
      <x:c r="AB44" t="n">
        <x:v>22</x:v>
      </x:c>
      <x:c r="AC44" t="n">
        <x:v>2.82</x:v>
      </x:c>
      <x:c r="AD44" t="n">
        <x:v>91.7</x:v>
      </x:c>
      <x:c r="AE44" t="n">
        <x:v>0.09</x:v>
      </x:c>
      <x:c r="AF44" t="n">
        <x:v>12</x:v>
      </x:c>
      <x:c r="AG44" t="n">
        <x:v>12</x:v>
      </x:c>
      <x:c r="AH44" t="n">
        <x:v>24</x:v>
      </x:c>
      <x:c r="AI44" t="n">
        <x:v>8</x:v>
      </x:c>
      <x:c r="AJ44" t="n">
        <x:v>11</x:v>
      </x:c>
      <x:c r="AK44" t="n">
        <x:v>240</x:v>
      </x:c>
      <x:c r="AL44" t="str">
        <x:v>Direkte elektrisk;</x:v>
      </x:c>
      <x:c r="AM44" t="n">
        <x:v>0</x:v>
      </x:c>
      <x:c r="AN44" t="n">
        <x:v>0</x:v>
      </x:c>
      <x:c r="AO44" t="n">
        <x:v>1</x:v>
      </x:c>
      <x:c r="AP44" t="n">
        <x:v>1</x:v>
      </x:c>
      <x:c r="AQ44" t="n">
        <x:v>0</x:v>
      </x:c>
      <x:c r="AR44" t="n">
        <x:v>1</x:v>
      </x:c>
      <x:c r="AS44" t="n">
        <x:v>1</x:v>
      </x:c>
      <x:c r="AT44" t="n">
        <x:v>1</x:v>
      </x:c>
      <x:c r="AU44" t="str">
        <x:v>energiattester_export_2025-08-14.json | PDF vedlegg side 5-7</x:v>
      </x:c>
      <x:c r="AV44" s="12" t="n">
        <x:f>IF(COUNT(O44,P44,Q44,R44,K44,L44,M44,N44)=8,O44*K44+P44*L44+Q44*M44+R44*N44,"")</x:f>
        <x:v>1281.65</x:v>
      </x:c>
      <x:c r="AW44" s="12" t="n">
        <x:f>IF(AND(ISNUMBER(AV44),H44&gt;0),AV44/H44,"")</x:f>
        <x:v>0.512250199840128</x:v>
      </x:c>
      <x:c r="AX44" s="12" t="n">
        <x:f>IF(AND(ISNUMBER(AD44),H44&gt;0),AD44*H44*3600,"")</x:f>
        <x:v>825960240</x:v>
      </x:c>
      <x:c r="AY44" s="12" t="n">
        <x:f>IF(AND(ISNUMBER(Y44),H44&gt;0),Y44*H44,"")</x:f>
        <x:v>200160</x:v>
      </x:c>
      <x:c r="AZ44" t="str">
        <x:v>Høy</x:v>
      </x:c>
    </x:row>
    <x:row r="45" ht="22" customHeight="1">
      <x:c r="A45" t="str">
        <x:v>OT-d5865dee9d3d</x:v>
      </x:c>
      <x:c r="B45" t="n">
        <x:v>2015</x:v>
      </x:c>
      <x:c r="C45" t="str">
        <x:v>Kontorbygg</x:v>
      </x:c>
      <x:c r="D45" t="str">
        <x:v>KONTORER, ENKLE</x:v>
      </x:c>
      <x:c r="E45" t="str">
        <x:v>G</x:v>
      </x:c>
      <x:c r="F45" t="str">
        <x:v>RED</x:v>
      </x:c>
      <x:c r="G45" t="n">
        <x:v>1935</x:v>
      </x:c>
      <x:c r="H45" t="n">
        <x:v>332</x:v>
      </x:c>
      <x:c r="I45" t="n">
        <x:v>361</x:v>
      </x:c>
      <x:c r="J45" t="str">
        <x:v>PDF/avansert</x:v>
      </x:c>
      <x:c r="K45" t="n">
        <x:v>231</x:v>
      </x:c>
      <x:c r="L45" t="n">
        <x:v>169</x:v>
      </x:c>
      <x:c r="M45" t="n">
        <x:v>169</x:v>
      </x:c>
      <x:c r="N45" t="n">
        <x:v>49</x:v>
      </x:c>
      <x:c r="O45" t="n">
        <x:v>0.45</x:v>
      </x:c>
      <x:c r="P45" t="n">
        <x:v>0.9</x:v>
      </x:c>
      <x:c r="Q45" t="n">
        <x:v>0.28</x:v>
      </x:c>
      <x:c r="R45" t="n">
        <x:v>2.24</x:v>
      </x:c>
      <x:c r="S45" t="n">
        <x:v>0</x:v>
      </x:c>
      <x:c r="T45" t="n">
        <x:v>0</x:v>
      </x:c>
      <x:c r="U45" t="n">
        <x:v>3</x:v>
      </x:c>
      <x:c r="V45" t="n">
        <x:v>0.57</x:v>
      </x:c>
      <x:c r="W45" t="n">
        <x:v>7</x:v>
      </x:c>
      <x:c r="X45" t="n">
        <x:v>120</x:v>
      </x:c>
      <x:c r="Y45" t="n">
        <x:v>250</x:v>
      </x:c>
      <x:c r="Z45" t="n">
        <x:v>100</x:v>
      </x:c>
      <x:c r="AA45" t="n">
        <x:v>21</x:v>
      </x:c>
      <x:c r="AB45" t="n">
        <x:v>22</x:v>
      </x:c>
      <x:c r="AC45" t="n">
        <x:v>5</x:v>
      </x:c>
      <x:c r="AD45" t="n">
        <x:v>108</x:v>
      </x:c>
      <x:c r="AE45" t="n">
        <x:v>0.15</x:v>
      </x:c>
      <x:c r="AF45"/>
      <x:c r="AG45"/>
      <x:c r="AH45"/>
      <x:c r="AI45"/>
      <x:c r="AJ45"/>
      <x:c r="AK45" t="n">
        <x:v>250</x:v>
      </x:c>
      <x:c r="AL45"/>
      <x:c r="AM45" t="n">
        <x:v>0</x:v>
      </x:c>
      <x:c r="AN45" t="n">
        <x:v>0</x:v>
      </x:c>
      <x:c r="AO45" t="n">
        <x:v>1</x:v>
      </x:c>
      <x:c r="AP45" t="n">
        <x:v>0</x:v>
      </x:c>
      <x:c r="AQ45" t="n">
        <x:v>1</x:v>
      </x:c>
      <x:c r="AR45" t="n">
        <x:v>1</x:v>
      </x:c>
      <x:c r="AS45" t="n">
        <x:v>1</x:v>
      </x:c>
      <x:c r="AT45" t="n">
        <x:v>1</x:v>
      </x:c>
      <x:c r="AU45" t="str">
        <x:v>energiattester_export_2025-08-14.json | PDF vedlegg side 5-7</x:v>
      </x:c>
      <x:c r="AV45" s="12" t="n">
        <x:f>IF(COUNT(O45,P45,Q45,R45,K45,L45,M45,N45)=8,O45*K45+P45*L45+Q45*M45+R45*N45,"")</x:f>
        <x:v>413.13</x:v>
      </x:c>
      <x:c r="AW45" s="12" t="n">
        <x:f>IF(AND(ISNUMBER(AV45),H45&gt;0),AV45/H45,"")</x:f>
        <x:v>1.244367469879518</x:v>
      </x:c>
      <x:c r="AX45" s="12" t="n">
        <x:f>IF(AND(ISNUMBER(AD45),H45&gt;0),AD45*H45*3600,"")</x:f>
        <x:v>129081600</x:v>
      </x:c>
      <x:c r="AY45" s="12" t="n">
        <x:f>IF(AND(ISNUMBER(Y45),H45&gt;0),Y45*H45,"")</x:f>
        <x:v>83000</x:v>
      </x:c>
      <x:c r="AZ45" t="str">
        <x:v>Høy</x:v>
      </x:c>
    </x:row>
    <x:row r="46" ht="22" customHeight="1">
      <x:c r="A46" t="str">
        <x:v>OT-1720bf02c655</x:v>
      </x:c>
      <x:c r="B46" t="n">
        <x:v>2015</x:v>
      </x:c>
      <x:c r="C46" t="str">
        <x:v>Kontorbygg</x:v>
      </x:c>
      <x:c r="D46" t="str">
        <x:v>KONTORER, ENKLE</x:v>
      </x:c>
      <x:c r="E46" t="str">
        <x:v>G</x:v>
      </x:c>
      <x:c r="F46" t="str">
        <x:v>RED</x:v>
      </x:c>
      <x:c r="G46" t="n">
        <x:v>2007</x:v>
      </x:c>
      <x:c r="H46" t="n">
        <x:v>85</x:v>
      </x:c>
      <x:c r="I46" t="n">
        <x:v>285.8</x:v>
      </x:c>
      <x:c r="J46" t="str">
        <x:v>PDF/avansert</x:v>
      </x:c>
      <x:c r="K46" t="n">
        <x:v>72</x:v>
      </x:c>
      <x:c r="L46" t="n">
        <x:v>85</x:v>
      </x:c>
      <x:c r="M46" t="n">
        <x:v>85</x:v>
      </x:c>
      <x:c r="N46" t="n">
        <x:v>17</x:v>
      </x:c>
      <x:c r="O46" t="n">
        <x:v>0.17</x:v>
      </x:c>
      <x:c r="P46" t="n">
        <x:v>0.25</x:v>
      </x:c>
      <x:c r="Q46" t="n">
        <x:v>0.22</x:v>
      </x:c>
      <x:c r="R46" t="n">
        <x:v>1.88</x:v>
      </x:c>
      <x:c r="S46" t="n">
        <x:v>0</x:v>
      </x:c>
      <x:c r="T46" t="n">
        <x:v>0</x:v>
      </x:c>
      <x:c r="U46" t="n">
        <x:v>3</x:v>
      </x:c>
      <x:c r="V46" t="n">
        <x:v>0.57</x:v>
      </x:c>
      <x:c r="W46" t="n">
        <x:v>7</x:v>
      </x:c>
      <x:c r="X46" t="n">
        <x:v>157</x:v>
      </x:c>
      <x:c r="Y46" t="n">
        <x:v>250</x:v>
      </x:c>
      <x:c r="Z46" t="n">
        <x:v>100</x:v>
      </x:c>
      <x:c r="AA46" t="n">
        <x:v>21</x:v>
      </x:c>
      <x:c r="AB46" t="n">
        <x:v>22</x:v>
      </x:c>
      <x:c r="AC46" t="n">
        <x:v>2.5</x:v>
      </x:c>
      <x:c r="AD46" t="n">
        <x:v>179.4</x:v>
      </x:c>
      <x:c r="AE46" t="n">
        <x:v>0.05</x:v>
      </x:c>
      <x:c r="AF46" t="n">
        <x:v>12</x:v>
      </x:c>
      <x:c r="AG46" t="n">
        <x:v>12</x:v>
      </x:c>
      <x:c r="AH46" t="n">
        <x:v>24</x:v>
      </x:c>
      <x:c r="AI46" t="n">
        <x:v>8</x:v>
      </x:c>
      <x:c r="AJ46" t="n">
        <x:v>11</x:v>
      </x:c>
      <x:c r="AK46" t="n">
        <x:v>250</x:v>
      </x:c>
      <x:c r="AL46" t="str">
        <x:v>Direkte elektrisk; Varmepumpe;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1</x:v>
      </x:c>
      <x:c r="AR46" t="n">
        <x:v>1</x:v>
      </x:c>
      <x:c r="AS46" t="n">
        <x:v>0</x:v>
      </x:c>
      <x:c r="AT46" t="n">
        <x:v>0</x:v>
      </x:c>
      <x:c r="AU46" t="str">
        <x:v>energiattester_export_2025-08-14.json | PDF vedlegg side 5-7</x:v>
      </x:c>
      <x:c r="AV46" s="12" t="n">
        <x:f>IF(COUNT(O46,P46,Q46,R46,K46,L46,M46,N46)=8,O46*K46+P46*L46+Q46*M46+R46*N46,"")</x:f>
        <x:v>84.14999999999999</x:v>
      </x:c>
      <x:c r="AW46" s="12" t="n">
        <x:f>IF(AND(ISNUMBER(AV46),H46&gt;0),AV46/H46,"")</x:f>
        <x:v>0.9899999999999999</x:v>
      </x:c>
      <x:c r="AX46" s="12" t="n">
        <x:f>IF(AND(ISNUMBER(AD46),H46&gt;0),AD46*H46*3600,"")</x:f>
        <x:v>54896400</x:v>
      </x:c>
      <x:c r="AY46" s="12" t="n">
        <x:f>IF(AND(ISNUMBER(Y46),H46&gt;0),Y46*H46,"")</x:f>
        <x:v>21250</x:v>
      </x:c>
      <x:c r="AZ46" t="str">
        <x:v>Høy</x:v>
      </x:c>
    </x:row>
    <x:row r="47" ht="22" customHeight="1">
      <x:c r="A47" t="str">
        <x:v>OT-cbe48d71cba8</x:v>
      </x:c>
      <x:c r="B47" t="n">
        <x:v>2015</x:v>
      </x:c>
      <x:c r="C47" t="str">
        <x:v>Forretningsbygg</x:v>
      </x:c>
      <x:c r="D47" t="str">
        <x:v>BUTIKK</x:v>
      </x:c>
      <x:c r="E47" t="str">
        <x:v>D</x:v>
      </x:c>
      <x:c r="F47" t="str">
        <x:v>RED</x:v>
      </x:c>
      <x:c r="G47" t="n">
        <x:v>1980</x:v>
      </x:c>
      <x:c r="H47" t="n">
        <x:v>6710</x:v>
      </x:c>
      <x:c r="I47" t="n">
        <x:v>242.8</x:v>
      </x:c>
      <x:c r="J47" t="str">
        <x:v>PDF/avansert</x:v>
      </x:c>
      <x:c r="K47" t="n">
        <x:v>1884</x:v>
      </x:c>
      <x:c r="L47" t="n">
        <x:v>1560</x:v>
      </x:c>
      <x:c r="M47" t="n">
        <x:v>1824</x:v>
      </x:c>
      <x:c r="N47" t="n">
        <x:v>514</x:v>
      </x:c>
      <x:c r="O47" t="n">
        <x:v>0.84</x:v>
      </x:c>
      <x:c r="P47" t="n">
        <x:v>0.3</x:v>
      </x:c>
      <x:c r="Q47" t="n">
        <x:v>0.12</x:v>
      </x:c>
      <x:c r="R47" t="n">
        <x:v>1.65</x:v>
      </x:c>
      <x:c r="S47" t="n">
        <x:v>70</x:v>
      </x:c>
      <x:c r="T47" t="n">
        <x:v>70</x:v>
      </x:c>
      <x:c r="U47" t="n">
        <x:v>2.7</x:v>
      </x:c>
      <x:c r="V47" t="n">
        <x:v>0.23</x:v>
      </x:c>
      <x:c r="W47" t="n">
        <x:v>13</x:v>
      </x:c>
      <x:c r="X47" t="n">
        <x:v>81</x:v>
      </x:c>
      <x:c r="Y47" t="n">
        <x:v>80</x:v>
      </x:c>
      <x:c r="Z47" t="n">
        <x:v>30</x:v>
      </x:c>
      <x:c r="AA47" t="n">
        <x:v>21</x:v>
      </x:c>
      <x:c r="AB47" t="n">
        <x:v>22</x:v>
      </x:c>
      <x:c r="AC47" t="n">
        <x:v>1.5</x:v>
      </x:c>
      <x:c r="AD47" t="n">
        <x:v>49.5</x:v>
      </x:c>
      <x:c r="AE47" t="n">
        <x:v>0.12</x:v>
      </x:c>
      <x:c r="AF47" t="n">
        <x:v>12</x:v>
      </x:c>
      <x:c r="AG47" t="n">
        <x:v>12</x:v>
      </x:c>
      <x:c r="AH47" t="n">
        <x:v>24</x:v>
      </x:c>
      <x:c r="AI47" t="n">
        <x:v>15</x:v>
      </x:c>
      <x:c r="AJ47" t="n">
        <x:v>1</x:v>
      </x:c>
      <x:c r="AK47" t="n">
        <x:v>250</x:v>
      </x:c>
      <x:c r="AL47" t="str">
        <x:v>Direkte elektrisk;</x:v>
      </x:c>
      <x:c r="AM47"/>
      <x:c r="AN47"/>
      <x:c r="AO47"/>
      <x:c r="AP47"/>
      <x:c r="AQ47"/>
      <x:c r="AR47"/>
      <x:c r="AS47"/>
      <x:c r="AT47"/>
      <x:c r="AU47" t="str">
        <x:v>energiattester_export_2025-08-14.json | PDF vedlegg side 5-7</x:v>
      </x:c>
      <x:c r="AV47" s="12" t="n">
        <x:f>IF(COUNT(O47,P47,Q47,R47,K47,L47,M47,N47)=8,O47*K47+P47*L47+Q47*M47+R47*N47,"")</x:f>
        <x:v>3117.54</x:v>
      </x:c>
      <x:c r="AW47" s="12" t="n">
        <x:f>IF(AND(ISNUMBER(AV47),H47&gt;0),AV47/H47,"")</x:f>
        <x:v>0.46461102831594636</x:v>
      </x:c>
      <x:c r="AX47" s="12" t="n">
        <x:f>IF(AND(ISNUMBER(AD47),H47&gt;0),AD47*H47*3600,"")</x:f>
        <x:v>1195722000</x:v>
      </x:c>
      <x:c r="AY47" s="12" t="n">
        <x:f>IF(AND(ISNUMBER(Y47),H47&gt;0),Y47*H47,"")</x:f>
        <x:v>536800</x:v>
      </x:c>
      <x:c r="AZ47" t="str">
        <x:v>Høy</x:v>
      </x:c>
    </x:row>
    <x:row r="48" ht="22" customHeight="1">
      <x:c r="A48" t="str">
        <x:v>OT-4ae06c83d83e</x:v>
      </x:c>
      <x:c r="B48" t="n">
        <x:v>2015</x:v>
      </x:c>
      <x:c r="C48" t="str">
        <x:v>Kontorbygg</x:v>
      </x:c>
      <x:c r="D48" t="str">
        <x:v>KONTORER, ENKLE</x:v>
      </x:c>
      <x:c r="E48" t="str">
        <x:v>E</x:v>
      </x:c>
      <x:c r="F48" t="str">
        <x:v>RED</x:v>
      </x:c>
      <x:c r="G48" t="n">
        <x:v>1976</x:v>
      </x:c>
      <x:c r="H48" t="n">
        <x:v>1534</x:v>
      </x:c>
      <x:c r="I48" t="n">
        <x:v>218.3</x:v>
      </x:c>
      <x:c r="J48" t="str">
        <x:v>PDF/avansert</x:v>
      </x:c>
      <x:c r="K48" t="n">
        <x:v>742</x:v>
      </x:c>
      <x:c r="L48" t="n">
        <x:v>456</x:v>
      </x:c>
      <x:c r="M48" t="n">
        <x:v>518</x:v>
      </x:c>
      <x:c r="N48" t="n">
        <x:v>127</x:v>
      </x:c>
      <x:c r="O48" t="n">
        <x:v>0.27</x:v>
      </x:c>
      <x:c r="P48" t="n">
        <x:v>0.3</x:v>
      </x:c>
      <x:c r="Q48" t="n">
        <x:v>0.13</x:v>
      </x:c>
      <x:c r="R48" t="n">
        <x:v>2.97</x:v>
      </x:c>
      <x:c r="S48" t="n">
        <x:v>50</x:v>
      </x:c>
      <x:c r="T48" t="n">
        <x:v>50</x:v>
      </x:c>
      <x:c r="U48" t="n">
        <x:v>2</x:v>
      </x:c>
      <x:c r="V48" t="n">
        <x:v>0.38</x:v>
      </x:c>
      <x:c r="W48" t="n">
        <x:v>8</x:v>
      </x:c>
      <x:c r="X48" t="n">
        <x:v>89</x:v>
      </x:c>
      <x:c r="Y48" t="n">
        <x:v>69</x:v>
      </x:c>
      <x:c r="Z48" t="n">
        <x:v>35</x:v>
      </x:c>
      <x:c r="AA48" t="n">
        <x:v>21</x:v>
      </x:c>
      <x:c r="AB48" t="n">
        <x:v>22</x:v>
      </x:c>
      <x:c r="AC48" t="n">
        <x:v>3</x:v>
      </x:c>
      <x:c r="AD48" t="n">
        <x:v>178.9</x:v>
      </x:c>
      <x:c r="AE48" t="n">
        <x:v>0.2</x:v>
      </x:c>
      <x:c r="AF48" t="n">
        <x:v>12</x:v>
      </x:c>
      <x:c r="AG48" t="n">
        <x:v>12</x:v>
      </x:c>
      <x:c r="AH48" t="n">
        <x:v>24</x:v>
      </x:c>
      <x:c r="AI48" t="n">
        <x:v>8</x:v>
      </x:c>
      <x:c r="AJ48" t="n">
        <x:v>11</x:v>
      </x:c>
      <x:c r="AK48" t="n">
        <x:v>250</x:v>
      </x:c>
      <x:c r="AL48" t="str">
        <x:v>Direkte elektrisk;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1</x:v>
      </x:c>
      <x:c r="AT48" t="n">
        <x:v>1</x:v>
      </x:c>
      <x:c r="AU48" t="str">
        <x:v>energiattester_export_2025-08-14.json | PDF vedlegg side 5-7</x:v>
      </x:c>
      <x:c r="AV48" s="12" t="n">
        <x:f>IF(COUNT(O48,P48,Q48,R48,K48,L48,M48,N48)=8,O48*K48+P48*L48+Q48*M48+R48*N48,"")</x:f>
        <x:v>781.6700000000001</x:v>
      </x:c>
      <x:c r="AW48" s="12" t="n">
        <x:f>IF(AND(ISNUMBER(AV48),H48&gt;0),AV48/H48,"")</x:f>
        <x:v>0.5095632333767928</x:v>
      </x:c>
      <x:c r="AX48" s="12" t="n">
        <x:f>IF(AND(ISNUMBER(AD48),H48&gt;0),AD48*H48*3600,"")</x:f>
        <x:v>987957360.0000001</x:v>
      </x:c>
      <x:c r="AY48" s="12" t="n">
        <x:f>IF(AND(ISNUMBER(Y48),H48&gt;0),Y48*H48,"")</x:f>
        <x:v>105846</x:v>
      </x:c>
      <x:c r="AZ48" t="str">
        <x:v>Høy</x:v>
      </x:c>
    </x:row>
    <x:row r="49" ht="22" customHeight="1">
      <x:c r="A49" t="str">
        <x:v>OT-1584a6366a5f</x:v>
      </x:c>
      <x:c r="B49" t="n">
        <x:v>2015</x:v>
      </x:c>
      <x:c r="C49" t="str">
        <x:v>Forretningsbygg</x:v>
      </x:c>
      <x:c r="D49" t="str">
        <x:v>BUTIKK</x:v>
      </x:c>
      <x:c r="E49" t="str">
        <x:v>C</x:v>
      </x:c>
      <x:c r="F49" t="str">
        <x:v>GREEN</x:v>
      </x:c>
      <x:c r="G49" t="n">
        <x:v>2015</x:v>
      </x:c>
      <x:c r="H49" t="n">
        <x:v>2947</x:v>
      </x:c>
      <x:c r="I49" t="n">
        <x:v>170.9</x:v>
      </x:c>
      <x:c r="J49" t="str">
        <x:v>PDF/avansert</x:v>
      </x:c>
      <x:c r="K49" t="n">
        <x:v>438</x:v>
      </x:c>
      <x:c r="L49" t="n">
        <x:v>858</x:v>
      </x:c>
      <x:c r="M49" t="n">
        <x:v>0</x:v>
      </x:c>
      <x:c r="N49" t="n">
        <x:v>675</x:v>
      </x:c>
      <x:c r="O49" t="n">
        <x:v>0.17</x:v>
      </x:c>
      <x:c r="P49" t="n">
        <x:v>0.13</x:v>
      </x:c>
      <x:c r="Q49" t="n">
        <x:v>0</x:v>
      </x:c>
      <x:c r="R49" t="n">
        <x:v>1</x:v>
      </x:c>
      <x:c r="S49" t="n">
        <x:v>80</x:v>
      </x:c>
      <x:c r="T49" t="n">
        <x:v>80</x:v>
      </x:c>
      <x:c r="U49" t="n">
        <x:v>2</x:v>
      </x:c>
      <x:c r="V49" t="n">
        <x:v>0.57</x:v>
      </x:c>
      <x:c r="W49" t="n">
        <x:v>13</x:v>
      </x:c>
      <x:c r="X49" t="n">
        <x:v>82</x:v>
      </x:c>
      <x:c r="Y49" t="n">
        <x:v>80</x:v>
      </x:c>
      <x:c r="Z49" t="n">
        <x:v>30</x:v>
      </x:c>
      <x:c r="AA49" t="n">
        <x:v>21</x:v>
      </x:c>
      <x:c r="AB49" t="n">
        <x:v>22</x:v>
      </x:c>
      <x:c r="AC49" t="n">
        <x:v>1</x:v>
      </x:c>
      <x:c r="AD49" t="n">
        <x:v>82.4</x:v>
      </x:c>
      <x:c r="AE49" t="n">
        <x:v>0.09</x:v>
      </x:c>
      <x:c r="AF49" t="n">
        <x:v>12</x:v>
      </x:c>
      <x:c r="AG49" t="n">
        <x:v>12</x:v>
      </x:c>
      <x:c r="AH49" t="n">
        <x:v>24</x:v>
      </x:c>
      <x:c r="AI49" t="n">
        <x:v>15</x:v>
      </x:c>
      <x:c r="AJ49" t="n">
        <x:v>1</x:v>
      </x:c>
      <x:c r="AK49" t="n">
        <x:v>250</x:v>
      </x:c>
      <x:c r="AL49" t="str">
        <x:v>Fjernvarme;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1</x:v>
      </x:c>
      <x:c r="AS49" t="n">
        <x:v>1</x:v>
      </x:c>
      <x:c r="AT49" t="n">
        <x:v>1</x:v>
      </x:c>
      <x:c r="AU49" t="str">
        <x:v>energiattester_export_2025-08-14.json | PDF vedlegg side 5-7</x:v>
      </x:c>
      <x:c r="AV49" s="12" t="n">
        <x:f>IF(COUNT(O49,P49,Q49,R49,K49,L49,M49,N49)=8,O49*K49+P49*L49+Q49*M49+R49*N49,"")</x:f>
        <x:v>861</x:v>
      </x:c>
      <x:c r="AW49" s="12" t="n">
        <x:f>IF(AND(ISNUMBER(AV49),H49&gt;0),AV49/H49,"")</x:f>
        <x:v>0.2921615201900237</x:v>
      </x:c>
      <x:c r="AX49" s="12" t="n">
        <x:f>IF(AND(ISNUMBER(AD49),H49&gt;0),AD49*H49*3600,"")</x:f>
        <x:v>874198080.0000001</x:v>
      </x:c>
      <x:c r="AY49" s="12" t="n">
        <x:f>IF(AND(ISNUMBER(Y49),H49&gt;0),Y49*H49,"")</x:f>
        <x:v>235760</x:v>
      </x:c>
      <x:c r="AZ49" t="str">
        <x:v>Høy</x:v>
      </x:c>
    </x:row>
    <x:row r="50" ht="22" customHeight="1">
      <x:c r="A50" t="str">
        <x:v>OT-9b5af13707c4</x:v>
      </x:c>
      <x:c r="B50" t="n">
        <x:v>2015</x:v>
      </x:c>
      <x:c r="C50" t="str">
        <x:v>Forretningsbygg</x:v>
      </x:c>
      <x:c r="D50" t="str">
        <x:v>BUTIKK</x:v>
      </x:c>
      <x:c r="E50" t="str">
        <x:v>C</x:v>
      </x:c>
      <x:c r="F50" t="str">
        <x:v>GREEN</x:v>
      </x:c>
      <x:c r="G50" t="n">
        <x:v>2010</x:v>
      </x:c>
      <x:c r="H50" t="n">
        <x:v>8590</x:v>
      </x:c>
      <x:c r="I50" t="n">
        <x:v>169.8</x:v>
      </x:c>
      <x:c r="J50" t="str">
        <x:v>PDF/avansert</x:v>
      </x:c>
      <x:c r="K50" t="n">
        <x:v>3392</x:v>
      </x:c>
      <x:c r="L50" t="n">
        <x:v>8450</x:v>
      </x:c>
      <x:c r="M50" t="n">
        <x:v>8450</x:v>
      </x:c>
      <x:c r="N50" t="n">
        <x:v>165</x:v>
      </x:c>
      <x:c r="O50" t="n">
        <x:v>0.18</x:v>
      </x:c>
      <x:c r="P50" t="n">
        <x:v>0.13</x:v>
      </x:c>
      <x:c r="Q50" t="n">
        <x:v>0.09</x:v>
      </x:c>
      <x:c r="R50" t="n">
        <x:v>1.2</x:v>
      </x:c>
      <x:c r="S50" t="n">
        <x:v>78</x:v>
      </x:c>
      <x:c r="T50" t="n">
        <x:v>78</x:v>
      </x:c>
      <x:c r="U50" t="n">
        <x:v>2</x:v>
      </x:c>
      <x:c r="V50" t="n">
        <x:v>0.23</x:v>
      </x:c>
      <x:c r="W50" t="n">
        <x:v>13</x:v>
      </x:c>
      <x:c r="X50" t="n">
        <x:v>85</x:v>
      </x:c>
      <x:c r="Y50" t="n">
        <x:v>65</x:v>
      </x:c>
      <x:c r="Z50" t="n">
        <x:v>26</x:v>
      </x:c>
      <x:c r="AA50" t="n">
        <x:v>21</x:v>
      </x:c>
      <x:c r="AB50" t="n">
        <x:v>22</x:v>
      </x:c>
      <x:c r="AC50" t="n">
        <x:v>1.5</x:v>
      </x:c>
      <x:c r="AD50" t="n">
        <x:v>84.6</x:v>
      </x:c>
      <x:c r="AE50" t="n">
        <x:v>0.12</x:v>
      </x:c>
      <x:c r="AF50" t="n">
        <x:v>12</x:v>
      </x:c>
      <x:c r="AG50" t="n">
        <x:v>12</x:v>
      </x:c>
      <x:c r="AH50" t="n">
        <x:v>24</x:v>
      </x:c>
      <x:c r="AI50" t="n">
        <x:v>15</x:v>
      </x:c>
      <x:c r="AJ50" t="n">
        <x:v>1</x:v>
      </x:c>
      <x:c r="AK50" t="n">
        <x:v>250</x:v>
      </x:c>
      <x:c r="AL50" t="str">
        <x:v>Fjernvarme;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1</x:v>
      </x:c>
      <x:c r="AS50" t="n">
        <x:v>1</x:v>
      </x:c>
      <x:c r="AT50" t="n">
        <x:v>0</x:v>
      </x:c>
      <x:c r="AU50" t="str">
        <x:v>energiattester_export_2025-08-14.json | PDF vedlegg side 5-7</x:v>
      </x:c>
      <x:c r="AV50" s="12" t="n">
        <x:f>IF(COUNT(O50,P50,Q50,R50,K50,L50,M50,N50)=8,O50*K50+P50*L50+Q50*M50+R50*N50,"")</x:f>
        <x:v>2667.56</x:v>
      </x:c>
      <x:c r="AW50" s="12" t="n">
        <x:f>IF(AND(ISNUMBER(AV50),H50&gt;0),AV50/H50,"")</x:f>
        <x:v>0.31054249126891736</x:v>
      </x:c>
      <x:c r="AX50" s="12" t="n">
        <x:f>IF(AND(ISNUMBER(AD50),H50&gt;0),AD50*H50*3600,"")</x:f>
        <x:v>2616170400</x:v>
      </x:c>
      <x:c r="AY50" s="12" t="n">
        <x:f>IF(AND(ISNUMBER(Y50),H50&gt;0),Y50*H50,"")</x:f>
        <x:v>558350</x:v>
      </x:c>
      <x:c r="AZ50" t="str">
        <x:v>Høy</x:v>
      </x:c>
    </x:row>
    <x:row r="51" ht="22" customHeight="1">
      <x:c r="A51" t="str">
        <x:v>OT-6d88fdb0e5f4</x:v>
      </x:c>
      <x:c r="B51" t="n">
        <x:v>2015</x:v>
      </x:c>
      <x:c r="C51" t="str">
        <x:v>Forretningsbygg</x:v>
      </x:c>
      <x:c r="D51" t="str">
        <x:v>BUTIKK</x:v>
      </x:c>
      <x:c r="E51" t="str">
        <x:v>C</x:v>
      </x:c>
      <x:c r="F51" t="str">
        <x:v>RED</x:v>
      </x:c>
      <x:c r="G51" t="n">
        <x:v>2010</x:v>
      </x:c>
      <x:c r="H51" t="n">
        <x:v>4370</x:v>
      </x:c>
      <x:c r="I51" t="n">
        <x:v>173.6</x:v>
      </x:c>
      <x:c r="J51" t="str">
        <x:v>PDF/avansert</x:v>
      </x:c>
      <x:c r="K51" t="n">
        <x:v>1949</x:v>
      </x:c>
      <x:c r="L51" t="n">
        <x:v>4807</x:v>
      </x:c>
      <x:c r="M51" t="n">
        <x:v>4807</x:v>
      </x:c>
      <x:c r="N51" t="n">
        <x:v>319</x:v>
      </x:c>
      <x:c r="O51" t="n">
        <x:v>0.18</x:v>
      </x:c>
      <x:c r="P51" t="n">
        <x:v>0.13</x:v>
      </x:c>
      <x:c r="Q51" t="n">
        <x:v>0.09</x:v>
      </x:c>
      <x:c r="R51" t="n">
        <x:v>1.2</x:v>
      </x:c>
      <x:c r="S51" t="n">
        <x:v>80</x:v>
      </x:c>
      <x:c r="T51" t="n">
        <x:v>80</x:v>
      </x:c>
      <x:c r="U51" t="n">
        <x:v>2</x:v>
      </x:c>
      <x:c r="V51" t="n">
        <x:v>0.23</x:v>
      </x:c>
      <x:c r="W51" t="n">
        <x:v>13</x:v>
      </x:c>
      <x:c r="X51" t="n">
        <x:v>92</x:v>
      </x:c>
      <x:c r="Y51" t="n">
        <x:v>81</x:v>
      </x:c>
      <x:c r="Z51" t="n">
        <x:v>25</x:v>
      </x:c>
      <x:c r="AA51" t="n">
        <x:v>21</x:v>
      </x:c>
      <x:c r="AB51" t="n">
        <x:v>22</x:v>
      </x:c>
      <x:c r="AC51" t="n">
        <x:v>1.5</x:v>
      </x:c>
      <x:c r="AD51" t="n">
        <x:v>94.4</x:v>
      </x:c>
      <x:c r="AE51" t="n">
        <x:v>0.12</x:v>
      </x:c>
      <x:c r="AF51" t="n">
        <x:v>12</x:v>
      </x:c>
      <x:c r="AG51" t="n">
        <x:v>12</x:v>
      </x:c>
      <x:c r="AH51" t="n">
        <x:v>24</x:v>
      </x:c>
      <x:c r="AI51" t="n">
        <x:v>15</x:v>
      </x:c>
      <x:c r="AJ51" t="n">
        <x:v>1</x:v>
      </x:c>
      <x:c r="AK51" t="n">
        <x:v>250</x:v>
      </x:c>
      <x:c r="AL51" t="str">
        <x:v>Direkte elektrisk;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1</x:v>
      </x:c>
      <x:c r="AS51" t="n">
        <x:v>1</x:v>
      </x:c>
      <x:c r="AT51" t="n">
        <x:v>0</x:v>
      </x:c>
      <x:c r="AU51" t="str">
        <x:v>energiattester_export_2025-08-14.json | PDF vedlegg side 5-7</x:v>
      </x:c>
      <x:c r="AV51" s="12" t="n">
        <x:f>IF(COUNT(O51,P51,Q51,R51,K51,L51,M51,N51)=8,O51*K51+P51*L51+Q51*M51+R51*N51,"")</x:f>
        <x:v>1791.16</x:v>
      </x:c>
      <x:c r="AW51" s="12" t="n">
        <x:f>IF(AND(ISNUMBER(AV51),H51&gt;0),AV51/H51,"")</x:f>
        <x:v>0.40987643020594966</x:v>
      </x:c>
      <x:c r="AX51" s="12" t="n">
        <x:f>IF(AND(ISNUMBER(AD51),H51&gt;0),AD51*H51*3600,"")</x:f>
        <x:v>1485100800</x:v>
      </x:c>
      <x:c r="AY51" s="12" t="n">
        <x:f>IF(AND(ISNUMBER(Y51),H51&gt;0),Y51*H51,"")</x:f>
        <x:v>353970</x:v>
      </x:c>
      <x:c r="AZ51" t="str">
        <x:v>Høy</x:v>
      </x:c>
    </x:row>
    <x:row r="52" ht="22" customHeight="1">
      <x:c r="A52" t="str">
        <x:v>OT-8e13a4571d9c</x:v>
      </x:c>
      <x:c r="B52" t="n">
        <x:v>2015</x:v>
      </x:c>
      <x:c r="C52" t="str">
        <x:v>Kontorbygg</x:v>
      </x:c>
      <x:c r="D52" t="str">
        <x:v>KONTORER, ENKLE</x:v>
      </x:c>
      <x:c r="E52" t="str">
        <x:v>E</x:v>
      </x:c>
      <x:c r="F52" t="str">
        <x:v>ORANGE</x:v>
      </x:c>
      <x:c r="G52" t="n">
        <x:v>1985</x:v>
      </x:c>
      <x:c r="H52" t="n">
        <x:v>781</x:v>
      </x:c>
      <x:c r="I52" t="n">
        <x:v>205.7</x:v>
      </x:c>
      <x:c r="J52" t="str">
        <x:v>PDF/avansert</x:v>
      </x:c>
      <x:c r="K52" t="n">
        <x:v>379</x:v>
      </x:c>
      <x:c r="L52" t="n">
        <x:v>391</x:v>
      </x:c>
      <x:c r="M52" t="n">
        <x:v>0</x:v>
      </x:c>
      <x:c r="N52" t="n">
        <x:v>70</x:v>
      </x:c>
      <x:c r="O52" t="n">
        <x:v>0.28</x:v>
      </x:c>
      <x:c r="P52" t="n">
        <x:v>0.2</x:v>
      </x:c>
      <x:c r="Q52" t="n">
        <x:v>0</x:v>
      </x:c>
      <x:c r="R52" t="n">
        <x:v>2.8</x:v>
      </x:c>
      <x:c r="S52" t="n">
        <x:v>0</x:v>
      </x:c>
      <x:c r="T52" t="n">
        <x:v>0</x:v>
      </x:c>
      <x:c r="U52" t="n">
        <x:v>1.5</x:v>
      </x:c>
      <x:c r="V52" t="n">
        <x:v>0.2</x:v>
      </x:c>
      <x:c r="W52" t="n">
        <x:v>7</x:v>
      </x:c>
      <x:c r="X52" t="n">
        <x:v>147</x:v>
      </x:c>
      <x:c r="Y52" t="n">
        <x:v>130</x:v>
      </x:c>
      <x:c r="Z52" t="n">
        <x:v>0</x:v>
      </x:c>
      <x:c r="AA52" t="n">
        <x:v>21</x:v>
      </x:c>
      <x:c r="AB52" t="n">
        <x:v>22</x:v>
      </x:c>
      <x:c r="AC52" t="n">
        <x:v>1.5</x:v>
      </x:c>
      <x:c r="AD52" t="n">
        <x:v>143.2</x:v>
      </x:c>
      <x:c r="AE52" t="n">
        <x:v>0.09</x:v>
      </x:c>
      <x:c r="AF52"/>
      <x:c r="AG52"/>
      <x:c r="AH52"/>
      <x:c r="AI52"/>
      <x:c r="AJ52"/>
      <x:c r="AK52" t="n">
        <x:v>250</x:v>
      </x:c>
      <x:c r="AL52"/>
      <x:c r="AM52" t="n">
        <x:v>1</x:v>
      </x:c>
      <x:c r="AN52" t="n">
        <x:v>0</x:v>
      </x:c>
      <x:c r="AO52" t="n">
        <x:v>0</x:v>
      </x:c>
      <x:c r="AP52" t="n">
        <x:v>1</x:v>
      </x:c>
      <x:c r="AQ52" t="n">
        <x:v>1</x:v>
      </x:c>
      <x:c r="AR52" t="n">
        <x:v>1</x:v>
      </x:c>
      <x:c r="AS52" t="n">
        <x:v>1</x:v>
      </x:c>
      <x:c r="AT52" t="n">
        <x:v>1</x:v>
      </x:c>
      <x:c r="AU52" t="str">
        <x:v>energiattester_export_2025-08-14.json | PDF vedlegg side 5-7</x:v>
      </x:c>
      <x:c r="AV52" s="12" t="n">
        <x:f>IF(COUNT(O52,P52,Q52,R52,K52,L52,M52,N52)=8,O52*K52+P52*L52+Q52*M52+R52*N52,"")</x:f>
        <x:v>380.32</x:v>
      </x:c>
      <x:c r="AW52" s="12" t="n">
        <x:f>IF(AND(ISNUMBER(AV52),H52&gt;0),AV52/H52,"")</x:f>
        <x:v>0.4869654289372599</x:v>
      </x:c>
      <x:c r="AX52" s="12" t="n">
        <x:f>IF(AND(ISNUMBER(AD52),H52&gt;0),AD52*H52*3600,"")</x:f>
        <x:v>402621120</x:v>
      </x:c>
      <x:c r="AY52" s="12" t="n">
        <x:f>IF(AND(ISNUMBER(Y52),H52&gt;0),Y52*H52,"")</x:f>
        <x:v>101530</x:v>
      </x:c>
      <x:c r="AZ52" t="str">
        <x:v>Høy</x:v>
      </x:c>
    </x:row>
    <x:row r="53" ht="22" customHeight="1">
      <x:c r="A53" t="str">
        <x:v>OT-2e4f1a41faf2</x:v>
      </x:c>
      <x:c r="B53" t="n">
        <x:v>2015</x:v>
      </x:c>
      <x:c r="C53" t="str">
        <x:v>Forretningsbygg</x:v>
      </x:c>
      <x:c r="D53" t="str">
        <x:v>BUTIKK</x:v>
      </x:c>
      <x:c r="E53" t="str">
        <x:v>D</x:v>
      </x:c>
      <x:c r="F53" t="str">
        <x:v>RED</x:v>
      </x:c>
      <x:c r="G53" t="n">
        <x:v>2004</x:v>
      </x:c>
      <x:c r="H53" t="n">
        <x:v>1022</x:v>
      </x:c>
      <x:c r="I53" t="n">
        <x:v>220.4</x:v>
      </x:c>
      <x:c r="J53" t="str">
        <x:v>PDF/avansert</x:v>
      </x:c>
      <x:c r="K53" t="n">
        <x:v>227</x:v>
      </x:c>
      <x:c r="L53" t="n">
        <x:v>45</x:v>
      </x:c>
      <x:c r="M53" t="n">
        <x:v>908</x:v>
      </x:c>
      <x:c r="N53" t="n">
        <x:v>245</x:v>
      </x:c>
      <x:c r="O53" t="n">
        <x:v>0.21</x:v>
      </x:c>
      <x:c r="P53" t="n">
        <x:v>0.2</x:v>
      </x:c>
      <x:c r="Q53" t="n">
        <x:v>0.2</x:v>
      </x:c>
      <x:c r="R53" t="n">
        <x:v>1.6</x:v>
      </x:c>
      <x:c r="S53" t="n">
        <x:v>70</x:v>
      </x:c>
      <x:c r="T53" t="n">
        <x:v>70</x:v>
      </x:c>
      <x:c r="U53" t="n">
        <x:v>2.5</x:v>
      </x:c>
      <x:c r="V53" t="n">
        <x:v>0.23</x:v>
      </x:c>
      <x:c r="W53" t="n">
        <x:v>13</x:v>
      </x:c>
      <x:c r="X53" t="n">
        <x:v>85</x:v>
      </x:c>
      <x:c r="Y53" t="n">
        <x:v>80</x:v>
      </x:c>
      <x:c r="Z53" t="n">
        <x:v>57</x:v>
      </x:c>
      <x:c r="AA53" t="n">
        <x:v>21</x:v>
      </x:c>
      <x:c r="AB53" t="n">
        <x:v>22</x:v>
      </x:c>
      <x:c r="AC53" t="n">
        <x:v>2.5</x:v>
      </x:c>
      <x:c r="AD53" t="n">
        <x:v>72.8</x:v>
      </x:c>
      <x:c r="AE53" t="n">
        <x:v>0.09</x:v>
      </x:c>
      <x:c r="AF53" t="n">
        <x:v>12</x:v>
      </x:c>
      <x:c r="AG53" t="n">
        <x:v>12</x:v>
      </x:c>
      <x:c r="AH53" t="n">
        <x:v>24</x:v>
      </x:c>
      <x:c r="AI53" t="n">
        <x:v>15</x:v>
      </x:c>
      <x:c r="AJ53" t="n">
        <x:v>1</x:v>
      </x:c>
      <x:c r="AK53" t="n">
        <x:v>250</x:v>
      </x:c>
      <x:c r="AL53" t="str">
        <x:v>Direkte elektrisk;</x:v>
      </x:c>
      <x:c r="AM53"/>
      <x:c r="AN53"/>
      <x:c r="AO53"/>
      <x:c r="AP53"/>
      <x:c r="AQ53"/>
      <x:c r="AR53"/>
      <x:c r="AS53"/>
      <x:c r="AT53"/>
      <x:c r="AU53" t="str">
        <x:v>energiattester_export_2025-08-14.json | PDF vedlegg side 5-7</x:v>
      </x:c>
      <x:c r="AV53" s="12" t="n">
        <x:f>IF(COUNT(O53,P53,Q53,R53,K53,L53,M53,N53)=8,O53*K53+P53*L53+Q53*M53+R53*N53,"")</x:f>
        <x:v>630.27</x:v>
      </x:c>
      <x:c r="AW53" s="12" t="n">
        <x:f>IF(AND(ISNUMBER(AV53),H53&gt;0),AV53/H53,"")</x:f>
        <x:v>0.6167025440313111</x:v>
      </x:c>
      <x:c r="AX53" s="12" t="n">
        <x:f>IF(AND(ISNUMBER(AD53),H53&gt;0),AD53*H53*3600,"")</x:f>
        <x:v>267845759.99999997</x:v>
      </x:c>
      <x:c r="AY53" s="12" t="n">
        <x:f>IF(AND(ISNUMBER(Y53),H53&gt;0),Y53*H53,"")</x:f>
        <x:v>81760</x:v>
      </x:c>
      <x:c r="AZ53" t="str">
        <x:v>Høy</x:v>
      </x:c>
    </x:row>
    <x:row r="54" ht="22" customHeight="1">
      <x:c r="A54" t="str">
        <x:v>OT-da9e7db538a8</x:v>
      </x:c>
      <x:c r="B54" t="n">
        <x:v>2015</x:v>
      </x:c>
      <x:c r="C54" t="str">
        <x:v>Forretningsbygg</x:v>
      </x:c>
      <x:c r="D54" t="str">
        <x:v>BUTIKK MED KJØLE- / FRYSEROM</x:v>
      </x:c>
      <x:c r="E54" t="str">
        <x:v>C</x:v>
      </x:c>
      <x:c r="F54" t="str">
        <x:v>RED</x:v>
      </x:c>
      <x:c r="G54" t="n">
        <x:v>2005</x:v>
      </x:c>
      <x:c r="H54" t="n">
        <x:v>1090</x:v>
      </x:c>
      <x:c r="I54" t="n">
        <x:v>207.6</x:v>
      </x:c>
      <x:c r="J54" t="str">
        <x:v>PDF/avansert</x:v>
      </x:c>
      <x:c r="K54" t="n">
        <x:v>548</x:v>
      </x:c>
      <x:c r="L54" t="n">
        <x:v>1090</x:v>
      </x:c>
      <x:c r="M54" t="n">
        <x:v>1090</x:v>
      </x:c>
      <x:c r="N54" t="n">
        <x:v>75</x:v>
      </x:c>
      <x:c r="O54" t="n">
        <x:v>0.3</x:v>
      </x:c>
      <x:c r="P54" t="n">
        <x:v>0.15</x:v>
      </x:c>
      <x:c r="Q54" t="n">
        <x:v>0.13</x:v>
      </x:c>
      <x:c r="R54" t="n">
        <x:v>1.6</x:v>
      </x:c>
      <x:c r="S54" t="n">
        <x:v>70</x:v>
      </x:c>
      <x:c r="T54" t="n">
        <x:v>70</x:v>
      </x:c>
      <x:c r="U54" t="n">
        <x:v>2.65</x:v>
      </x:c>
      <x:c r="V54" t="n">
        <x:v>0.41</x:v>
      </x:c>
      <x:c r="W54" t="n">
        <x:v>13</x:v>
      </x:c>
      <x:c r="X54" t="n">
        <x:v>98</x:v>
      </x:c>
      <x:c r="Y54" t="n">
        <x:v>84</x:v>
      </x:c>
      <x:c r="Z54" t="n">
        <x:v>63</x:v>
      </x:c>
      <x:c r="AA54" t="n">
        <x:v>21</x:v>
      </x:c>
      <x:c r="AB54" t="n">
        <x:v>22</x:v>
      </x:c>
      <x:c r="AC54" t="n">
        <x:v>2</x:v>
      </x:c>
      <x:c r="AD54" t="n">
        <x:v>165.6</x:v>
      </x:c>
      <x:c r="AE54" t="n">
        <x:v>0.09</x:v>
      </x:c>
      <x:c r="AF54" t="n">
        <x:v>12</x:v>
      </x:c>
      <x:c r="AG54" t="n">
        <x:v>12</x:v>
      </x:c>
      <x:c r="AH54" t="n">
        <x:v>24</x:v>
      </x:c>
      <x:c r="AI54" t="n">
        <x:v>15</x:v>
      </x:c>
      <x:c r="AJ54" t="n">
        <x:v>1</x:v>
      </x:c>
      <x:c r="AK54" t="n">
        <x:v>240</x:v>
      </x:c>
      <x:c r="AL54" t="str">
        <x:v>Direkte elektrisk;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1</x:v>
      </x:c>
      <x:c r="AS54" t="n">
        <x:v>1</x:v>
      </x:c>
      <x:c r="AT54" t="n">
        <x:v>1</x:v>
      </x:c>
      <x:c r="AU54" t="str">
        <x:v>energiattester_export_2025-08-14.json | PDF vedlegg side 5-7</x:v>
      </x:c>
      <x:c r="AV54" s="12" t="n">
        <x:f>IF(COUNT(O54,P54,Q54,R54,K54,L54,M54,N54)=8,O54*K54+P54*L54+Q54*M54+R54*N54,"")</x:f>
        <x:v>589.6</x:v>
      </x:c>
      <x:c r="AW54" s="12" t="n">
        <x:f>IF(AND(ISNUMBER(AV54),H54&gt;0),AV54/H54,"")</x:f>
        <x:v>0.5409174311926606</x:v>
      </x:c>
      <x:c r="AX54" s="12" t="n">
        <x:f>IF(AND(ISNUMBER(AD54),H54&gt;0),AD54*H54*3600,"")</x:f>
        <x:v>649814400</x:v>
      </x:c>
      <x:c r="AY54" s="12" t="n">
        <x:f>IF(AND(ISNUMBER(Y54),H54&gt;0),Y54*H54,"")</x:f>
        <x:v>91560</x:v>
      </x:c>
      <x:c r="AZ54" t="str">
        <x:v>Høy</x:v>
      </x:c>
    </x:row>
    <x:row r="55" ht="22" customHeight="1">
      <x:c r="A55" t="str">
        <x:v>OT-6eccf76defbb</x:v>
      </x:c>
      <x:c r="B55" t="n">
        <x:v>2015</x:v>
      </x:c>
      <x:c r="C55" t="str">
        <x:v>Kontorbygg</x:v>
      </x:c>
      <x:c r="D55" t="str">
        <x:v>KONTORER, ENKLE</x:v>
      </x:c>
      <x:c r="E55" t="str">
        <x:v>F</x:v>
      </x:c>
      <x:c r="F55" t="str">
        <x:v>RED</x:v>
      </x:c>
      <x:c r="G55" t="n">
        <x:v>1930</x:v>
      </x:c>
      <x:c r="H55" t="n">
        <x:v>1381</x:v>
      </x:c>
      <x:c r="I55" t="n">
        <x:v>259.3</x:v>
      </x:c>
      <x:c r="J55" t="str">
        <x:v>PDF/avansert</x:v>
      </x:c>
      <x:c r="K55" t="n">
        <x:v>692</x:v>
      </x:c>
      <x:c r="L55" t="n">
        <x:v>252</x:v>
      </x:c>
      <x:c r="M55" t="n">
        <x:v>242</x:v>
      </x:c>
      <x:c r="N55" t="n">
        <x:v>154</x:v>
      </x:c>
      <x:c r="O55" t="n">
        <x:v>0.77</x:v>
      </x:c>
      <x:c r="P55" t="n">
        <x:v>0.49</x:v>
      </x:c>
      <x:c r="Q55" t="n">
        <x:v>0.33</x:v>
      </x:c>
      <x:c r="R55" t="n">
        <x:v>1.96</x:v>
      </x:c>
      <x:c r="S55" t="n">
        <x:v>53</x:v>
      </x:c>
      <x:c r="T55" t="n">
        <x:v>53</x:v>
      </x:c>
      <x:c r="U55" t="n">
        <x:v>3.1</x:v>
      </x:c>
      <x:c r="V55" t="n">
        <x:v>0.32</x:v>
      </x:c>
      <x:c r="W55" t="n">
        <x:v>7</x:v>
      </x:c>
      <x:c r="X55" t="n">
        <x:v>69</x:v>
      </x:c>
      <x:c r="Y55" t="n">
        <x:v>176</x:v>
      </x:c>
      <x:c r="Z55" t="n">
        <x:v>38</x:v>
      </x:c>
      <x:c r="AA55" t="n">
        <x:v>21</x:v>
      </x:c>
      <x:c r="AB55" t="n">
        <x:v>22</x:v>
      </x:c>
      <x:c r="AC55" t="n">
        <x:v>2.5</x:v>
      </x:c>
      <x:c r="AD55" t="n">
        <x:v>31.1</x:v>
      </x:c>
      <x:c r="AE55" t="n">
        <x:v>0.12</x:v>
      </x:c>
      <x:c r="AF55" t="n">
        <x:v>12</x:v>
      </x:c>
      <x:c r="AG55" t="n">
        <x:v>12</x:v>
      </x:c>
      <x:c r="AH55" t="n">
        <x:v>24</x:v>
      </x:c>
      <x:c r="AI55" t="n">
        <x:v>8</x:v>
      </x:c>
      <x:c r="AJ55" t="n">
        <x:v>11</x:v>
      </x:c>
      <x:c r="AK55" t="n">
        <x:v>250</x:v>
      </x:c>
      <x:c r="AL55" t="str">
        <x:v>Direkte elektrisk; Olje;</x:v>
      </x:c>
      <x:c r="AM55" t="n">
        <x:v>1</x:v>
      </x:c>
      <x:c r="AN55" t="n">
        <x:v>0</x:v>
      </x:c>
      <x:c r="AO55" t="n">
        <x:v>0</x:v>
      </x:c>
      <x:c r="AP55" t="n">
        <x:v>1</x:v>
      </x:c>
      <x:c r="AQ55" t="n">
        <x:v>0</x:v>
      </x:c>
      <x:c r="AR55" t="n">
        <x:v>1</x:v>
      </x:c>
      <x:c r="AS55" t="n">
        <x:v>1</x:v>
      </x:c>
      <x:c r="AT55" t="n">
        <x:v>0</x:v>
      </x:c>
      <x:c r="AU55" t="str">
        <x:v>energiattester_export_2025-08-14.json | PDF vedlegg side 5-7</x:v>
      </x:c>
      <x:c r="AV55" s="12" t="n">
        <x:f>IF(COUNT(O55,P55,Q55,R55,K55,L55,M55,N55)=8,O55*K55+P55*L55+Q55*M55+R55*N55,"")</x:f>
        <x:v>1038.02</x:v>
      </x:c>
      <x:c r="AW55" s="12" t="n">
        <x:f>IF(AND(ISNUMBER(AV55),H55&gt;0),AV55/H55,"")</x:f>
        <x:v>0.751643736422882</x:v>
      </x:c>
      <x:c r="AX55" s="12" t="n">
        <x:f>IF(AND(ISNUMBER(AD55),H55&gt;0),AD55*H55*3600,"")</x:f>
        <x:v>154616760</x:v>
      </x:c>
      <x:c r="AY55" s="12" t="n">
        <x:f>IF(AND(ISNUMBER(Y55),H55&gt;0),Y55*H55,"")</x:f>
        <x:v>243056</x:v>
      </x:c>
      <x:c r="AZ55" t="str">
        <x:v>Høy</x:v>
      </x:c>
    </x:row>
    <x:row r="56" ht="22" customHeight="1">
      <x:c r="A56" t="str">
        <x:v>OT-9f05f9b6f39c</x:v>
      </x:c>
      <x:c r="B56" t="n">
        <x:v>2015</x:v>
      </x:c>
      <x:c r="C56" t="str">
        <x:v>Kontorbygg</x:v>
      </x:c>
      <x:c r="D56" t="str">
        <x:v>KONTORER, MED VENTILASJON OG KJØLEANLEGG</x:v>
      </x:c>
      <x:c r="E56" t="str">
        <x:v>E</x:v>
      </x:c>
      <x:c r="F56" t="str">
        <x:v>RED</x:v>
      </x:c>
      <x:c r="G56" t="n">
        <x:v>1987</x:v>
      </x:c>
      <x:c r="H56" t="n">
        <x:v>550</x:v>
      </x:c>
      <x:c r="I56" t="n">
        <x:v>200.5</x:v>
      </x:c>
      <x:c r="J56" t="str">
        <x:v>PDF/avansert</x:v>
      </x:c>
      <x:c r="K56" t="n">
        <x:v>191</x:v>
      </x:c>
      <x:c r="L56" t="n">
        <x:v>435</x:v>
      </x:c>
      <x:c r="M56" t="n">
        <x:v>78</x:v>
      </x:c>
      <x:c r="N56" t="n">
        <x:v>81</x:v>
      </x:c>
      <x:c r="O56" t="n">
        <x:v>0.15</x:v>
      </x:c>
      <x:c r="P56" t="n">
        <x:v>0.2</x:v>
      </x:c>
      <x:c r="Q56" t="n">
        <x:v>0.18</x:v>
      </x:c>
      <x:c r="R56" t="n">
        <x:v>1.2</x:v>
      </x:c>
      <x:c r="S56" t="n">
        <x:v>55</x:v>
      </x:c>
      <x:c r="T56" t="n">
        <x:v>55</x:v>
      </x:c>
      <x:c r="U56" t="n">
        <x:v>7.5</x:v>
      </x:c>
      <x:c r="V56" t="n">
        <x:v>0.57</x:v>
      </x:c>
      <x:c r="W56" t="n">
        <x:v>7</x:v>
      </x:c>
      <x:c r="X56" t="n">
        <x:v>89</x:v>
      </x:c>
      <x:c r="Y56" t="n">
        <x:v>68</x:v>
      </x:c>
      <x:c r="Z56" t="n">
        <x:v>0</x:v>
      </x:c>
      <x:c r="AA56" t="n">
        <x:v>21</x:v>
      </x:c>
      <x:c r="AB56" t="n">
        <x:v>22</x:v>
      </x:c>
      <x:c r="AC56" t="n">
        <x:v>3.25</x:v>
      </x:c>
      <x:c r="AD56" t="n">
        <x:v>20.3</x:v>
      </x:c>
      <x:c r="AE56" t="n">
        <x:v>0.09</x:v>
      </x:c>
      <x:c r="AF56" t="n">
        <x:v>12</x:v>
      </x:c>
      <x:c r="AG56" t="n">
        <x:v>12</x:v>
      </x:c>
      <x:c r="AH56" t="n">
        <x:v>24</x:v>
      </x:c>
      <x:c r="AI56" t="n">
        <x:v>8</x:v>
      </x:c>
      <x:c r="AJ56" t="n">
        <x:v>11</x:v>
      </x:c>
      <x:c r="AK56" t="n">
        <x:v>250</x:v>
      </x:c>
      <x:c r="AL56" t="str">
        <x:v>Direkte elektrisk;</x:v>
      </x:c>
      <x:c r="AM56" t="n">
        <x:v>1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1</x:v>
      </x:c>
      <x:c r="AT56" t="n">
        <x:v>1</x:v>
      </x:c>
      <x:c r="AU56" t="str">
        <x:v>energiattester_export_2025-08-14.json | PDF vedlegg side 5-7</x:v>
      </x:c>
      <x:c r="AV56" s="12" t="n">
        <x:f>IF(COUNT(O56,P56,Q56,R56,K56,L56,M56,N56)=8,O56*K56+P56*L56+Q56*M56+R56*N56,"")</x:f>
        <x:v>226.89</x:v>
      </x:c>
      <x:c r="AW56" s="12" t="n">
        <x:f>IF(AND(ISNUMBER(AV56),H56&gt;0),AV56/H56,"")</x:f>
        <x:v>0.4125272727272727</x:v>
      </x:c>
      <x:c r="AX56" s="12" t="n">
        <x:f>IF(AND(ISNUMBER(AD56),H56&gt;0),AD56*H56*3600,"")</x:f>
        <x:v>40194000</x:v>
      </x:c>
      <x:c r="AY56" s="12" t="n">
        <x:f>IF(AND(ISNUMBER(Y56),H56&gt;0),Y56*H56,"")</x:f>
        <x:v>37400</x:v>
      </x:c>
      <x:c r="AZ56" t="str">
        <x:v>Høy</x:v>
      </x:c>
    </x:row>
    <x:row r="57" ht="22" customHeight="1">
      <x:c r="A57" t="str">
        <x:v>OT-a41efd0f334f</x:v>
      </x:c>
      <x:c r="B57" t="n">
        <x:v>2015</x:v>
      </x:c>
      <x:c r="C57" t="str">
        <x:v>Kontorbygg</x:v>
      </x:c>
      <x:c r="D57" t="str">
        <x:v>KONTORER, ENKLE</x:v>
      </x:c>
      <x:c r="E57" t="str">
        <x:v>G</x:v>
      </x:c>
      <x:c r="F57" t="str">
        <x:v>RED</x:v>
      </x:c>
      <x:c r="G57" t="n">
        <x:v>1977</x:v>
      </x:c>
      <x:c r="H57" t="n">
        <x:v>1518</x:v>
      </x:c>
      <x:c r="I57" t="n">
        <x:v>317.4</x:v>
      </x:c>
      <x:c r="J57" t="str">
        <x:v>PDF/avansert</x:v>
      </x:c>
      <x:c r="K57" t="n">
        <x:v>427</x:v>
      </x:c>
      <x:c r="L57" t="n">
        <x:v>384</x:v>
      </x:c>
      <x:c r="M57" t="n">
        <x:v>384</x:v>
      </x:c>
      <x:c r="N57" t="n">
        <x:v>93</x:v>
      </x:c>
      <x:c r="O57" t="n">
        <x:v>0.57</x:v>
      </x:c>
      <x:c r="P57" t="n">
        <x:v>0.23</x:v>
      </x:c>
      <x:c r="Q57" t="n">
        <x:v>0.24</x:v>
      </x:c>
      <x:c r="R57" t="n">
        <x:v>2.6</x:v>
      </x:c>
      <x:c r="S57" t="n">
        <x:v>0</x:v>
      </x:c>
      <x:c r="T57" t="n">
        <x:v>0</x:v>
      </x:c>
      <x:c r="U57" t="n">
        <x:v>2</x:v>
      </x:c>
      <x:c r="V57" t="n">
        <x:v>0.43</x:v>
      </x:c>
      <x:c r="W57" t="n">
        <x:v>7</x:v>
      </x:c>
      <x:c r="X57" t="n">
        <x:v>97</x:v>
      </x:c>
      <x:c r="Y57" t="n">
        <x:v>150</x:v>
      </x:c>
      <x:c r="Z57" t="n">
        <x:v>6</x:v>
      </x:c>
      <x:c r="AA57" t="n">
        <x:v>21</x:v>
      </x:c>
      <x:c r="AB57" t="n">
        <x:v>22</x:v>
      </x:c>
      <x:c r="AC57" t="n">
        <x:v>4</x:v>
      </x:c>
      <x:c r="AD57" t="n">
        <x:v>77.6</x:v>
      </x:c>
      <x:c r="AE57" t="n">
        <x:v>0.12</x:v>
      </x:c>
      <x:c r="AF57" t="n">
        <x:v>12</x:v>
      </x:c>
      <x:c r="AG57" t="n">
        <x:v>12</x:v>
      </x:c>
      <x:c r="AH57" t="n">
        <x:v>24</x:v>
      </x:c>
      <x:c r="AI57" t="n">
        <x:v>8</x:v>
      </x:c>
      <x:c r="AJ57" t="n">
        <x:v>11</x:v>
      </x:c>
      <x:c r="AK57" t="n">
        <x:v>250</x:v>
      </x:c>
      <x:c r="AL57" t="str">
        <x:v>Direkte elektrisk; Varmepumpe;</x:v>
      </x:c>
      <x:c r="AM57" t="n">
        <x:v>0</x:v>
      </x:c>
      <x:c r="AN57" t="n">
        <x:v>0</x:v>
      </x:c>
      <x:c r="AO57" t="n">
        <x:v>1</x:v>
      </x:c>
      <x:c r="AP57" t="n">
        <x:v>1</x:v>
      </x:c>
      <x:c r="AQ57" t="n">
        <x:v>1</x:v>
      </x:c>
      <x:c r="AR57" t="n">
        <x:v>1</x:v>
      </x:c>
      <x:c r="AS57" t="n">
        <x:v>1</x:v>
      </x:c>
      <x:c r="AT57" t="n">
        <x:v>1</x:v>
      </x:c>
      <x:c r="AU57" t="str">
        <x:v>energiattester_export_2025-08-14.json | PDF vedlegg side 5-7</x:v>
      </x:c>
      <x:c r="AV57" s="12" t="n">
        <x:f>IF(COUNT(O57,P57,Q57,R57,K57,L57,M57,N57)=8,O57*K57+P57*L57+Q57*M57+R57*N57,"")</x:f>
        <x:v>665.6700000000001</x:v>
      </x:c>
      <x:c r="AW57" s="12" t="n">
        <x:f>IF(AND(ISNUMBER(AV57),H57&gt;0),AV57/H57,"")</x:f>
        <x:v>0.4385177865612649</x:v>
      </x:c>
      <x:c r="AX57" s="12" t="n">
        <x:f>IF(AND(ISNUMBER(AD57),H57&gt;0),AD57*H57*3600,"")</x:f>
        <x:v>424068479.99999994</x:v>
      </x:c>
      <x:c r="AY57" s="12" t="n">
        <x:f>IF(AND(ISNUMBER(Y57),H57&gt;0),Y57*H57,"")</x:f>
        <x:v>227700</x:v>
      </x:c>
      <x:c r="AZ57" t="str">
        <x:v>Høy</x:v>
      </x:c>
    </x:row>
    <x:row r="58" ht="22" customHeight="1">
      <x:c r="A58" t="str">
        <x:v>OT-e2cbaa494535</x:v>
      </x:c>
      <x:c r="B58" t="n">
        <x:v>2015</x:v>
      </x:c>
      <x:c r="C58" t="str">
        <x:v>Kontorbygg</x:v>
      </x:c>
      <x:c r="D58" t="str">
        <x:v>ANNET KONTORBYGG</x:v>
      </x:c>
      <x:c r="E58" t="str">
        <x:v>G</x:v>
      </x:c>
      <x:c r="F58" t="str">
        <x:v>RED</x:v>
      </x:c>
      <x:c r="G58" t="n">
        <x:v>1936</x:v>
      </x:c>
      <x:c r="H58" t="n">
        <x:v>917</x:v>
      </x:c>
      <x:c r="I58" t="n">
        <x:v>374.7</x:v>
      </x:c>
      <x:c r="J58" t="str">
        <x:v>PDF/avansert</x:v>
      </x:c>
      <x:c r="K58" t="n">
        <x:v>575</x:v>
      </x:c>
      <x:c r="L58" t="n">
        <x:v>481</x:v>
      </x:c>
      <x:c r="M58" t="n">
        <x:v>482</x:v>
      </x:c>
      <x:c r="N58" t="n">
        <x:v>118</x:v>
      </x:c>
      <x:c r="O58" t="n">
        <x:v>0.96</x:v>
      </x:c>
      <x:c r="P58" t="n">
        <x:v>0.39</x:v>
      </x:c>
      <x:c r="Q58" t="n">
        <x:v>0.34</x:v>
      </x:c>
      <x:c r="R58" t="n">
        <x:v>2.41</x:v>
      </x:c>
      <x:c r="S58" t="n">
        <x:v>29</x:v>
      </x:c>
      <x:c r="T58" t="n">
        <x:v>29</x:v>
      </x:c>
      <x:c r="U58" t="n">
        <x:v>3.76</x:v>
      </x:c>
      <x:c r="V58" t="n">
        <x:v>2.23</x:v>
      </x:c>
      <x:c r="W58" t="n">
        <x:v>7</x:v>
      </x:c>
      <x:c r="X58" t="n">
        <x:v>89</x:v>
      </x:c>
      <x:c r="Y58" t="n">
        <x:v>224</x:v>
      </x:c>
      <x:c r="Z58" t="n">
        <x:v>0</x:v>
      </x:c>
      <x:c r="AA58" t="n">
        <x:v>21</x:v>
      </x:c>
      <x:c r="AB58" t="n">
        <x:v>22</x:v>
      </x:c>
      <x:c r="AC58" t="n">
        <x:v>4</x:v>
      </x:c>
      <x:c r="AD58" t="n">
        <x:v>90.4</x:v>
      </x:c>
      <x:c r="AE58" t="n">
        <x:v>0.12</x:v>
      </x:c>
      <x:c r="AF58" t="n">
        <x:v>12</x:v>
      </x:c>
      <x:c r="AG58" t="n">
        <x:v>12</x:v>
      </x:c>
      <x:c r="AH58" t="n">
        <x:v>24</x:v>
      </x:c>
      <x:c r="AI58" t="n">
        <x:v>8</x:v>
      </x:c>
      <x:c r="AJ58" t="n">
        <x:v>11</x:v>
      </x:c>
      <x:c r="AK58" t="n">
        <x:v>250</x:v>
      </x:c>
      <x:c r="AL58" t="str">
        <x:v>Direkte elektrisk;</x:v>
      </x:c>
      <x:c r="AM58" t="n">
        <x:v>1</x:v>
      </x:c>
      <x:c r="AN58" t="n">
        <x:v>0</x:v>
      </x:c>
      <x:c r="AO58" t="n">
        <x:v>1</x:v>
      </x:c>
      <x:c r="AP58" t="n">
        <x:v>1</x:v>
      </x:c>
      <x:c r="AQ58" t="n">
        <x:v>1</x:v>
      </x:c>
      <x:c r="AR58" t="n">
        <x:v>1</x:v>
      </x:c>
      <x:c r="AS58" t="n">
        <x:v>1</x:v>
      </x:c>
      <x:c r="AT58" t="n">
        <x:v>1</x:v>
      </x:c>
      <x:c r="AU58" t="str">
        <x:v>energiattester_export_2025-08-14.json | PDF vedlegg side 5-7</x:v>
      </x:c>
      <x:c r="AV58" s="12" t="n">
        <x:f>IF(COUNT(O58,P58,Q58,R58,K58,L58,M58,N58)=8,O58*K58+P58*L58+Q58*M58+R58*N58,"")</x:f>
        <x:v>1187.85</x:v>
      </x:c>
      <x:c r="AW58" s="12" t="n">
        <x:f>IF(AND(ISNUMBER(AV58),H58&gt;0),AV58/H58,"")</x:f>
        <x:v>1.2953653217011996</x:v>
      </x:c>
      <x:c r="AX58" s="12" t="n">
        <x:f>IF(AND(ISNUMBER(AD58),H58&gt;0),AD58*H58*3600,"")</x:f>
        <x:v>298428480</x:v>
      </x:c>
      <x:c r="AY58" s="12" t="n">
        <x:f>IF(AND(ISNUMBER(Y58),H58&gt;0),Y58*H58,"")</x:f>
        <x:v>205408</x:v>
      </x:c>
      <x:c r="AZ58" t="str">
        <x:v>Høy</x:v>
      </x:c>
    </x:row>
    <x:row r="59" ht="22" customHeight="1">
      <x:c r="A59" t="str">
        <x:v>OT-8246b5ece87d</x:v>
      </x:c>
      <x:c r="B59" t="n">
        <x:v>2015</x:v>
      </x:c>
      <x:c r="C59" t="str">
        <x:v>Forretningsbygg</x:v>
      </x:c>
      <x:c r="D59" t="str">
        <x:v>BUTIKK MED KJØLE- / FRYSEROM</x:v>
      </x:c>
      <x:c r="E59" t="str">
        <x:v>B</x:v>
      </x:c>
      <x:c r="F59" t="str">
        <x:v>ORANGE</x:v>
      </x:c>
      <x:c r="G59" t="n">
        <x:v>2015</x:v>
      </x:c>
      <x:c r="H59" t="n">
        <x:v>1122</x:v>
      </x:c>
      <x:c r="I59" t="n">
        <x:v>120.7</x:v>
      </x:c>
      <x:c r="J59" t="str">
        <x:v>PDF/avansert</x:v>
      </x:c>
      <x:c r="K59" t="n">
        <x:v>438</x:v>
      </x:c>
      <x:c r="L59" t="n">
        <x:v>515</x:v>
      </x:c>
      <x:c r="M59" t="n">
        <x:v>101</x:v>
      </x:c>
      <x:c r="N59" t="n">
        <x:v>40</x:v>
      </x:c>
      <x:c r="O59" t="n">
        <x:v>0.19</x:v>
      </x:c>
      <x:c r="P59" t="n">
        <x:v>0.13</x:v>
      </x:c>
      <x:c r="Q59" t="n">
        <x:v>0.11</x:v>
      </x:c>
      <x:c r="R59" t="n">
        <x:v>1.01</x:v>
      </x:c>
      <x:c r="S59" t="n">
        <x:v>82</x:v>
      </x:c>
      <x:c r="T59" t="n">
        <x:v>82</x:v>
      </x:c>
      <x:c r="U59" t="n">
        <x:v>2</x:v>
      </x:c>
      <x:c r="V59" t="n">
        <x:v>0.31</x:v>
      </x:c>
      <x:c r="W59" t="n">
        <x:v>13</x:v>
      </x:c>
      <x:c r="X59" t="n">
        <x:v>207</x:v>
      </x:c>
      <x:c r="Y59" t="n">
        <x:v>191</x:v>
      </x:c>
      <x:c r="Z59" t="n">
        <x:v>30</x:v>
      </x:c>
      <x:c r="AA59" t="n">
        <x:v>21</x:v>
      </x:c>
      <x:c r="AB59" t="n">
        <x:v>22</x:v>
      </x:c>
      <x:c r="AC59" t="n">
        <x:v>0.9</x:v>
      </x:c>
      <x:c r="AD59" t="n">
        <x:v>99</x:v>
      </x:c>
      <x:c r="AE59" t="n">
        <x:v>0.06</x:v>
      </x:c>
      <x:c r="AF59" t="n">
        <x:v>12</x:v>
      </x:c>
      <x:c r="AG59" t="n">
        <x:v>12</x:v>
      </x:c>
      <x:c r="AH59" t="n">
        <x:v>24</x:v>
      </x:c>
      <x:c r="AI59" t="n">
        <x:v>15</x:v>
      </x:c>
      <x:c r="AJ59" t="n">
        <x:v>1</x:v>
      </x:c>
      <x:c r="AK59" t="n">
        <x:v>250</x:v>
      </x:c>
      <x:c r="AL59" t="str">
        <x:v>Direkte elektrisk; Varmepumpe;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1</x:v>
      </x:c>
      <x:c r="AS59" t="n">
        <x:v>1</x:v>
      </x:c>
      <x:c r="AT59" t="n">
        <x:v>1</x:v>
      </x:c>
      <x:c r="AU59" t="str">
        <x:v>energiattester_export_2025-08-14.json | PDF vedlegg side 5-7</x:v>
      </x:c>
      <x:c r="AV59" s="12" t="n">
        <x:f>IF(COUNT(O59,P59,Q59,R59,K59,L59,M59,N59)=8,O59*K59+P59*L59+Q59*M59+R59*N59,"")</x:f>
        <x:v>201.68000000000004</x:v>
      </x:c>
      <x:c r="AW59" s="12" t="n">
        <x:f>IF(AND(ISNUMBER(AV59),H59&gt;0),AV59/H59,"")</x:f>
        <x:v>0.1797504456327986</x:v>
      </x:c>
      <x:c r="AX59" s="12" t="n">
        <x:f>IF(AND(ISNUMBER(AD59),H59&gt;0),AD59*H59*3600,"")</x:f>
        <x:v>399880800</x:v>
      </x:c>
      <x:c r="AY59" s="12" t="n">
        <x:f>IF(AND(ISNUMBER(Y59),H59&gt;0),Y59*H59,"")</x:f>
        <x:v>214302</x:v>
      </x:c>
      <x:c r="AZ59" t="str">
        <x:v>Høy</x:v>
      </x:c>
    </x:row>
    <x:row r="60" ht="22" customHeight="1">
      <x:c r="A60" t="str">
        <x:v>OT-9314bfac3c23</x:v>
      </x:c>
      <x:c r="B60" t="n">
        <x:v>2015</x:v>
      </x:c>
      <x:c r="C60" t="str">
        <x:v>Forretningsbygg</x:v>
      </x:c>
      <x:c r="D60" t="str">
        <x:v>BUTIKK MED KJØLE- / FRYSEROM</x:v>
      </x:c>
      <x:c r="E60" t="str">
        <x:v>B</x:v>
      </x:c>
      <x:c r="F60" t="str">
        <x:v>ORANGE</x:v>
      </x:c>
      <x:c r="G60" t="n">
        <x:v>2015</x:v>
      </x:c>
      <x:c r="H60" t="n">
        <x:v>1122</x:v>
      </x:c>
      <x:c r="I60" t="n">
        <x:v>122.5</x:v>
      </x:c>
      <x:c r="J60" t="str">
        <x:v>PDF/avansert</x:v>
      </x:c>
      <x:c r="K60" t="n">
        <x:v>438</x:v>
      </x:c>
      <x:c r="L60" t="n">
        <x:v>515</x:v>
      </x:c>
      <x:c r="M60" t="n">
        <x:v>101</x:v>
      </x:c>
      <x:c r="N60" t="n">
        <x:v>40</x:v>
      </x:c>
      <x:c r="O60" t="n">
        <x:v>0.19</x:v>
      </x:c>
      <x:c r="P60" t="n">
        <x:v>0.13</x:v>
      </x:c>
      <x:c r="Q60" t="n">
        <x:v>0.11</x:v>
      </x:c>
      <x:c r="R60" t="n">
        <x:v>1.01</x:v>
      </x:c>
      <x:c r="S60" t="n">
        <x:v>82</x:v>
      </x:c>
      <x:c r="T60" t="n">
        <x:v>82</x:v>
      </x:c>
      <x:c r="U60" t="n">
        <x:v>2</x:v>
      </x:c>
      <x:c r="V60" t="n">
        <x:v>0.31</x:v>
      </x:c>
      <x:c r="W60" t="n">
        <x:v>13</x:v>
      </x:c>
      <x:c r="X60" t="n">
        <x:v>207</x:v>
      </x:c>
      <x:c r="Y60" t="n">
        <x:v>191</x:v>
      </x:c>
      <x:c r="Z60" t="n">
        <x:v>30</x:v>
      </x:c>
      <x:c r="AA60" t="n">
        <x:v>21</x:v>
      </x:c>
      <x:c r="AB60" t="n">
        <x:v>22</x:v>
      </x:c>
      <x:c r="AC60" t="n">
        <x:v>1.5</x:v>
      </x:c>
      <x:c r="AD60" t="n">
        <x:v>99</x:v>
      </x:c>
      <x:c r="AE60" t="n">
        <x:v>0.06</x:v>
      </x:c>
      <x:c r="AF60" t="n">
        <x:v>12</x:v>
      </x:c>
      <x:c r="AG60" t="n">
        <x:v>12</x:v>
      </x:c>
      <x:c r="AH60" t="n">
        <x:v>24</x:v>
      </x:c>
      <x:c r="AI60" t="n">
        <x:v>15</x:v>
      </x:c>
      <x:c r="AJ60" t="n">
        <x:v>1</x:v>
      </x:c>
      <x:c r="AK60" t="n">
        <x:v>250</x:v>
      </x:c>
      <x:c r="AL60" t="str">
        <x:v>Direkte elektrisk; Varmepumpe;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1</x:v>
      </x:c>
      <x:c r="AS60" t="n">
        <x:v>1</x:v>
      </x:c>
      <x:c r="AT60" t="n">
        <x:v>1</x:v>
      </x:c>
      <x:c r="AU60" t="str">
        <x:v>energiattester_export_2025-08-14.json | PDF vedlegg side 5-7</x:v>
      </x:c>
      <x:c r="AV60" s="12" t="n">
        <x:f>IF(COUNT(O60,P60,Q60,R60,K60,L60,M60,N60)=8,O60*K60+P60*L60+Q60*M60+R60*N60,"")</x:f>
        <x:v>201.68000000000004</x:v>
      </x:c>
      <x:c r="AW60" s="12" t="n">
        <x:f>IF(AND(ISNUMBER(AV60),H60&gt;0),AV60/H60,"")</x:f>
        <x:v>0.1797504456327986</x:v>
      </x:c>
      <x:c r="AX60" s="12" t="n">
        <x:f>IF(AND(ISNUMBER(AD60),H60&gt;0),AD60*H60*3600,"")</x:f>
        <x:v>399880800</x:v>
      </x:c>
      <x:c r="AY60" s="12" t="n">
        <x:f>IF(AND(ISNUMBER(Y60),H60&gt;0),Y60*H60,"")</x:f>
        <x:v>214302</x:v>
      </x:c>
      <x:c r="AZ60" t="str">
        <x:v>Høy</x:v>
      </x:c>
    </x:row>
    <x:row r="61" ht="22" customHeight="1">
      <x:c r="A61" t="str">
        <x:v>OT-0fd1e5462982</x:v>
      </x:c>
      <x:c r="B61" t="n">
        <x:v>2015</x:v>
      </x:c>
      <x:c r="C61" t="str">
        <x:v>Kontorbygg</x:v>
      </x:c>
      <x:c r="D61" t="str">
        <x:v>KONTORER, ENKLE</x:v>
      </x:c>
      <x:c r="E61" t="str">
        <x:v>F</x:v>
      </x:c>
      <x:c r="F61" t="str">
        <x:v>RED</x:v>
      </x:c>
      <x:c r="G61" t="n">
        <x:v>1969</x:v>
      </x:c>
      <x:c r="H61" t="n">
        <x:v>4305</x:v>
      </x:c>
      <x:c r="I61" t="n">
        <x:v>232.6</x:v>
      </x:c>
      <x:c r="J61" t="str">
        <x:v>PDF/avansert</x:v>
      </x:c>
      <x:c r="K61" t="n">
        <x:v>1342</x:v>
      </x:c>
      <x:c r="L61" t="n">
        <x:v>1063</x:v>
      </x:c>
      <x:c r="M61" t="n">
        <x:v>393</x:v>
      </x:c>
      <x:c r="N61" t="n">
        <x:v>913</x:v>
      </x:c>
      <x:c r="O61" t="n">
        <x:v>0.28</x:v>
      </x:c>
      <x:c r="P61" t="n">
        <x:v>0.56</x:v>
      </x:c>
      <x:c r="Q61" t="n">
        <x:v>0.25</x:v>
      </x:c>
      <x:c r="R61" t="n">
        <x:v>1.3</x:v>
      </x:c>
      <x:c r="S61" t="n">
        <x:v>58</x:v>
      </x:c>
      <x:c r="T61" t="n">
        <x:v>58</x:v>
      </x:c>
      <x:c r="U61" t="n">
        <x:v>3.36</x:v>
      </x:c>
      <x:c r="V61" t="n">
        <x:v>0.43</x:v>
      </x:c>
      <x:c r="W61" t="n">
        <x:v>10.44</x:v>
      </x:c>
      <x:c r="X61" t="n">
        <x:v>81</x:v>
      </x:c>
      <x:c r="Y61" t="n">
        <x:v>122</x:v>
      </x:c>
      <x:c r="Z61" t="n">
        <x:v>80</x:v>
      </x:c>
      <x:c r="AA61" t="n">
        <x:v>21</x:v>
      </x:c>
      <x:c r="AB61" t="n">
        <x:v>22</x:v>
      </x:c>
      <x:c r="AC61" t="n">
        <x:v>2.88</x:v>
      </x:c>
      <x:c r="AD61" t="n">
        <x:v>19.3</x:v>
      </x:c>
      <x:c r="AE61" t="n">
        <x:v>0.11</x:v>
      </x:c>
      <x:c r="AF61" t="n">
        <x:v>12</x:v>
      </x:c>
      <x:c r="AG61" t="n">
        <x:v>12</x:v>
      </x:c>
      <x:c r="AH61" t="n">
        <x:v>24</x:v>
      </x:c>
      <x:c r="AI61" t="n">
        <x:v>8</x:v>
      </x:c>
      <x:c r="AJ61" t="n">
        <x:v>11</x:v>
      </x:c>
      <x:c r="AK61" t="n">
        <x:v>250</x:v>
      </x:c>
      <x:c r="AL61" t="str">
        <x:v>Direkte elektrisk;</x:v>
      </x:c>
      <x:c r="AM61" t="n">
        <x:v>1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1</x:v>
      </x:c>
      <x:c r="AS61" t="n">
        <x:v>1</x:v>
      </x:c>
      <x:c r="AT61" t="n">
        <x:v>1</x:v>
      </x:c>
      <x:c r="AU61" t="str">
        <x:v>energiattester_export_2025-08-14.json | PDF vedlegg side 5-7</x:v>
      </x:c>
      <x:c r="AV61" s="12" t="n">
        <x:f>IF(COUNT(O61,P61,Q61,R61,K61,L61,M61,N61)=8,O61*K61+P61*L61+Q61*M61+R61*N61,"")</x:f>
        <x:v>2256.1900000000005</x:v>
      </x:c>
      <x:c r="AW61" s="12" t="n">
        <x:f>IF(AND(ISNUMBER(AV61),H61&gt;0),AV61/H61,"")</x:f>
        <x:v>0.5240859465737515</x:v>
      </x:c>
      <x:c r="AX61" s="12" t="n">
        <x:f>IF(AND(ISNUMBER(AD61),H61&gt;0),AD61*H61*3600,"")</x:f>
        <x:v>299111400</x:v>
      </x:c>
      <x:c r="AY61" s="12" t="n">
        <x:f>IF(AND(ISNUMBER(Y61),H61&gt;0),Y61*H61,"")</x:f>
        <x:v>525210</x:v>
      </x:c>
      <x:c r="AZ61" t="str">
        <x:v>Høy</x:v>
      </x:c>
    </x:row>
    <x:row r="62" ht="22" customHeight="1">
      <x:c r="A62" t="str">
        <x:v>OT-8d29cd73c7e9</x:v>
      </x:c>
      <x:c r="B62" t="n">
        <x:v>2015</x:v>
      </x:c>
      <x:c r="C62" t="str">
        <x:v>Hoteller</x:v>
      </x:c>
      <x:c r="D62" t="str">
        <x:v>HOTELLBYGNING</x:v>
      </x:c>
      <x:c r="E62" t="str">
        <x:v>E</x:v>
      </x:c>
      <x:c r="F62" t="str">
        <x:v>RED</x:v>
      </x:c>
      <x:c r="G62" t="n">
        <x:v>2000</x:v>
      </x:c>
      <x:c r="H62" t="n">
        <x:v>3537</x:v>
      </x:c>
      <x:c r="I62" t="n">
        <x:v>301.6</x:v>
      </x:c>
      <x:c r="J62" t="str">
        <x:v>PDF/avansert</x:v>
      </x:c>
      <x:c r="K62" t="n">
        <x:v>1241</x:v>
      </x:c>
      <x:c r="L62" t="n">
        <x:v>1287</x:v>
      </x:c>
      <x:c r="M62" t="n">
        <x:v>1287</x:v>
      </x:c>
      <x:c r="N62" t="n">
        <x:v>530</x:v>
      </x:c>
      <x:c r="O62" t="n">
        <x:v>0.35</x:v>
      </x:c>
      <x:c r="P62" t="n">
        <x:v>0.3</x:v>
      </x:c>
      <x:c r="Q62" t="n">
        <x:v>0.29</x:v>
      </x:c>
      <x:c r="R62" t="n">
        <x:v>2.4</x:v>
      </x:c>
      <x:c r="S62" t="n">
        <x:v>40</x:v>
      </x:c>
      <x:c r="T62" t="n">
        <x:v>40</x:v>
      </x:c>
      <x:c r="U62" t="n">
        <x:v>3.03</x:v>
      </x:c>
      <x:c r="V62" t="n">
        <x:v>0.86</x:v>
      </x:c>
      <x:c r="W62" t="n">
        <x:v>7</x:v>
      </x:c>
      <x:c r="X62" t="n">
        <x:v>95</x:v>
      </x:c>
      <x:c r="Y62" t="n">
        <x:v>270</x:v>
      </x:c>
      <x:c r="Z62" t="n">
        <x:v>30</x:v>
      </x:c>
      <x:c r="AA62" t="n">
        <x:v>21</x:v>
      </x:c>
      <x:c r="AB62" t="n">
        <x:v>22</x:v>
      </x:c>
      <x:c r="AC62" t="n">
        <x:v>3</x:v>
      </x:c>
      <x:c r="AD62" t="n">
        <x:v>76</x:v>
      </x:c>
      <x:c r="AE62" t="n">
        <x:v>0.12</x:v>
      </x:c>
      <x:c r="AF62" t="n">
        <x:v>16</x:v>
      </x:c>
      <x:c r="AG62" t="n">
        <x:v>16</x:v>
      </x:c>
      <x:c r="AH62" t="n">
        <x:v>24</x:v>
      </x:c>
      <x:c r="AI62" t="n">
        <x:v>8</x:v>
      </x:c>
      <x:c r="AJ62" t="n">
        <x:v>1</x:v>
      </x:c>
      <x:c r="AK62" t="n">
        <x:v>250</x:v>
      </x:c>
      <x:c r="AL62" t="str">
        <x:v>Direkte elektrisk;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str">
        <x:v>energiattester_export_2025-08-14.json | PDF vedlegg side 5-7</x:v>
      </x:c>
      <x:c r="AV62" s="12" t="n">
        <x:f>IF(COUNT(O62,P62,Q62,R62,K62,L62,M62,N62)=8,O62*K62+P62*L62+Q62*M62+R62*N62,"")</x:f>
        <x:v>2465.68</x:v>
      </x:c>
      <x:c r="AW62" s="12" t="n">
        <x:f>IF(AND(ISNUMBER(AV62),H62&gt;0),AV62/H62,"")</x:f>
        <x:v>0.697110545660164</x:v>
      </x:c>
      <x:c r="AX62" s="12" t="n">
        <x:f>IF(AND(ISNUMBER(AD62),H62&gt;0),AD62*H62*3600,"")</x:f>
        <x:v>967723200</x:v>
      </x:c>
      <x:c r="AY62" s="12" t="n">
        <x:f>IF(AND(ISNUMBER(Y62),H62&gt;0),Y62*H62,"")</x:f>
        <x:v>954990</x:v>
      </x:c>
      <x:c r="AZ62" t="str">
        <x:v>Høy</x:v>
      </x:c>
    </x:row>
    <x:row r="63" ht="22" customHeight="1">
      <x:c r="A63" t="str">
        <x:v>OT-50ff8f18977b</x:v>
      </x:c>
      <x:c r="B63" t="n">
        <x:v>2015</x:v>
      </x:c>
      <x:c r="C63" t="str">
        <x:v>Kontorbygg</x:v>
      </x:c>
      <x:c r="D63" t="str">
        <x:v>Kontorer, med ventilasjon og kjøleanlegg</x:v>
      </x:c>
      <x:c r="E63" t="str">
        <x:v>F</x:v>
      </x:c>
      <x:c r="F63" t="str">
        <x:v>RED</x:v>
      </x:c>
      <x:c r="G63" t="n">
        <x:v>1960</x:v>
      </x:c>
      <x:c r="H63" t="n">
        <x:v>250</x:v>
      </x:c>
      <x:c r="I63" t="n">
        <x:v>274.17</x:v>
      </x:c>
      <x:c r="J63" t="str">
        <x:v>PDF/avansert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 t="n">
        <x:v>1</x:v>
      </x:c>
      <x:c r="AN63" t="n">
        <x:v>1</x:v>
      </x:c>
      <x:c r="AO63" t="n">
        <x:v>0</x:v>
      </x:c>
      <x:c r="AP63" t="n">
        <x:v>1</x:v>
      </x:c>
      <x:c r="AQ63" t="n">
        <x:v>0</x:v>
      </x:c>
      <x:c r="AR63" t="n">
        <x:v>1</x:v>
      </x:c>
      <x:c r="AS63" t="n">
        <x:v>1</x:v>
      </x:c>
      <x:c r="AT63" t="n">
        <x:v>1</x:v>
      </x:c>
      <x:c r="AU63" t="str">
        <x:v>energiattester_export_2025-08-14.json | PDF vedlegg side 5-7</x:v>
      </x:c>
      <x:c r="AV63" s="12" t="str">
        <x:f>IF(COUNT(O63,P63,Q63,R63,K63,L63,M63,N63)=8,O63*K63+P63*L63+Q63*M63+R63*N63,"")</x:f>
      </x:c>
      <x:c r="AW63" s="12" t="str">
        <x:f>IF(AND(ISNUMBER(AV63),H63&gt;0),AV63/H63,"")</x:f>
      </x:c>
      <x:c r="AX63" s="12" t="str">
        <x:f>IF(AND(ISNUMBER(AD63),H63&gt;0),AD63*H63*3600,"")</x:f>
      </x:c>
      <x:c r="AY63" s="12" t="str">
        <x:f>IF(AND(ISNUMBER(Y63),H63&gt;0),Y63*H63,"")</x:f>
      </x:c>
      <x:c r="AZ63" t="str">
        <x:v>Mangler data</x:v>
      </x:c>
    </x:row>
    <x:row r="64" ht="22" customHeight="1">
      <x:c r="A64" t="str">
        <x:v>OT-ff31078504d3</x:v>
      </x:c>
      <x:c r="B64" t="n">
        <x:v>2015</x:v>
      </x:c>
      <x:c r="C64" t="str">
        <x:v>Kontorbygg</x:v>
      </x:c>
      <x:c r="D64" t="str">
        <x:v>KONTORER, ENKLE</x:v>
      </x:c>
      <x:c r="E64" t="str">
        <x:v>D</x:v>
      </x:c>
      <x:c r="F64" t="str">
        <x:v>RED</x:v>
      </x:c>
      <x:c r="G64" t="n">
        <x:v>2004</x:v>
      </x:c>
      <x:c r="H64" t="n">
        <x:v>920</x:v>
      </x:c>
      <x:c r="I64" t="n">
        <x:v>177.5</x:v>
      </x:c>
      <x:c r="J64" t="str">
        <x:v>PDF/avansert</x:v>
      </x:c>
      <x:c r="K64" t="n">
        <x:v>441</x:v>
      </x:c>
      <x:c r="L64" t="n">
        <x:v>500</x:v>
      </x:c>
      <x:c r="M64" t="n">
        <x:v>460</x:v>
      </x:c>
      <x:c r="N64" t="n">
        <x:v>117</x:v>
      </x:c>
      <x:c r="O64" t="n">
        <x:v>0.22</x:v>
      </x:c>
      <x:c r="P64" t="n">
        <x:v>0.15</x:v>
      </x:c>
      <x:c r="Q64" t="n">
        <x:v>0.13</x:v>
      </x:c>
      <x:c r="R64" t="n">
        <x:v>1.6</x:v>
      </x:c>
      <x:c r="S64" t="n">
        <x:v>81</x:v>
      </x:c>
      <x:c r="T64" t="n">
        <x:v>81</x:v>
      </x:c>
      <x:c r="U64" t="n">
        <x:v>2.8</x:v>
      </x:c>
      <x:c r="V64" t="n">
        <x:v>0.67</x:v>
      </x:c>
      <x:c r="W64" t="n">
        <x:v>8.3</x:v>
      </x:c>
      <x:c r="X64" t="n">
        <x:v>74</x:v>
      </x:c>
      <x:c r="Y64" t="n">
        <x:v>150</x:v>
      </x:c>
      <x:c r="Z64" t="n">
        <x:v>50</x:v>
      </x:c>
      <x:c r="AA64" t="n">
        <x:v>21</x:v>
      </x:c>
      <x:c r="AB64" t="n">
        <x:v>22</x:v>
      </x:c>
      <x:c r="AC64" t="n">
        <x:v>3.5</x:v>
      </x:c>
      <x:c r="AD64" t="n">
        <x:v>84.1</x:v>
      </x:c>
      <x:c r="AE64" t="n">
        <x:v>0.09</x:v>
      </x:c>
      <x:c r="AF64" t="n">
        <x:v>12</x:v>
      </x:c>
      <x:c r="AG64" t="n">
        <x:v>12</x:v>
      </x:c>
      <x:c r="AH64" t="n">
        <x:v>24</x:v>
      </x:c>
      <x:c r="AI64" t="n">
        <x:v>8</x:v>
      </x:c>
      <x:c r="AJ64" t="n">
        <x:v>11</x:v>
      </x:c>
      <x:c r="AK64" t="n">
        <x:v>250</x:v>
      </x:c>
      <x:c r="AL64" t="str">
        <x:v>Direkte elektrisk; Olje;</x:v>
      </x:c>
      <x:c r="AM64" t="n">
        <x:v>0</x:v>
      </x:c>
      <x:c r="AN64" t="n">
        <x:v>0</x:v>
      </x:c>
      <x:c r="AO64" t="n">
        <x:v>1</x:v>
      </x:c>
      <x:c r="AP64" t="n">
        <x:v>0</x:v>
      </x:c>
      <x:c r="AQ64" t="n">
        <x:v>0</x:v>
      </x:c>
      <x:c r="AR64" t="n">
        <x:v>1</x:v>
      </x:c>
      <x:c r="AS64" t="n">
        <x:v>1</x:v>
      </x:c>
      <x:c r="AT64" t="n">
        <x:v>0</x:v>
      </x:c>
      <x:c r="AU64" t="str">
        <x:v>energiattester_export_2025-08-14.json | PDF vedlegg side 5-7</x:v>
      </x:c>
      <x:c r="AV64" s="12" t="n">
        <x:f>IF(COUNT(O64,P64,Q64,R64,K64,L64,M64,N64)=8,O64*K64+P64*L64+Q64*M64+R64*N64,"")</x:f>
        <x:v>419.02</x:v>
      </x:c>
      <x:c r="AW64" s="12" t="n">
        <x:f>IF(AND(ISNUMBER(AV64),H64&gt;0),AV64/H64,"")</x:f>
        <x:v>0.4554565217391304</x:v>
      </x:c>
      <x:c r="AX64" s="12" t="n">
        <x:f>IF(AND(ISNUMBER(AD64),H64&gt;0),AD64*H64*3600,"")</x:f>
        <x:v>278539200</x:v>
      </x:c>
      <x:c r="AY64" s="12" t="n">
        <x:f>IF(AND(ISNUMBER(Y64),H64&gt;0),Y64*H64,"")</x:f>
        <x:v>138000</x:v>
      </x:c>
      <x:c r="AZ64" t="str">
        <x:v>Høy</x:v>
      </x:c>
    </x:row>
    <x:row r="65" ht="22" customHeight="1">
      <x:c r="A65" t="str">
        <x:v>OT-fa9608947048</x:v>
      </x:c>
      <x:c r="B65" t="n">
        <x:v>2015</x:v>
      </x:c>
      <x:c r="C65" t="str">
        <x:v>Kontorbygg</x:v>
      </x:c>
      <x:c r="D65" t="str">
        <x:v>KONTORER, ENKLE</x:v>
      </x:c>
      <x:c r="E65" t="str">
        <x:v>F</x:v>
      </x:c>
      <x:c r="F65" t="str">
        <x:v>RED</x:v>
      </x:c>
      <x:c r="G65" t="n">
        <x:v>1940</x:v>
      </x:c>
      <x:c r="H65" t="n">
        <x:v>6490</x:v>
      </x:c>
      <x:c r="I65" t="n">
        <x:v>253.5</x:v>
      </x:c>
      <x:c r="J65" t="str">
        <x:v>PDF/avansert</x:v>
      </x:c>
      <x:c r="K65" t="n">
        <x:v>2328</x:v>
      </x:c>
      <x:c r="L65" t="n">
        <x:v>1373</x:v>
      </x:c>
      <x:c r="M65" t="n">
        <x:v>1377</x:v>
      </x:c>
      <x:c r="N65" t="n">
        <x:v>577</x:v>
      </x:c>
      <x:c r="O65" t="n">
        <x:v>0.48</x:v>
      </x:c>
      <x:c r="P65" t="n">
        <x:v>0.46</x:v>
      </x:c>
      <x:c r="Q65" t="n">
        <x:v>0.19</x:v>
      </x:c>
      <x:c r="R65" t="n">
        <x:v>1.25</x:v>
      </x:c>
      <x:c r="S65" t="n">
        <x:v>70</x:v>
      </x:c>
      <x:c r="T65" t="n">
        <x:v>70</x:v>
      </x:c>
      <x:c r="U65" t="n">
        <x:v>2.7</x:v>
      </x:c>
      <x:c r="V65" t="n">
        <x:v>0.43</x:v>
      </x:c>
      <x:c r="W65" t="n">
        <x:v>7</x:v>
      </x:c>
      <x:c r="X65" t="n">
        <x:v>70</x:v>
      </x:c>
      <x:c r="Y65" t="n">
        <x:v>135</x:v>
      </x:c>
      <x:c r="Z65" t="n">
        <x:v>30</x:v>
      </x:c>
      <x:c r="AA65" t="n">
        <x:v>21</x:v>
      </x:c>
      <x:c r="AB65" t="n">
        <x:v>22</x:v>
      </x:c>
      <x:c r="AC65" t="n">
        <x:v>9</x:v>
      </x:c>
      <x:c r="AD65" t="n">
        <x:v>72.4</x:v>
      </x:c>
      <x:c r="AE65" t="n">
        <x:v>0.09</x:v>
      </x:c>
      <x:c r="AF65" t="n">
        <x:v>12</x:v>
      </x:c>
      <x:c r="AG65" t="n">
        <x:v>12</x:v>
      </x:c>
      <x:c r="AH65" t="n">
        <x:v>24</x:v>
      </x:c>
      <x:c r="AI65" t="n">
        <x:v>8</x:v>
      </x:c>
      <x:c r="AJ65" t="n">
        <x:v>11</x:v>
      </x:c>
      <x:c r="AK65" t="n">
        <x:v>240</x:v>
      </x:c>
      <x:c r="AL65" t="str">
        <x:v>Direkte elektrisk; Olje;</x:v>
      </x:c>
      <x:c r="AM65" t="n">
        <x:v>0</x:v>
      </x:c>
      <x:c r="AN65" t="n">
        <x:v>0</x:v>
      </x:c>
      <x:c r="AO65" t="n">
        <x:v>1</x:v>
      </x:c>
      <x:c r="AP65" t="n">
        <x:v>0</x:v>
      </x:c>
      <x:c r="AQ65" t="n">
        <x:v>0</x:v>
      </x:c>
      <x:c r="AR65" t="n">
        <x:v>1</x:v>
      </x:c>
      <x:c r="AS65" t="n">
        <x:v>1</x:v>
      </x:c>
      <x:c r="AT65" t="n">
        <x:v>1</x:v>
      </x:c>
      <x:c r="AU65" t="str">
        <x:v>energiattester_export_2025-08-14.json | PDF vedlegg side 5-7</x:v>
      </x:c>
      <x:c r="AV65" s="12" t="n">
        <x:f>IF(COUNT(O65,P65,Q65,R65,K65,L65,M65,N65)=8,O65*K65+P65*L65+Q65*M65+R65*N65,"")</x:f>
        <x:v>2731.9</x:v>
      </x:c>
      <x:c r="AW65" s="12" t="n">
        <x:f>IF(AND(ISNUMBER(AV65),H65&gt;0),AV65/H65,"")</x:f>
        <x:v>0.42093990755007704</x:v>
      </x:c>
      <x:c r="AX65" s="12" t="n">
        <x:f>IF(AND(ISNUMBER(AD65),H65&gt;0),AD65*H65*3600,"")</x:f>
        <x:v>1691553600.0000002</x:v>
      </x:c>
      <x:c r="AY65" s="12" t="n">
        <x:f>IF(AND(ISNUMBER(Y65),H65&gt;0),Y65*H65,"")</x:f>
        <x:v>876150</x:v>
      </x:c>
      <x:c r="AZ65" t="str">
        <x:v>Høy</x:v>
      </x:c>
    </x:row>
    <x:row r="66" ht="22" customHeight="1">
      <x:c r="A66" t="str">
        <x:v>OT-d5fc3590cca0</x:v>
      </x:c>
      <x:c r="B66" t="n">
        <x:v>2015</x:v>
      </x:c>
      <x:c r="C66" t="str">
        <x:v>Kontorbygg</x:v>
      </x:c>
      <x:c r="D66" t="str">
        <x:v>KONTORER, MED VENTILASJON OG KJØLEANLEGG</x:v>
      </x:c>
      <x:c r="E66" t="str">
        <x:v>G</x:v>
      </x:c>
      <x:c r="F66" t="str">
        <x:v>RED</x:v>
      </x:c>
      <x:c r="G66" t="n">
        <x:v>1945</x:v>
      </x:c>
      <x:c r="H66" t="n">
        <x:v>1002</x:v>
      </x:c>
      <x:c r="I66" t="n">
        <x:v>385.9</x:v>
      </x:c>
      <x:c r="J66" t="str">
        <x:v>PDF/avansert</x:v>
      </x:c>
      <x:c r="K66" t="n">
        <x:v>722</x:v>
      </x:c>
      <x:c r="L66" t="n">
        <x:v>335</x:v>
      </x:c>
      <x:c r="M66" t="n">
        <x:v>329</x:v>
      </x:c>
      <x:c r="N66" t="n">
        <x:v>148</x:v>
      </x:c>
      <x:c r="O66" t="n">
        <x:v>1.16</x:v>
      </x:c>
      <x:c r="P66" t="n">
        <x:v>0.52</x:v>
      </x:c>
      <x:c r="Q66" t="n">
        <x:v>0.21</x:v>
      </x:c>
      <x:c r="R66" t="n">
        <x:v>2.69</x:v>
      </x:c>
      <x:c r="S66" t="n">
        <x:v>73</x:v>
      </x:c>
      <x:c r="T66" t="n">
        <x:v>73</x:v>
      </x:c>
      <x:c r="U66" t="n">
        <x:v>2.33</x:v>
      </x:c>
      <x:c r="V66" t="n">
        <x:v>0.37</x:v>
      </x:c>
      <x:c r="W66" t="n">
        <x:v>8.08</x:v>
      </x:c>
      <x:c r="X66" t="n">
        <x:v>81</x:v>
      </x:c>
      <x:c r="Y66" t="n">
        <x:v>123</x:v>
      </x:c>
      <x:c r="Z66" t="n">
        <x:v>56</x:v>
      </x:c>
      <x:c r="AA66" t="n">
        <x:v>21</x:v>
      </x:c>
      <x:c r="AB66" t="n">
        <x:v>22</x:v>
      </x:c>
      <x:c r="AC66" t="n">
        <x:v>9</x:v>
      </x:c>
      <x:c r="AD66" t="n">
        <x:v>75.5</x:v>
      </x:c>
      <x:c r="AE66" t="n">
        <x:v>0.12</x:v>
      </x:c>
      <x:c r="AF66" t="n">
        <x:v>12</x:v>
      </x:c>
      <x:c r="AG66" t="n">
        <x:v>12</x:v>
      </x:c>
      <x:c r="AH66" t="n">
        <x:v>24</x:v>
      </x:c>
      <x:c r="AI66" t="n">
        <x:v>8</x:v>
      </x:c>
      <x:c r="AJ66" t="n">
        <x:v>11</x:v>
      </x:c>
      <x:c r="AK66" t="n">
        <x:v>250</x:v>
      </x:c>
      <x:c r="AL66" t="str">
        <x:v>Direkte elektrisk;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str">
        <x:v>energiattester_export_2025-08-14.json | PDF vedlegg side 5-7</x:v>
      </x:c>
      <x:c r="AV66" s="12" t="n">
        <x:f>IF(COUNT(O66,P66,Q66,R66,K66,L66,M66,N66)=8,O66*K66+P66*L66+Q66*M66+R66*N66,"")</x:f>
        <x:v>1478.9299999999998</x:v>
      </x:c>
      <x:c r="AW66" s="12" t="n">
        <x:f>IF(AND(ISNUMBER(AV66),H66&gt;0),AV66/H66,"")</x:f>
        <x:v>1.4759780439121755</x:v>
      </x:c>
      <x:c r="AX66" s="12" t="n">
        <x:f>IF(AND(ISNUMBER(AD66),H66&gt;0),AD66*H66*3600,"")</x:f>
        <x:v>272343600</x:v>
      </x:c>
      <x:c r="AY66" s="12" t="n">
        <x:f>IF(AND(ISNUMBER(Y66),H66&gt;0),Y66*H66,"")</x:f>
        <x:v>123246</x:v>
      </x:c>
      <x:c r="AZ66" t="str">
        <x:v>Høy</x:v>
      </x:c>
    </x:row>
    <x:row r="67" ht="22" customHeight="1">
      <x:c r="A67" t="str">
        <x:v>OT-86480b78ffe7</x:v>
      </x:c>
      <x:c r="B67" t="n">
        <x:v>2015</x:v>
      </x:c>
      <x:c r="C67" t="str">
        <x:v>Kontorbygg</x:v>
      </x:c>
      <x:c r="D67" t="str">
        <x:v>KONTORER, MED VENTILASJON OG KJØLEANLEGG</x:v>
      </x:c>
      <x:c r="E67" t="str">
        <x:v>E</x:v>
      </x:c>
      <x:c r="F67" t="str">
        <x:v>ORANGE</x:v>
      </x:c>
      <x:c r="G67" t="n">
        <x:v>1972</x:v>
      </x:c>
      <x:c r="H67" t="n">
        <x:v>7448</x:v>
      </x:c>
      <x:c r="I67" t="n">
        <x:v>196.6</x:v>
      </x:c>
      <x:c r="J67" t="str">
        <x:v>PDF/avansert</x:v>
      </x:c>
      <x:c r="K67" t="n">
        <x:v>2935</x:v>
      </x:c>
      <x:c r="L67" t="n">
        <x:v>2382</x:v>
      </x:c>
      <x:c r="M67" t="n">
        <x:v>2225</x:v>
      </x:c>
      <x:c r="N67" t="n">
        <x:v>1024</x:v>
      </x:c>
      <x:c r="O67" t="n">
        <x:v>0.36</x:v>
      </x:c>
      <x:c r="P67" t="n">
        <x:v>0.26</x:v>
      </x:c>
      <x:c r="Q67" t="n">
        <x:v>0.17</x:v>
      </x:c>
      <x:c r="R67" t="n">
        <x:v>1.71</x:v>
      </x:c>
      <x:c r="S67" t="n">
        <x:v>63</x:v>
      </x:c>
      <x:c r="T67" t="n">
        <x:v>63</x:v>
      </x:c>
      <x:c r="U67" t="n">
        <x:v>4.03</x:v>
      </x:c>
      <x:c r="V67" t="n">
        <x:v>0.38</x:v>
      </x:c>
      <x:c r="W67" t="n">
        <x:v>9.54</x:v>
      </x:c>
      <x:c r="X67" t="n">
        <x:v>159</x:v>
      </x:c>
      <x:c r="Y67" t="n">
        <x:v>80</x:v>
      </x:c>
      <x:c r="Z67" t="n">
        <x:v>51</x:v>
      </x:c>
      <x:c r="AA67" t="n">
        <x:v>21</x:v>
      </x:c>
      <x:c r="AB67" t="n">
        <x:v>22</x:v>
      </x:c>
      <x:c r="AC67" t="n">
        <x:v>3.49</x:v>
      </x:c>
      <x:c r="AD67" t="n">
        <x:v>39.4</x:v>
      </x:c>
      <x:c r="AE67" t="n">
        <x:v>0.08</x:v>
      </x:c>
      <x:c r="AF67" t="n">
        <x:v>12</x:v>
      </x:c>
      <x:c r="AG67" t="n">
        <x:v>12</x:v>
      </x:c>
      <x:c r="AH67" t="n">
        <x:v>24</x:v>
      </x:c>
      <x:c r="AI67" t="n">
        <x:v>8</x:v>
      </x:c>
      <x:c r="AJ67" t="n">
        <x:v>11</x:v>
      </x:c>
      <x:c r="AK67" t="n">
        <x:v>250</x:v>
      </x:c>
      <x:c r="AL67" t="str">
        <x:v>Direkte elektrisk; Olje; Varmepumpe;</x:v>
      </x:c>
      <x:c r="AM67" t="n">
        <x:v>1</x:v>
      </x:c>
      <x:c r="AN67" t="n">
        <x:v>0</x:v>
      </x:c>
      <x:c r="AO67" t="n">
        <x:v>0</x:v>
      </x:c>
      <x:c r="AP67" t="n">
        <x:v>0</x:v>
      </x:c>
      <x:c r="AQ67" t="n">
        <x:v>1</x:v>
      </x:c>
      <x:c r="AR67" t="n">
        <x:v>1</x:v>
      </x:c>
      <x:c r="AS67" t="n">
        <x:v>0</x:v>
      </x:c>
      <x:c r="AT67" t="n">
        <x:v>1</x:v>
      </x:c>
      <x:c r="AU67" t="str">
        <x:v>energiattester_export_2025-08-14.json | PDF vedlegg side 5-7</x:v>
      </x:c>
      <x:c r="AV67" s="12" t="n">
        <x:f>IF(COUNT(O67,P67,Q67,R67,K67,L67,M67,N67)=8,O67*K67+P67*L67+Q67*M67+R67*N67,"")</x:f>
        <x:v>3805.21</x:v>
      </x:c>
      <x:c r="AW67" s="12" t="n">
        <x:f>IF(AND(ISNUMBER(AV67),H67&gt;0),AV67/H67,"")</x:f>
        <x:v>0.5109035982814178</x:v>
      </x:c>
      <x:c r="AX67" s="12" t="n">
        <x:f>IF(AND(ISNUMBER(AD67),H67&gt;0),AD67*H67*3600,"")</x:f>
        <x:v>1056424320</x:v>
      </x:c>
      <x:c r="AY67" s="12" t="n">
        <x:f>IF(AND(ISNUMBER(Y67),H67&gt;0),Y67*H67,"")</x:f>
        <x:v>595840</x:v>
      </x:c>
      <x:c r="AZ67" t="str">
        <x:v>Høy</x:v>
      </x:c>
    </x:row>
    <x:row r="68" ht="22" customHeight="1">
      <x:c r="A68" t="str">
        <x:v>OT-d02f61542f47</x:v>
      </x:c>
      <x:c r="B68" t="n">
        <x:v>2015</x:v>
      </x:c>
      <x:c r="C68" t="str">
        <x:v>Kontorbygg</x:v>
      </x:c>
      <x:c r="D68" t="str">
        <x:v>KONTORER, ENKLE</x:v>
      </x:c>
      <x:c r="E68" t="str">
        <x:v>E</x:v>
      </x:c>
      <x:c r="F68" t="str">
        <x:v>RED</x:v>
      </x:c>
      <x:c r="G68" t="n">
        <x:v>1970</x:v>
      </x:c>
      <x:c r="H68" t="n">
        <x:v>552</x:v>
      </x:c>
      <x:c r="I68" t="n">
        <x:v>185.9</x:v>
      </x:c>
      <x:c r="J68" t="str">
        <x:v>PDF/avansert</x:v>
      </x:c>
      <x:c r="K68" t="n">
        <x:v>8</x:v>
      </x:c>
      <x:c r="L68" t="n">
        <x:v>276</x:v>
      </x:c>
      <x:c r="M68" t="n">
        <x:v>0</x:v>
      </x:c>
      <x:c r="N68" t="n">
        <x:v>151</x:v>
      </x:c>
      <x:c r="O68" t="n">
        <x:v>0.21</x:v>
      </x:c>
      <x:c r="P68" t="n">
        <x:v>0.16</x:v>
      </x:c>
      <x:c r="Q68" t="n">
        <x:v>0</x:v>
      </x:c>
      <x:c r="R68" t="n">
        <x:v>1.42</x:v>
      </x:c>
      <x:c r="S68" t="n">
        <x:v>60</x:v>
      </x:c>
      <x:c r="T68" t="n">
        <x:v>60</x:v>
      </x:c>
      <x:c r="U68" t="n">
        <x:v>2</x:v>
      </x:c>
      <x:c r="V68" t="n">
        <x:v>0.45</x:v>
      </x:c>
      <x:c r="W68" t="n">
        <x:v>10</x:v>
      </x:c>
      <x:c r="X68" t="n">
        <x:v>81</x:v>
      </x:c>
      <x:c r="Y68" t="n">
        <x:v>80</x:v>
      </x:c>
      <x:c r="Z68" t="n">
        <x:v>0</x:v>
      </x:c>
      <x:c r="AA68" t="n">
        <x:v>21</x:v>
      </x:c>
      <x:c r="AB68" t="n">
        <x:v>22</x:v>
      </x:c>
      <x:c r="AC68" t="n">
        <x:v>1.5</x:v>
      </x:c>
      <x:c r="AD68" t="n">
        <x:v>105.2</x:v>
      </x:c>
      <x:c r="AE68" t="n">
        <x:v>0.12</x:v>
      </x:c>
      <x:c r="AF68" t="n">
        <x:v>12</x:v>
      </x:c>
      <x:c r="AG68" t="n">
        <x:v>12</x:v>
      </x:c>
      <x:c r="AH68" t="n">
        <x:v>24</x:v>
      </x:c>
      <x:c r="AI68" t="n">
        <x:v>8</x:v>
      </x:c>
      <x:c r="AJ68" t="n">
        <x:v>11</x:v>
      </x:c>
      <x:c r="AK68" t="n">
        <x:v>250</x:v>
      </x:c>
      <x:c r="AL68" t="str">
        <x:v>Direkte elektrisk;</x:v>
      </x:c>
      <x:c r="AM68" t="n">
        <x:v>1</x:v>
      </x:c>
      <x:c r="AN68" t="n">
        <x:v>0</x:v>
      </x:c>
      <x:c r="AO68" t="n">
        <x:v>1</x:v>
      </x:c>
      <x:c r="AP68" t="n">
        <x:v>1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str">
        <x:v>energiattester_export_2025-08-14.json | PDF vedlegg side 5-7</x:v>
      </x:c>
      <x:c r="AV68" s="12" t="n">
        <x:f>IF(COUNT(O68,P68,Q68,R68,K68,L68,M68,N68)=8,O68*K68+P68*L68+Q68*M68+R68*N68,"")</x:f>
        <x:v>260.26</x:v>
      </x:c>
      <x:c r="AW68" s="12" t="n">
        <x:f>IF(AND(ISNUMBER(AV68),H68&gt;0),AV68/H68,"")</x:f>
        <x:v>0.4714855072463768</x:v>
      </x:c>
      <x:c r="AX68" s="12" t="n">
        <x:f>IF(AND(ISNUMBER(AD68),H68&gt;0),AD68*H68*3600,"")</x:f>
        <x:v>209053440</x:v>
      </x:c>
      <x:c r="AY68" s="12" t="n">
        <x:f>IF(AND(ISNUMBER(Y68),H68&gt;0),Y68*H68,"")</x:f>
        <x:v>44160</x:v>
      </x:c>
      <x:c r="AZ68" t="str">
        <x:v>Høy</x:v>
      </x:c>
    </x:row>
    <x:row r="69" ht="22" customHeight="1">
      <x:c r="A69" t="str">
        <x:v>OT-00b672dd1ab7</x:v>
      </x:c>
      <x:c r="B69" t="n">
        <x:v>2015</x:v>
      </x:c>
      <x:c r="C69" t="str">
        <x:v>Forretningsbygg</x:v>
      </x:c>
      <x:c r="D69" t="str">
        <x:v>BUTIKK</x:v>
      </x:c>
      <x:c r="E69" t="str">
        <x:v>F</x:v>
      </x:c>
      <x:c r="F69" t="str">
        <x:v>RED</x:v>
      </x:c>
      <x:c r="G69" t="n">
        <x:v>1970</x:v>
      </x:c>
      <x:c r="H69" t="n">
        <x:v>828</x:v>
      </x:c>
      <x:c r="I69" t="n">
        <x:v>342.7</x:v>
      </x:c>
      <x:c r="J69" t="str">
        <x:v>PDF/avansert</x:v>
      </x:c>
      <x:c r="K69" t="n">
        <x:v>199</x:v>
      </x:c>
      <x:c r="L69" t="n">
        <x:v>0</x:v>
      </x:c>
      <x:c r="M69" t="n">
        <x:v>276</x:v>
      </x:c>
      <x:c r="N69" t="n">
        <x:v>159</x:v>
      </x:c>
      <x:c r="O69" t="n">
        <x:v>0.16</x:v>
      </x:c>
      <x:c r="P69" t="n">
        <x:v>0</x:v>
      </x:c>
      <x:c r="Q69" t="n">
        <x:v>0.16</x:v>
      </x:c>
      <x:c r="R69" t="n">
        <x:v>1.31</x:v>
      </x:c>
      <x:c r="S69" t="n">
        <x:v>40</x:v>
      </x:c>
      <x:c r="T69" t="n">
        <x:v>40</x:v>
      </x:c>
      <x:c r="U69" t="n">
        <x:v>2</x:v>
      </x:c>
      <x:c r="V69" t="n">
        <x:v>0.38</x:v>
      </x:c>
      <x:c r="W69" t="n">
        <x:v>20</x:v>
      </x:c>
      <x:c r="X69" t="n">
        <x:v>81</x:v>
      </x:c>
      <x:c r="Y69" t="n">
        <x:v>70</x:v>
      </x:c>
      <x:c r="Z69" t="n">
        <x:v>0</x:v>
      </x:c>
      <x:c r="AA69" t="n">
        <x:v>21</x:v>
      </x:c>
      <x:c r="AB69" t="n">
        <x:v>22</x:v>
      </x:c>
      <x:c r="AC69" t="n">
        <x:v>1.5</x:v>
      </x:c>
      <x:c r="AD69" t="n">
        <x:v>85.3</x:v>
      </x:c>
      <x:c r="AE69" t="n">
        <x:v>0.12</x:v>
      </x:c>
      <x:c r="AF69" t="n">
        <x:v>12</x:v>
      </x:c>
      <x:c r="AG69" t="n">
        <x:v>12</x:v>
      </x:c>
      <x:c r="AH69" t="n">
        <x:v>24</x:v>
      </x:c>
      <x:c r="AI69" t="n">
        <x:v>15</x:v>
      </x:c>
      <x:c r="AJ69" t="n">
        <x:v>1</x:v>
      </x:c>
      <x:c r="AK69" t="n">
        <x:v>250</x:v>
      </x:c>
      <x:c r="AL69" t="str">
        <x:v>Direkte elektrisk;</x:v>
      </x:c>
      <x:c r="AM69" t="n">
        <x:v>1</x:v>
      </x:c>
      <x:c r="AN69" t="n">
        <x:v>0</x:v>
      </x:c>
      <x:c r="AO69" t="n">
        <x:v>1</x:v>
      </x:c>
      <x:c r="AP69" t="n">
        <x:v>1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str">
        <x:v>energiattester_export_2025-08-14.json | PDF vedlegg side 5-7</x:v>
      </x:c>
      <x:c r="AV69" s="12" t="n">
        <x:f>IF(COUNT(O69,P69,Q69,R69,K69,L69,M69,N69)=8,O69*K69+P69*L69+Q69*M69+R69*N69,"")</x:f>
        <x:v>284.29</x:v>
      </x:c>
      <x:c r="AW69" s="12" t="n">
        <x:f>IF(AND(ISNUMBER(AV69),H69&gt;0),AV69/H69,"")</x:f>
        <x:v>0.3433454106280193</x:v>
      </x:c>
      <x:c r="AX69" s="12" t="n">
        <x:f>IF(AND(ISNUMBER(AD69),H69&gt;0),AD69*H69*3600,"")</x:f>
        <x:v>254262239.99999997</x:v>
      </x:c>
      <x:c r="AY69" s="12" t="n">
        <x:f>IF(AND(ISNUMBER(Y69),H69&gt;0),Y69*H69,"")</x:f>
        <x:v>57960</x:v>
      </x:c>
      <x:c r="AZ69" t="str">
        <x:v>Høy</x:v>
      </x:c>
    </x:row>
    <x:row r="70" ht="22" customHeight="1">
      <x:c r="A70" t="str">
        <x:v>OT-d3af920419c3</x:v>
      </x:c>
      <x:c r="B70" t="n">
        <x:v>2015</x:v>
      </x:c>
      <x:c r="C70" t="str">
        <x:v>Kontorbygg</x:v>
      </x:c>
      <x:c r="D70" t="str">
        <x:v>KONTORER, MED VENTILASJON OG KJØLEANLEGG</x:v>
      </x:c>
      <x:c r="E70" t="str">
        <x:v>G</x:v>
      </x:c>
      <x:c r="F70" t="str">
        <x:v>GREEN</x:v>
      </x:c>
      <x:c r="G70" t="n">
        <x:v>1967</x:v>
      </x:c>
      <x:c r="H70" t="n">
        <x:v>5090</x:v>
      </x:c>
      <x:c r="I70" t="n">
        <x:v>1</x:v>
      </x:c>
      <x:c r="J70" t="str">
        <x:v>PDF/avansert</x:v>
      </x:c>
      <x:c r="K70" t="n">
        <x:v>2199</x:v>
      </x:c>
      <x:c r="L70" t="n">
        <x:v>1577</x:v>
      </x:c>
      <x:c r="M70" t="n">
        <x:v>1602</x:v>
      </x:c>
      <x:c r="N70" t="n">
        <x:v>595</x:v>
      </x:c>
      <x:c r="O70" t="n">
        <x:v>0.87</x:v>
      </x:c>
      <x:c r="P70" t="n">
        <x:v>0.8</x:v>
      </x:c>
      <x:c r="Q70" t="n">
        <x:v>0.26</x:v>
      </x:c>
      <x:c r="R70" t="n">
        <x:v>3.46</x:v>
      </x:c>
      <x:c r="S70" t="n">
        <x:v>0</x:v>
      </x:c>
      <x:c r="T70" t="n">
        <x:v>0</x:v>
      </x:c>
      <x:c r="U70" t="n">
        <x:v>3.17</x:v>
      </x:c>
      <x:c r="V70" t="n">
        <x:v>0.43</x:v>
      </x:c>
      <x:c r="W70" t="n">
        <x:v>7</x:v>
      </x:c>
      <x:c r="X70" t="n">
        <x:v>81</x:v>
      </x:c>
      <x:c r="Y70" t="n">
        <x:v>132</x:v>
      </x:c>
      <x:c r="Z70" t="n">
        <x:v>23</x:v>
      </x:c>
      <x:c r="AA70" t="n">
        <x:v>21</x:v>
      </x:c>
      <x:c r="AB70" t="n">
        <x:v>22</x:v>
      </x:c>
      <x:c r="AC70" t="n">
        <x:v>9</x:v>
      </x:c>
      <x:c r="AD70" t="n">
        <x:v>86.5</x:v>
      </x:c>
      <x:c r="AE70" t="n">
        <x:v>0.12</x:v>
      </x:c>
      <x:c r="AF70"/>
      <x:c r="AG70"/>
      <x:c r="AH70"/>
      <x:c r="AI70"/>
      <x:c r="AJ70"/>
      <x:c r="AK70" t="n">
        <x:v>250</x:v>
      </x:c>
      <x:c r="AL70"/>
      <x:c r="AM70" t="n">
        <x:v>1</x:v>
      </x:c>
      <x:c r="AN70" t="n">
        <x:v>0</x:v>
      </x:c>
      <x:c r="AO70" t="n">
        <x:v>1</x:v>
      </x:c>
      <x:c r="AP70" t="n">
        <x:v>1</x:v>
      </x:c>
      <x:c r="AQ70" t="n">
        <x:v>1</x:v>
      </x:c>
      <x:c r="AR70" t="n">
        <x:v>1</x:v>
      </x:c>
      <x:c r="AS70" t="n">
        <x:v>1</x:v>
      </x:c>
      <x:c r="AT70" t="n">
        <x:v>1</x:v>
      </x:c>
      <x:c r="AU70" t="str">
        <x:v>energiattester_export_2025-08-14.json | PDF vedlegg side 5-7</x:v>
      </x:c>
      <x:c r="AV70" s="12" t="n">
        <x:f>IF(COUNT(O70,P70,Q70,R70,K70,L70,M70,N70)=8,O70*K70+P70*L70+Q70*M70+R70*N70,"")</x:f>
        <x:v>5649.95</x:v>
      </x:c>
      <x:c r="AW70" s="12" t="n">
        <x:f>IF(AND(ISNUMBER(AV70),H70&gt;0),AV70/H70,"")</x:f>
        <x:v>1.1100098231827111</x:v>
      </x:c>
      <x:c r="AX70" s="12" t="n">
        <x:f>IF(AND(ISNUMBER(AD70),H70&gt;0),AD70*H70*3600,"")</x:f>
        <x:v>1585026000</x:v>
      </x:c>
      <x:c r="AY70" s="12" t="n">
        <x:f>IF(AND(ISNUMBER(Y70),H70&gt;0),Y70*H70,"")</x:f>
        <x:v>671880</x:v>
      </x:c>
      <x:c r="AZ70" t="str">
        <x:v>Høy</x:v>
      </x:c>
    </x:row>
    <x:row r="71" ht="22" customHeight="1">
      <x:c r="A71" t="str">
        <x:v>OT-a8aa8442fc28</x:v>
      </x:c>
      <x:c r="B71" t="n">
        <x:v>2015</x:v>
      </x:c>
      <x:c r="C71" t="str">
        <x:v>Forretningsbygg</x:v>
      </x:c>
      <x:c r="D71" t="str">
        <x:v>BUTIKK</x:v>
      </x:c>
      <x:c r="E71" t="str">
        <x:v>G</x:v>
      </x:c>
      <x:c r="F71" t="str">
        <x:v>GREEN</x:v>
      </x:c>
      <x:c r="G71" t="n">
        <x:v>1967</x:v>
      </x:c>
      <x:c r="H71" t="n">
        <x:v>1192</x:v>
      </x:c>
      <x:c r="I71" t="n">
        <x:v>569</x:v>
      </x:c>
      <x:c r="J71" t="str">
        <x:v>PDF/avansert</x:v>
      </x:c>
      <x:c r="K71" t="n">
        <x:v>491</x:v>
      </x:c>
      <x:c r="L71" t="n">
        <x:v>383</x:v>
      </x:c>
      <x:c r="M71" t="n">
        <x:v>461</x:v>
      </x:c>
      <x:c r="N71" t="n">
        <x:v>243</x:v>
      </x:c>
      <x:c r="O71" t="n">
        <x:v>0.87</x:v>
      </x:c>
      <x:c r="P71" t="n">
        <x:v>0.93</x:v>
      </x:c>
      <x:c r="Q71" t="n">
        <x:v>0.16</x:v>
      </x:c>
      <x:c r="R71" t="n">
        <x:v>2.4</x:v>
      </x:c>
      <x:c r="S71" t="n">
        <x:v>0</x:v>
      </x:c>
      <x:c r="T71" t="n">
        <x:v>0</x:v>
      </x:c>
      <x:c r="U71" t="n">
        <x:v>3.5</x:v>
      </x:c>
      <x:c r="V71" t="n">
        <x:v>0.23</x:v>
      </x:c>
      <x:c r="W71" t="n">
        <x:v>13</x:v>
      </x:c>
      <x:c r="X71" t="n">
        <x:v>81</x:v>
      </x:c>
      <x:c r="Y71" t="n">
        <x:v>140</x:v>
      </x:c>
      <x:c r="Z71" t="n">
        <x:v>30</x:v>
      </x:c>
      <x:c r="AA71" t="n">
        <x:v>21</x:v>
      </x:c>
      <x:c r="AB71" t="n">
        <x:v>22</x:v>
      </x:c>
      <x:c r="AC71" t="n">
        <x:v>9</x:v>
      </x:c>
      <x:c r="AD71" t="n">
        <x:v>76.1</x:v>
      </x:c>
      <x:c r="AE71" t="n">
        <x:v>0.12</x:v>
      </x:c>
      <x:c r="AF71" t="n">
        <x:v>12</x:v>
      </x:c>
      <x:c r="AG71" t="n">
        <x:v>12</x:v>
      </x:c>
      <x:c r="AH71" t="n">
        <x:v>24</x:v>
      </x:c>
      <x:c r="AI71" t="n">
        <x:v>15</x:v>
      </x:c>
      <x:c r="AJ71" t="n">
        <x:v>1</x:v>
      </x:c>
      <x:c r="AK71" t="n">
        <x:v>250</x:v>
      </x:c>
      <x:c r="AL71" t="str">
        <x:v>Direkte elektrisk; Olje; Fjernvarme;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1</x:v>
      </x:c>
      <x:c r="AS71" t="n">
        <x:v>1</x:v>
      </x:c>
      <x:c r="AT71" t="n">
        <x:v>1</x:v>
      </x:c>
      <x:c r="AU71" t="str">
        <x:v>energiattester_export_2025-08-14.json | PDF vedlegg side 5-7</x:v>
      </x:c>
      <x:c r="AV71" s="12" t="n">
        <x:f>IF(COUNT(O71,P71,Q71,R71,K71,L71,M71,N71)=8,O71*K71+P71*L71+Q71*M71+R71*N71,"")</x:f>
        <x:v>1440.32</x:v>
      </x:c>
      <x:c r="AW71" s="12" t="n">
        <x:f>IF(AND(ISNUMBER(AV71),H71&gt;0),AV71/H71,"")</x:f>
        <x:v>1.2083221476510067</x:v>
      </x:c>
      <x:c r="AX71" s="12" t="n">
        <x:f>IF(AND(ISNUMBER(AD71),H71&gt;0),AD71*H71*3600,"")</x:f>
        <x:v>326560320</x:v>
      </x:c>
      <x:c r="AY71" s="12" t="n">
        <x:f>IF(AND(ISNUMBER(Y71),H71&gt;0),Y71*H71,"")</x:f>
        <x:v>166880</x:v>
      </x:c>
      <x:c r="AZ71" t="str">
        <x:v>Høy</x:v>
      </x:c>
    </x:row>
    <x:row r="72" ht="22" customHeight="1">
      <x:c r="A72" t="str">
        <x:v>OT-f44fd23df6e5</x:v>
      </x:c>
      <x:c r="B72" t="n">
        <x:v>2015</x:v>
      </x:c>
      <x:c r="C72" t="str">
        <x:v>Kontorbygg</x:v>
      </x:c>
      <x:c r="D72" t="str">
        <x:v>KONTORER, ENKLE</x:v>
      </x:c>
      <x:c r="E72" t="str">
        <x:v>G</x:v>
      </x:c>
      <x:c r="F72" t="str">
        <x:v>RED</x:v>
      </x:c>
      <x:c r="G72" t="n">
        <x:v>1900</x:v>
      </x:c>
      <x:c r="H72" t="n">
        <x:v>829</x:v>
      </x:c>
      <x:c r="I72" t="n">
        <x:v>383.2</x:v>
      </x:c>
      <x:c r="J72" t="str">
        <x:v>PDF/avansert</x:v>
      </x:c>
      <x:c r="K72" t="n">
        <x:v>828</x:v>
      </x:c>
      <x:c r="L72" t="n">
        <x:v>169</x:v>
      </x:c>
      <x:c r="M72" t="n">
        <x:v>166</x:v>
      </x:c>
      <x:c r="N72" t="n">
        <x:v>121</x:v>
      </x:c>
      <x:c r="O72" t="n">
        <x:v>1.04</x:v>
      </x:c>
      <x:c r="P72" t="n">
        <x:v>0.93</x:v>
      </x:c>
      <x:c r="Q72" t="n">
        <x:v>0.26</x:v>
      </x:c>
      <x:c r="R72" t="n">
        <x:v>2.93</x:v>
      </x:c>
      <x:c r="S72" t="n">
        <x:v>0</x:v>
      </x:c>
      <x:c r="T72" t="n">
        <x:v>0</x:v>
      </x:c>
      <x:c r="U72" t="n">
        <x:v>2</x:v>
      </x:c>
      <x:c r="V72" t="n">
        <x:v>0.43</x:v>
      </x:c>
      <x:c r="W72" t="n">
        <x:v>7</x:v>
      </x:c>
      <x:c r="X72" t="n">
        <x:v>81</x:v>
      </x:c>
      <x:c r="Y72" t="n">
        <x:v>50</x:v>
      </x:c>
      <x:c r="Z72" t="n">
        <x:v>0</x:v>
      </x:c>
      <x:c r="AA72" t="n">
        <x:v>21</x:v>
      </x:c>
      <x:c r="AB72" t="n">
        <x:v>22</x:v>
      </x:c>
      <x:c r="AC72" t="n">
        <x:v>9</x:v>
      </x:c>
      <x:c r="AD72" t="n">
        <x:v>90.8</x:v>
      </x:c>
      <x:c r="AE72" t="n">
        <x:v>0.12</x:v>
      </x:c>
      <x:c r="AF72" t="n">
        <x:v>12</x:v>
      </x:c>
      <x:c r="AG72" t="n">
        <x:v>12</x:v>
      </x:c>
      <x:c r="AH72" t="n">
        <x:v>24</x:v>
      </x:c>
      <x:c r="AI72" t="n">
        <x:v>8</x:v>
      </x:c>
      <x:c r="AJ72" t="n">
        <x:v>11</x:v>
      </x:c>
      <x:c r="AK72" t="n">
        <x:v>250</x:v>
      </x:c>
      <x:c r="AL72" t="str">
        <x:v>Direkte elektrisk;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str">
        <x:v>energiattester_export_2025-08-14.json | PDF vedlegg side 5-7</x:v>
      </x:c>
      <x:c r="AV72" s="12" t="n">
        <x:f>IF(COUNT(O72,P72,Q72,R72,K72,L72,M72,N72)=8,O72*K72+P72*L72+Q72*M72+R72*N72,"")</x:f>
        <x:v>1415.98</x:v>
      </x:c>
      <x:c r="AW72" s="12" t="n">
        <x:f>IF(AND(ISNUMBER(AV72),H72&gt;0),AV72/H72,"")</x:f>
        <x:v>1.7080579010856454</x:v>
      </x:c>
      <x:c r="AX72" s="12" t="n">
        <x:f>IF(AND(ISNUMBER(AD72),H72&gt;0),AD72*H72*3600,"")</x:f>
        <x:v>270983520</x:v>
      </x:c>
      <x:c r="AY72" s="12" t="n">
        <x:f>IF(AND(ISNUMBER(Y72),H72&gt;0),Y72*H72,"")</x:f>
        <x:v>41450</x:v>
      </x:c>
      <x:c r="AZ72" t="str">
        <x:v>Høy</x:v>
      </x:c>
    </x:row>
    <x:row r="73" ht="22" customHeight="1">
      <x:c r="A73" t="str">
        <x:v>OT-a57e31f1a56d</x:v>
      </x:c>
      <x:c r="B73" t="n">
        <x:v>2015</x:v>
      </x:c>
      <x:c r="C73" t="str">
        <x:v>Kontorbygg</x:v>
      </x:c>
      <x:c r="D73" t="str">
        <x:v>KONTORER, ENKLE</x:v>
      </x:c>
      <x:c r="E73" t="str">
        <x:v>B</x:v>
      </x:c>
      <x:c r="F73" t="str">
        <x:v>ORANGE</x:v>
      </x:c>
      <x:c r="G73" t="n">
        <x:v>2015</x:v>
      </x:c>
      <x:c r="H73" t="n">
        <x:v>337</x:v>
      </x:c>
      <x:c r="I73" t="n">
        <x:v>104.6</x:v>
      </x:c>
      <x:c r="J73" t="str">
        <x:v>PDF/avansert</x:v>
      </x:c>
      <x:c r="K73" t="n">
        <x:v>256</x:v>
      </x:c>
      <x:c r="L73" t="n">
        <x:v>0</x:v>
      </x:c>
      <x:c r="M73" t="n">
        <x:v>337</x:v>
      </x:c>
      <x:c r="N73" t="n">
        <x:v>52</x:v>
      </x:c>
      <x:c r="O73" t="n">
        <x:v>0.18</x:v>
      </x:c>
      <x:c r="P73" t="n">
        <x:v>0</x:v>
      </x:c>
      <x:c r="Q73" t="n">
        <x:v>0.08</x:v>
      </x:c>
      <x:c r="R73" t="n">
        <x:v>1.18</x:v>
      </x:c>
      <x:c r="S73" t="n">
        <x:v>80</x:v>
      </x:c>
      <x:c r="T73" t="n">
        <x:v>80</x:v>
      </x:c>
      <x:c r="U73" t="n">
        <x:v>1.65</x:v>
      </x:c>
      <x:c r="V73" t="n">
        <x:v>0.47</x:v>
      </x:c>
      <x:c r="W73" t="n">
        <x:v>7</x:v>
      </x:c>
      <x:c r="X73" t="n">
        <x:v>212</x:v>
      </x:c>
      <x:c r="Y73" t="n">
        <x:v>80</x:v>
      </x:c>
      <x:c r="Z73" t="n">
        <x:v>0</x:v>
      </x:c>
      <x:c r="AA73" t="n">
        <x:v>21</x:v>
      </x:c>
      <x:c r="AB73" t="n">
        <x:v>22</x:v>
      </x:c>
      <x:c r="AC73" t="n">
        <x:v>0.75</x:v>
      </x:c>
      <x:c r="AD73" t="n">
        <x:v>152.8</x:v>
      </x:c>
      <x:c r="AE73" t="n">
        <x:v>0.09</x:v>
      </x:c>
      <x:c r="AF73" t="n">
        <x:v>12</x:v>
      </x:c>
      <x:c r="AG73" t="n">
        <x:v>12</x:v>
      </x:c>
      <x:c r="AH73" t="n">
        <x:v>24</x:v>
      </x:c>
      <x:c r="AI73" t="n">
        <x:v>8</x:v>
      </x:c>
      <x:c r="AJ73" t="n">
        <x:v>11</x:v>
      </x:c>
      <x:c r="AK73" t="n">
        <x:v>250</x:v>
      </x:c>
      <x:c r="AL73" t="str">
        <x:v>Direkte elektrisk; Varmepumpe;</x:v>
      </x:c>
      <x:c r="AM73"/>
      <x:c r="AN73"/>
      <x:c r="AO73"/>
      <x:c r="AP73"/>
      <x:c r="AQ73"/>
      <x:c r="AR73"/>
      <x:c r="AS73"/>
      <x:c r="AT73"/>
      <x:c r="AU73" t="str">
        <x:v>energiattester_export_2025-08-14.json | PDF vedlegg side 5-7</x:v>
      </x:c>
      <x:c r="AV73" s="12" t="n">
        <x:f>IF(COUNT(O73,P73,Q73,R73,K73,L73,M73,N73)=8,O73*K73+P73*L73+Q73*M73+R73*N73,"")</x:f>
        <x:v>134.39999999999998</x:v>
      </x:c>
      <x:c r="AW73" s="12" t="n">
        <x:f>IF(AND(ISNUMBER(AV73),H73&gt;0),AV73/H73,"")</x:f>
        <x:v>0.3988130563798219</x:v>
      </x:c>
      <x:c r="AX73" s="12" t="n">
        <x:f>IF(AND(ISNUMBER(AD73),H73&gt;0),AD73*H73*3600,"")</x:f>
        <x:v>185376960.00000003</x:v>
      </x:c>
      <x:c r="AY73" s="12" t="n">
        <x:f>IF(AND(ISNUMBER(Y73),H73&gt;0),Y73*H73,"")</x:f>
        <x:v>26960</x:v>
      </x:c>
      <x:c r="AZ73" t="str">
        <x:v>Høy</x:v>
      </x:c>
    </x:row>
    <x:row r="74" ht="22" customHeight="1">
      <x:c r="A74" t="str">
        <x:v>OT-9681ff61c441</x:v>
      </x:c>
      <x:c r="B74" t="n">
        <x:v>2015</x:v>
      </x:c>
      <x:c r="C74" t="str">
        <x:v>Kontorbygg</x:v>
      </x:c>
      <x:c r="D74" t="str">
        <x:v>ANNET KONTORBYGG</x:v>
      </x:c>
      <x:c r="E74" t="str">
        <x:v>F</x:v>
      </x:c>
      <x:c r="F74" t="str">
        <x:v>RED</x:v>
      </x:c>
      <x:c r="G74" t="n">
        <x:v>1978</x:v>
      </x:c>
      <x:c r="H74" t="n">
        <x:v>3160</x:v>
      </x:c>
      <x:c r="I74" t="n">
        <x:v>231.4</x:v>
      </x:c>
      <x:c r="J74" t="str">
        <x:v>PDF/avansert</x:v>
      </x:c>
      <x:c r="K74" t="n">
        <x:v>5836</x:v>
      </x:c>
      <x:c r="L74" t="n">
        <x:v>854</x:v>
      </x:c>
      <x:c r="M74" t="n">
        <x:v>828</x:v>
      </x:c>
      <x:c r="N74" t="n">
        <x:v>354</x:v>
      </x:c>
      <x:c r="O74" t="n">
        <x:v>0.35</x:v>
      </x:c>
      <x:c r="P74" t="n">
        <x:v>0.25</x:v>
      </x:c>
      <x:c r="Q74" t="n">
        <x:v>0.16</x:v>
      </x:c>
      <x:c r="R74" t="n">
        <x:v>2.68</x:v>
      </x:c>
      <x:c r="S74" t="n">
        <x:v>80</x:v>
      </x:c>
      <x:c r="T74" t="n">
        <x:v>80</x:v>
      </x:c>
      <x:c r="U74" t="n">
        <x:v>3.68</x:v>
      </x:c>
      <x:c r="V74" t="n">
        <x:v>0</x:v>
      </x:c>
      <x:c r="W74" t="n">
        <x:v>9.19</x:v>
      </x:c>
      <x:c r="X74" t="n">
        <x:v>81</x:v>
      </x:c>
      <x:c r="Y74" t="n">
        <x:v>107</x:v>
      </x:c>
      <x:c r="Z74" t="n">
        <x:v>0</x:v>
      </x:c>
      <x:c r="AA74" t="n">
        <x:v>21</x:v>
      </x:c>
      <x:c r="AB74" t="n">
        <x:v>22</x:v>
      </x:c>
      <x:c r="AC74" t="n">
        <x:v>1.5</x:v>
      </x:c>
      <x:c r="AD74" t="n">
        <x:v>153.9</x:v>
      </x:c>
      <x:c r="AE74" t="n">
        <x:v>0.12</x:v>
      </x:c>
      <x:c r="AF74" t="n">
        <x:v>12</x:v>
      </x:c>
      <x:c r="AG74" t="n">
        <x:v>12</x:v>
      </x:c>
      <x:c r="AH74" t="n">
        <x:v>24</x:v>
      </x:c>
      <x:c r="AI74" t="n">
        <x:v>8</x:v>
      </x:c>
      <x:c r="AJ74" t="n">
        <x:v>11</x:v>
      </x:c>
      <x:c r="AK74" t="n">
        <x:v>250</x:v>
      </x:c>
      <x:c r="AL74" t="str">
        <x:v>Direkte elektrisk;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str">
        <x:v>energiattester_export_2025-08-14.json | PDF vedlegg side 5-7</x:v>
      </x:c>
      <x:c r="AV74" s="12" t="n">
        <x:f>IF(COUNT(O74,P74,Q74,R74,K74,L74,M74,N74)=8,O74*K74+P74*L74+Q74*M74+R74*N74,"")</x:f>
        <x:v>3337.3</x:v>
      </x:c>
      <x:c r="AW74" s="12" t="n">
        <x:f>IF(AND(ISNUMBER(AV74),H74&gt;0),AV74/H74,"")</x:f>
        <x:v>1.056107594936709</x:v>
      </x:c>
      <x:c r="AX74" s="12" t="n">
        <x:f>IF(AND(ISNUMBER(AD74),H74&gt;0),AD74*H74*3600,"")</x:f>
        <x:v>1750766400</x:v>
      </x:c>
      <x:c r="AY74" s="12" t="n">
        <x:f>IF(AND(ISNUMBER(Y74),H74&gt;0),Y74*H74,"")</x:f>
        <x:v>338120</x:v>
      </x:c>
      <x:c r="AZ74" t="str">
        <x:v>Høy</x:v>
      </x:c>
    </x:row>
    <x:row r="75" ht="22" customHeight="1">
      <x:c r="A75" t="str">
        <x:v>OT-90f37bd08b15</x:v>
      </x:c>
      <x:c r="B75" t="n">
        <x:v>2015</x:v>
      </x:c>
      <x:c r="C75" t="str">
        <x:v>Kontorbygg</x:v>
      </x:c>
      <x:c r="D75" t="str">
        <x:v>KONTORER, MED VENTILASJON OG KJØLEANLEGG</x:v>
      </x:c>
      <x:c r="E75" t="str">
        <x:v>E</x:v>
      </x:c>
      <x:c r="F75" t="str">
        <x:v>GREEN</x:v>
      </x:c>
      <x:c r="G75" t="n">
        <x:v>2006</x:v>
      </x:c>
      <x:c r="H75" t="n">
        <x:v>1156</x:v>
      </x:c>
      <x:c r="I75" t="n">
        <x:v>211.3</x:v>
      </x:c>
      <x:c r="J75" t="str">
        <x:v>PDF/avansert</x:v>
      </x:c>
      <x:c r="K75" t="n">
        <x:v>499</x:v>
      </x:c>
      <x:c r="L75" t="n">
        <x:v>584</x:v>
      </x:c>
      <x:c r="M75" t="n">
        <x:v>514</x:v>
      </x:c>
      <x:c r="N75" t="n">
        <x:v>233</x:v>
      </x:c>
      <x:c r="O75" t="n">
        <x:v>0.18</x:v>
      </x:c>
      <x:c r="P75" t="n">
        <x:v>0.14</x:v>
      </x:c>
      <x:c r="Q75" t="n">
        <x:v>0.2</x:v>
      </x:c>
      <x:c r="R75" t="n">
        <x:v>1.21</x:v>
      </x:c>
      <x:c r="S75" t="n">
        <x:v>48</x:v>
      </x:c>
      <x:c r="T75" t="n">
        <x:v>48</x:v>
      </x:c>
      <x:c r="U75" t="n">
        <x:v>2.5</x:v>
      </x:c>
      <x:c r="V75" t="n">
        <x:v>0.26</x:v>
      </x:c>
      <x:c r="W75" t="n">
        <x:v>8.7</x:v>
      </x:c>
      <x:c r="X75" t="n">
        <x:v>88</x:v>
      </x:c>
      <x:c r="Y75" t="n">
        <x:v>80</x:v>
      </x:c>
      <x:c r="Z75" t="n">
        <x:v>30</x:v>
      </x:c>
      <x:c r="AA75" t="n">
        <x:v>21</x:v>
      </x:c>
      <x:c r="AB75" t="n">
        <x:v>22</x:v>
      </x:c>
      <x:c r="AC75" t="n">
        <x:v>2.5</x:v>
      </x:c>
      <x:c r="AD75" t="n">
        <x:v>32.8</x:v>
      </x:c>
      <x:c r="AE75" t="n">
        <x:v>0.05</x:v>
      </x:c>
      <x:c r="AF75" t="n">
        <x:v>12</x:v>
      </x:c>
      <x:c r="AG75" t="n">
        <x:v>12</x:v>
      </x:c>
      <x:c r="AH75" t="n">
        <x:v>24</x:v>
      </x:c>
      <x:c r="AI75" t="n">
        <x:v>8</x:v>
      </x:c>
      <x:c r="AJ75" t="n">
        <x:v>11</x:v>
      </x:c>
      <x:c r="AK75" t="n">
        <x:v>250</x:v>
      </x:c>
      <x:c r="AL75" t="str">
        <x:v>Fjernvarme;</x:v>
      </x:c>
      <x:c r="AM75" t="n">
        <x:v>1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1</x:v>
      </x:c>
      <x:c r="AS75" t="n">
        <x:v>1</x:v>
      </x:c>
      <x:c r="AT75" t="n">
        <x:v>1</x:v>
      </x:c>
      <x:c r="AU75" t="str">
        <x:v>energiattester_export_2025-08-14.json | PDF vedlegg side 5-7</x:v>
      </x:c>
      <x:c r="AV75" s="12" t="n">
        <x:f>IF(COUNT(O75,P75,Q75,R75,K75,L75,M75,N75)=8,O75*K75+P75*L75+Q75*M75+R75*N75,"")</x:f>
        <x:v>556.31</x:v>
      </x:c>
      <x:c r="AW75" s="12" t="n">
        <x:f>IF(AND(ISNUMBER(AV75),H75&gt;0),AV75/H75,"")</x:f>
        <x:v>0.48123702422145326</x:v>
      </x:c>
      <x:c r="AX75" s="12" t="n">
        <x:f>IF(AND(ISNUMBER(AD75),H75&gt;0),AD75*H75*3600,"")</x:f>
        <x:v>136500479.99999997</x:v>
      </x:c>
      <x:c r="AY75" s="12" t="n">
        <x:f>IF(AND(ISNUMBER(Y75),H75&gt;0),Y75*H75,"")</x:f>
        <x:v>92480</x:v>
      </x:c>
      <x:c r="AZ75" t="str">
        <x:v>Høy</x:v>
      </x:c>
    </x:row>
    <x:row r="76" ht="22" customHeight="1">
      <x:c r="A76" t="str">
        <x:v>OT-58941dfcc131</x:v>
      </x:c>
      <x:c r="B76" t="n">
        <x:v>2015</x:v>
      </x:c>
      <x:c r="C76" t="str">
        <x:v>Kontorbygg</x:v>
      </x:c>
      <x:c r="D76" t="str">
        <x:v>KONTORER, ENKLE</x:v>
      </x:c>
      <x:c r="E76" t="str">
        <x:v>D</x:v>
      </x:c>
      <x:c r="F76" t="str">
        <x:v>GREEN</x:v>
      </x:c>
      <x:c r="G76" t="n">
        <x:v>2000</x:v>
      </x:c>
      <x:c r="H76" t="n">
        <x:v>1607</x:v>
      </x:c>
      <x:c r="I76" t="n">
        <x:v>152.1</x:v>
      </x:c>
      <x:c r="J76" t="str">
        <x:v>PDF/avansert</x:v>
      </x:c>
      <x:c r="K76" t="n">
        <x:v>494</x:v>
      </x:c>
      <x:c r="L76" t="n">
        <x:v>169</x:v>
      </x:c>
      <x:c r="M76" t="n">
        <x:v>0</x:v>
      </x:c>
      <x:c r="N76" t="n">
        <x:v>153</x:v>
      </x:c>
      <x:c r="O76" t="n">
        <x:v>1.02</x:v>
      </x:c>
      <x:c r="P76" t="n">
        <x:v>0.15</x:v>
      </x:c>
      <x:c r="Q76" t="n">
        <x:v>0</x:v>
      </x:c>
      <x:c r="R76" t="n">
        <x:v>1.81</x:v>
      </x:c>
      <x:c r="S76" t="n">
        <x:v>80</x:v>
      </x:c>
      <x:c r="T76" t="n">
        <x:v>80</x:v>
      </x:c>
      <x:c r="U76" t="n">
        <x:v>1.12</x:v>
      </x:c>
      <x:c r="V76" t="n">
        <x:v>0.2</x:v>
      </x:c>
      <x:c r="W76" t="n">
        <x:v>7.55</x:v>
      </x:c>
      <x:c r="X76" t="n">
        <x:v>84</x:v>
      </x:c>
      <x:c r="Y76" t="n">
        <x:v>100</x:v>
      </x:c>
      <x:c r="Z76" t="n">
        <x:v>0</x:v>
      </x:c>
      <x:c r="AA76" t="n">
        <x:v>21</x:v>
      </x:c>
      <x:c r="AB76" t="n">
        <x:v>22</x:v>
      </x:c>
      <x:c r="AC76" t="n">
        <x:v>1.5</x:v>
      </x:c>
      <x:c r="AD76" t="n">
        <x:v>30</x:v>
      </x:c>
      <x:c r="AE76" t="n">
        <x:v>0.04</x:v>
      </x:c>
      <x:c r="AF76" t="n">
        <x:v>12</x:v>
      </x:c>
      <x:c r="AG76" t="n">
        <x:v>12</x:v>
      </x:c>
      <x:c r="AH76" t="n">
        <x:v>24</x:v>
      </x:c>
      <x:c r="AI76" t="n">
        <x:v>8</x:v>
      </x:c>
      <x:c r="AJ76" t="n">
        <x:v>11</x:v>
      </x:c>
      <x:c r="AK76" t="n">
        <x:v>250</x:v>
      </x:c>
      <x:c r="AL76" t="str">
        <x:v>Fjernvarme;</x:v>
      </x:c>
      <x:c r="AM76" t="n">
        <x:v>0</x:v>
      </x:c>
      <x:c r="AN76" t="n">
        <x:v>0</x:v>
      </x:c>
      <x:c r="AO76" t="n">
        <x:v>1</x:v>
      </x:c>
      <x:c r="AP76" t="n">
        <x:v>0</x:v>
      </x:c>
      <x:c r="AQ76" t="n">
        <x:v>0</x:v>
      </x:c>
      <x:c r="AR76" t="n">
        <x:v>1</x:v>
      </x:c>
      <x:c r="AS76" t="n">
        <x:v>0</x:v>
      </x:c>
      <x:c r="AT76" t="n">
        <x:v>0</x:v>
      </x:c>
      <x:c r="AU76" t="str">
        <x:v>energiattester_export_2025-08-14.json | PDF vedlegg side 5-7</x:v>
      </x:c>
      <x:c r="AV76" s="12" t="n">
        <x:f>IF(COUNT(O76,P76,Q76,R76,K76,L76,M76,N76)=8,O76*K76+P76*L76+Q76*M76+R76*N76,"")</x:f>
        <x:v>806.1600000000001</x:v>
      </x:c>
      <x:c r="AW76" s="12" t="n">
        <x:f>IF(AND(ISNUMBER(AV76),H76&gt;0),AV76/H76,"")</x:f>
        <x:v>0.5016552582451774</x:v>
      </x:c>
      <x:c r="AX76" s="12" t="n">
        <x:f>IF(AND(ISNUMBER(AD76),H76&gt;0),AD76*H76*3600,"")</x:f>
        <x:v>173556000</x:v>
      </x:c>
      <x:c r="AY76" s="12" t="n">
        <x:f>IF(AND(ISNUMBER(Y76),H76&gt;0),Y76*H76,"")</x:f>
        <x:v>160700</x:v>
      </x:c>
      <x:c r="AZ76" t="str">
        <x:v>Høy</x:v>
      </x:c>
    </x:row>
    <x:row r="77" ht="22" customHeight="1">
      <x:c r="A77" t="str">
        <x:v>OT-14ee1d7bac7f</x:v>
      </x:c>
      <x:c r="B77" t="n">
        <x:v>2015</x:v>
      </x:c>
      <x:c r="C77" t="str">
        <x:v>Kontorbygg</x:v>
      </x:c>
      <x:c r="D77" t="str">
        <x:v>ANNET KONTORBYGG</x:v>
      </x:c>
      <x:c r="E77" t="str">
        <x:v>F</x:v>
      </x:c>
      <x:c r="F77" t="str">
        <x:v>GREEN</x:v>
      </x:c>
      <x:c r="G77" t="n">
        <x:v>2004</x:v>
      </x:c>
      <x:c r="H77" t="n">
        <x:v>660</x:v>
      </x:c>
      <x:c r="I77" t="n">
        <x:v>225.8</x:v>
      </x:c>
      <x:c r="J77" t="str">
        <x:v>PDF/avansert</x:v>
      </x:c>
      <x:c r="K77" t="n">
        <x:v>243</x:v>
      </x:c>
      <x:c r="L77" t="n">
        <x:v>162</x:v>
      </x:c>
      <x:c r="M77" t="n">
        <x:v>330</x:v>
      </x:c>
      <x:c r="N77" t="n">
        <x:v>157</x:v>
      </x:c>
      <x:c r="O77" t="n">
        <x:v>0.22</x:v>
      </x:c>
      <x:c r="P77" t="n">
        <x:v>0.15</x:v>
      </x:c>
      <x:c r="Q77" t="n">
        <x:v>0.13</x:v>
      </x:c>
      <x:c r="R77" t="n">
        <x:v>1.6</x:v>
      </x:c>
      <x:c r="S77" t="n">
        <x:v>40</x:v>
      </x:c>
      <x:c r="T77" t="n">
        <x:v>40</x:v>
      </x:c>
      <x:c r="U77" t="n">
        <x:v>2.37</x:v>
      </x:c>
      <x:c r="V77" t="n">
        <x:v>0.32</x:v>
      </x:c>
      <x:c r="W77" t="n">
        <x:v>9.5</x:v>
      </x:c>
      <x:c r="X77" t="n">
        <x:v>83</x:v>
      </x:c>
      <x:c r="Y77" t="n">
        <x:v>80</x:v>
      </x:c>
      <x:c r="Z77" t="n">
        <x:v>0</x:v>
      </x:c>
      <x:c r="AA77" t="n">
        <x:v>21</x:v>
      </x:c>
      <x:c r="AB77" t="n">
        <x:v>22</x:v>
      </x:c>
      <x:c r="AC77" t="n">
        <x:v>3.12</x:v>
      </x:c>
      <x:c r="AD77" t="n">
        <x:v>82.3</x:v>
      </x:c>
      <x:c r="AE77" t="n">
        <x:v>0.09</x:v>
      </x:c>
      <x:c r="AF77" t="n">
        <x:v>12</x:v>
      </x:c>
      <x:c r="AG77" t="n">
        <x:v>12</x:v>
      </x:c>
      <x:c r="AH77" t="n">
        <x:v>24</x:v>
      </x:c>
      <x:c r="AI77" t="n">
        <x:v>8</x:v>
      </x:c>
      <x:c r="AJ77" t="n">
        <x:v>11</x:v>
      </x:c>
      <x:c r="AK77" t="n">
        <x:v>250</x:v>
      </x:c>
      <x:c r="AL77" t="str">
        <x:v>Direkte elektrisk; Fjernvarme;</x:v>
      </x:c>
      <x:c r="AM77" t="n">
        <x:v>1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1</x:v>
      </x:c>
      <x:c r="AS77" t="n">
        <x:v>1</x:v>
      </x:c>
      <x:c r="AT77" t="n">
        <x:v>1</x:v>
      </x:c>
      <x:c r="AU77" t="str">
        <x:v>energiattester_export_2025-08-14.json | PDF vedlegg side 5-7</x:v>
      </x:c>
      <x:c r="AV77" s="12" t="n">
        <x:f>IF(COUNT(O77,P77,Q77,R77,K77,L77,M77,N77)=8,O77*K77+P77*L77+Q77*M77+R77*N77,"")</x:f>
        <x:v>371.86</x:v>
      </x:c>
      <x:c r="AW77" s="12" t="n">
        <x:f>IF(AND(ISNUMBER(AV77),H77&gt;0),AV77/H77,"")</x:f>
        <x:v>0.5634242424242425</x:v>
      </x:c>
      <x:c r="AX77" s="12" t="n">
        <x:f>IF(AND(ISNUMBER(AD77),H77&gt;0),AD77*H77*3600,"")</x:f>
        <x:v>195544800</x:v>
      </x:c>
      <x:c r="AY77" s="12" t="n">
        <x:f>IF(AND(ISNUMBER(Y77),H77&gt;0),Y77*H77,"")</x:f>
        <x:v>52800</x:v>
      </x:c>
      <x:c r="AZ77" t="str">
        <x:v>Høy</x:v>
      </x:c>
    </x:row>
    <x:row r="78" ht="22" customHeight="1">
      <x:c r="A78" t="str">
        <x:v>OT-1392fd61ab16</x:v>
      </x:c>
      <x:c r="B78" t="n">
        <x:v>2015</x:v>
      </x:c>
      <x:c r="C78" t="str">
        <x:v>Kontorbygg</x:v>
      </x:c>
      <x:c r="D78" t="str">
        <x:v>KONTORER, ENKLE</x:v>
      </x:c>
      <x:c r="E78" t="str">
        <x:v>E</x:v>
      </x:c>
      <x:c r="F78" t="str">
        <x:v>RED</x:v>
      </x:c>
      <x:c r="G78" t="n">
        <x:v>1972</x:v>
      </x:c>
      <x:c r="H78" t="n">
        <x:v>1980</x:v>
      </x:c>
      <x:c r="I78" t="n">
        <x:v>219.4</x:v>
      </x:c>
      <x:c r="J78" t="str">
        <x:v>PDF/avansert</x:v>
      </x:c>
      <x:c r="K78" t="n">
        <x:v>939</x:v>
      </x:c>
      <x:c r="L78" t="n">
        <x:v>780</x:v>
      </x:c>
      <x:c r="M78" t="n">
        <x:v>727</x:v>
      </x:c>
      <x:c r="N78" t="n">
        <x:v>242</x:v>
      </x:c>
      <x:c r="O78" t="n">
        <x:v>0.45</x:v>
      </x:c>
      <x:c r="P78" t="n">
        <x:v>0.45</x:v>
      </x:c>
      <x:c r="Q78" t="n">
        <x:v>0.31</x:v>
      </x:c>
      <x:c r="R78" t="n">
        <x:v>2.6</x:v>
      </x:c>
      <x:c r="S78" t="n">
        <x:v>75</x:v>
      </x:c>
      <x:c r="T78" t="n">
        <x:v>75</x:v>
      </x:c>
      <x:c r="U78" t="n">
        <x:v>4</x:v>
      </x:c>
      <x:c r="V78" t="n">
        <x:v>0</x:v>
      </x:c>
      <x:c r="W78" t="n">
        <x:v>3.5</x:v>
      </x:c>
      <x:c r="X78" t="n">
        <x:v>81</x:v>
      </x:c>
      <x:c r="Y78" t="n">
        <x:v>102</x:v>
      </x:c>
      <x:c r="Z78" t="n">
        <x:v>17</x:v>
      </x:c>
      <x:c r="AA78" t="n">
        <x:v>21</x:v>
      </x:c>
      <x:c r="AB78" t="n">
        <x:v>22</x:v>
      </x:c>
      <x:c r="AC78" t="n">
        <x:v>7</x:v>
      </x:c>
      <x:c r="AD78" t="n">
        <x:v>76.3</x:v>
      </x:c>
      <x:c r="AE78" t="n">
        <x:v>0.09</x:v>
      </x:c>
      <x:c r="AF78" t="n">
        <x:v>12</x:v>
      </x:c>
      <x:c r="AG78" t="n">
        <x:v>12</x:v>
      </x:c>
      <x:c r="AH78" t="n">
        <x:v>24</x:v>
      </x:c>
      <x:c r="AI78" t="n">
        <x:v>8</x:v>
      </x:c>
      <x:c r="AJ78" t="n">
        <x:v>11</x:v>
      </x:c>
      <x:c r="AK78" t="n">
        <x:v>250</x:v>
      </x:c>
      <x:c r="AL78" t="str">
        <x:v>Direkte elektrisk;</x:v>
      </x:c>
      <x:c r="AM78" t="n">
        <x:v>1</x:v>
      </x:c>
      <x:c r="AN78" t="n">
        <x:v>0</x:v>
      </x:c>
      <x:c r="AO78" t="n">
        <x:v>1</x:v>
      </x:c>
      <x:c r="AP78" t="n">
        <x:v>1</x:v>
      </x:c>
      <x:c r="AQ78" t="n">
        <x:v>0</x:v>
      </x:c>
      <x:c r="AR78" t="n">
        <x:v>1</x:v>
      </x:c>
      <x:c r="AS78" t="n">
        <x:v>1</x:v>
      </x:c>
      <x:c r="AT78" t="n">
        <x:v>1</x:v>
      </x:c>
      <x:c r="AU78" t="str">
        <x:v>energiattester_export_2025-08-14.json | PDF vedlegg side 5-7</x:v>
      </x:c>
      <x:c r="AV78" s="12" t="n">
        <x:f>IF(COUNT(O78,P78,Q78,R78,K78,L78,M78,N78)=8,O78*K78+P78*L78+Q78*M78+R78*N78,"")</x:f>
        <x:v>1628.12</x:v>
      </x:c>
      <x:c r="AW78" s="12" t="n">
        <x:f>IF(AND(ISNUMBER(AV78),H78&gt;0),AV78/H78,"")</x:f>
        <x:v>0.8222828282828283</x:v>
      </x:c>
      <x:c r="AX78" s="12" t="n">
        <x:f>IF(AND(ISNUMBER(AD78),H78&gt;0),AD78*H78*3600,"")</x:f>
        <x:v>543866400</x:v>
      </x:c>
      <x:c r="AY78" s="12" t="n">
        <x:f>IF(AND(ISNUMBER(Y78),H78&gt;0),Y78*H78,"")</x:f>
        <x:v>201960</x:v>
      </x:c>
      <x:c r="AZ78" t="str">
        <x:v>Høy</x:v>
      </x:c>
    </x:row>
    <x:row r="79" ht="22" customHeight="1">
      <x:c r="A79" t="str">
        <x:v>OT-fc313132a3f7</x:v>
      </x:c>
      <x:c r="B79" t="n">
        <x:v>2015</x:v>
      </x:c>
      <x:c r="C79" t="str">
        <x:v>Kontorbygg</x:v>
      </x:c>
      <x:c r="D79" t="str">
        <x:v>KONTORER, ENKLE</x:v>
      </x:c>
      <x:c r="E79" t="str">
        <x:v>F</x:v>
      </x:c>
      <x:c r="F79" t="str">
        <x:v>RED</x:v>
      </x:c>
      <x:c r="G79" t="n">
        <x:v>2000</x:v>
      </x:c>
      <x:c r="H79" t="n">
        <x:v>1256</x:v>
      </x:c>
      <x:c r="I79" t="n">
        <x:v>227.9</x:v>
      </x:c>
      <x:c r="J79" t="str">
        <x:v>PDF/avansert</x:v>
      </x:c>
      <x:c r="K79" t="n">
        <x:v>910</x:v>
      </x:c>
      <x:c r="L79" t="n">
        <x:v>325</x:v>
      </x:c>
      <x:c r="M79" t="n">
        <x:v>335</x:v>
      </x:c>
      <x:c r="N79" t="n">
        <x:v>217</x:v>
      </x:c>
      <x:c r="O79" t="n">
        <x:v>0.61</x:v>
      </x:c>
      <x:c r="P79" t="n">
        <x:v>0.5</x:v>
      </x:c>
      <x:c r="Q79" t="n">
        <x:v>0.29</x:v>
      </x:c>
      <x:c r="R79" t="n">
        <x:v>2.27</x:v>
      </x:c>
      <x:c r="S79" t="n">
        <x:v>75</x:v>
      </x:c>
      <x:c r="T79" t="n">
        <x:v>75</x:v>
      </x:c>
      <x:c r="U79" t="n">
        <x:v>2.5</x:v>
      </x:c>
      <x:c r="V79" t="n">
        <x:v>0.6</x:v>
      </x:c>
      <x:c r="W79" t="n">
        <x:v>10</x:v>
      </x:c>
      <x:c r="X79" t="n">
        <x:v>91</x:v>
      </x:c>
      <x:c r="Y79" t="n">
        <x:v>87</x:v>
      </x:c>
      <x:c r="Z79" t="n">
        <x:v>0</x:v>
      </x:c>
      <x:c r="AA79" t="n">
        <x:v>21</x:v>
      </x:c>
      <x:c r="AB79" t="n">
        <x:v>22</x:v>
      </x:c>
      <x:c r="AC79" t="n">
        <x:v>3.5</x:v>
      </x:c>
      <x:c r="AD79" t="n">
        <x:v>82.8</x:v>
      </x:c>
      <x:c r="AE79" t="n">
        <x:v>0.12</x:v>
      </x:c>
      <x:c r="AF79" t="n">
        <x:v>12</x:v>
      </x:c>
      <x:c r="AG79" t="n">
        <x:v>12</x:v>
      </x:c>
      <x:c r="AH79" t="n">
        <x:v>24</x:v>
      </x:c>
      <x:c r="AI79" t="n">
        <x:v>8</x:v>
      </x:c>
      <x:c r="AJ79" t="n">
        <x:v>11</x:v>
      </x:c>
      <x:c r="AK79" t="n">
        <x:v>250</x:v>
      </x:c>
      <x:c r="AL79" t="str">
        <x:v>Direkte elektrisk;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str">
        <x:v>energiattester_export_2025-08-14.json | PDF vedlegg side 5-7</x:v>
      </x:c>
      <x:c r="AV79" s="12" t="n">
        <x:f>IF(COUNT(O79,P79,Q79,R79,K79,L79,M79,N79)=8,O79*K79+P79*L79+Q79*M79+R79*N79,"")</x:f>
        <x:v>1307.3400000000001</x:v>
      </x:c>
      <x:c r="AW79" s="12" t="n">
        <x:f>IF(AND(ISNUMBER(AV79),H79&gt;0),AV79/H79,"")</x:f>
        <x:v>1.0408757961783441</x:v>
      </x:c>
      <x:c r="AX79" s="12" t="n">
        <x:f>IF(AND(ISNUMBER(AD79),H79&gt;0),AD79*H79*3600,"")</x:f>
        <x:v>374388480</x:v>
      </x:c>
      <x:c r="AY79" s="12" t="n">
        <x:f>IF(AND(ISNUMBER(Y79),H79&gt;0),Y79*H79,"")</x:f>
        <x:v>109272</x:v>
      </x:c>
      <x:c r="AZ79" t="str">
        <x:v>Høy</x:v>
      </x:c>
    </x:row>
    <x:row r="80" ht="22" customHeight="1">
      <x:c r="A80" t="str">
        <x:v>OT-1d305835ce49</x:v>
      </x:c>
      <x:c r="B80" t="n">
        <x:v>2015</x:v>
      </x:c>
      <x:c r="C80" t="str">
        <x:v>Kontorbygg</x:v>
      </x:c>
      <x:c r="D80" t="str">
        <x:v>KONTORER, ENKLE</x:v>
      </x:c>
      <x:c r="E80" t="str">
        <x:v>G</x:v>
      </x:c>
      <x:c r="F80" t="str">
        <x:v>RED</x:v>
      </x:c>
      <x:c r="G80" t="n">
        <x:v>1800</x:v>
      </x:c>
      <x:c r="H80" t="n">
        <x:v>966</x:v>
      </x:c>
      <x:c r="I80" t="n">
        <x:v>378</x:v>
      </x:c>
      <x:c r="J80" t="str">
        <x:v>PDF/avansert</x:v>
      </x:c>
      <x:c r="K80" t="n">
        <x:v>712</x:v>
      </x:c>
      <x:c r="L80" t="n">
        <x:v>517</x:v>
      </x:c>
      <x:c r="M80" t="n">
        <x:v>229</x:v>
      </x:c>
      <x:c r="N80" t="n">
        <x:v>167</x:v>
      </x:c>
      <x:c r="O80" t="n">
        <x:v>0.63</x:v>
      </x:c>
      <x:c r="P80" t="n">
        <x:v>0.42</x:v>
      </x:c>
      <x:c r="Q80" t="n">
        <x:v>0.35</x:v>
      </x:c>
      <x:c r="R80" t="n">
        <x:v>3.07</x:v>
      </x:c>
      <x:c r="S80" t="n">
        <x:v>0</x:v>
      </x:c>
      <x:c r="T80" t="n">
        <x:v>0</x:v>
      </x:c>
      <x:c r="U80" t="n">
        <x:v>2</x:v>
      </x:c>
      <x:c r="V80" t="n">
        <x:v>0.4</x:v>
      </x:c>
      <x:c r="W80" t="n">
        <x:v>7</x:v>
      </x:c>
      <x:c r="X80" t="n">
        <x:v>83</x:v>
      </x:c>
      <x:c r="Y80" t="n">
        <x:v>50</x:v>
      </x:c>
      <x:c r="Z80" t="n">
        <x:v>0</x:v>
      </x:c>
      <x:c r="AA80" t="n">
        <x:v>21</x:v>
      </x:c>
      <x:c r="AB80" t="n">
        <x:v>22</x:v>
      </x:c>
      <x:c r="AC80" t="n">
        <x:v>7</x:v>
      </x:c>
      <x:c r="AD80" t="n">
        <x:v>41.2</x:v>
      </x:c>
      <x:c r="AE80" t="n">
        <x:v>0.12</x:v>
      </x:c>
      <x:c r="AF80" t="n">
        <x:v>12</x:v>
      </x:c>
      <x:c r="AG80" t="n">
        <x:v>12</x:v>
      </x:c>
      <x:c r="AH80" t="n">
        <x:v>24</x:v>
      </x:c>
      <x:c r="AI80" t="n">
        <x:v>8</x:v>
      </x:c>
      <x:c r="AJ80" t="n">
        <x:v>11</x:v>
      </x:c>
      <x:c r="AK80" t="n">
        <x:v>250</x:v>
      </x:c>
      <x:c r="AL80" t="str">
        <x:v>Direkte elektrisk; Olje;</x:v>
      </x:c>
      <x:c r="AM80" t="n">
        <x:v>1</x:v>
      </x:c>
      <x:c r="AN80" t="n">
        <x:v>0</x:v>
      </x:c>
      <x:c r="AO80" t="n">
        <x:v>1</x:v>
      </x:c>
      <x:c r="AP80" t="n">
        <x:v>1</x:v>
      </x:c>
      <x:c r="AQ80" t="n">
        <x:v>1</x:v>
      </x:c>
      <x:c r="AR80" t="n">
        <x:v>0</x:v>
      </x:c>
      <x:c r="AS80" t="n">
        <x:v>1</x:v>
      </x:c>
      <x:c r="AT80" t="n">
        <x:v>1</x:v>
      </x:c>
      <x:c r="AU80" t="str">
        <x:v>energiattester_export_2025-08-14.json | PDF vedlegg side 5-7</x:v>
      </x:c>
      <x:c r="AV80" s="12" t="n">
        <x:f>IF(COUNT(O80,P80,Q80,R80,K80,L80,M80,N80)=8,O80*K80+P80*L80+Q80*M80+R80*N80,"")</x:f>
        <x:v>1258.54</x:v>
      </x:c>
      <x:c r="AW80" s="12" t="n">
        <x:f>IF(AND(ISNUMBER(AV80),H80&gt;0),AV80/H80,"")</x:f>
        <x:v>1.3028364389233955</x:v>
      </x:c>
      <x:c r="AX80" s="12" t="n">
        <x:f>IF(AND(ISNUMBER(AD80),H80&gt;0),AD80*H80*3600,"")</x:f>
        <x:v>143277120.00000003</x:v>
      </x:c>
      <x:c r="AY80" s="12" t="n">
        <x:f>IF(AND(ISNUMBER(Y80),H80&gt;0),Y80*H80,"")</x:f>
        <x:v>48300</x:v>
      </x:c>
      <x:c r="AZ80" t="str">
        <x:v>Høy</x:v>
      </x:c>
    </x:row>
    <x:row r="81" ht="22" customHeight="1">
      <x:c r="A81" t="str">
        <x:v>OT-d6db9cb18bc4</x:v>
      </x:c>
      <x:c r="B81" t="n">
        <x:v>2015</x:v>
      </x:c>
      <x:c r="C81" t="str">
        <x:v>Hoteller</x:v>
      </x:c>
      <x:c r="D81" t="str">
        <x:v>RESTAURANTBYGNING</x:v>
      </x:c>
      <x:c r="E81" t="str">
        <x:v>G</x:v>
      </x:c>
      <x:c r="F81" t="str">
        <x:v>RED</x:v>
      </x:c>
      <x:c r="G81" t="n">
        <x:v>1978</x:v>
      </x:c>
      <x:c r="H81" t="n">
        <x:v>352</x:v>
      </x:c>
      <x:c r="I81" t="n">
        <x:v>440.4</x:v>
      </x:c>
      <x:c r="J81" t="str">
        <x:v>PDF/avansert</x:v>
      </x:c>
      <x:c r="K81" t="n">
        <x:v>79</x:v>
      </x:c>
      <x:c r="L81" t="n">
        <x:v>0</x:v>
      </x:c>
      <x:c r="M81" t="n">
        <x:v>352</x:v>
      </x:c>
      <x:c r="N81" t="n">
        <x:v>145</x:v>
      </x:c>
      <x:c r="O81" t="n">
        <x:v>0.67</x:v>
      </x:c>
      <x:c r="P81" t="n">
        <x:v>0</x:v>
      </x:c>
      <x:c r="Q81" t="n">
        <x:v>0.23</x:v>
      </x:c>
      <x:c r="R81" t="n">
        <x:v>2.56</x:v>
      </x:c>
      <x:c r="S81" t="n">
        <x:v>65</x:v>
      </x:c>
      <x:c r="T81" t="n">
        <x:v>65</x:v>
      </x:c>
      <x:c r="U81" t="n">
        <x:v>4</x:v>
      </x:c>
      <x:c r="V81" t="n">
        <x:v>0.4</x:v>
      </x:c>
      <x:c r="W81" t="n">
        <x:v>10</x:v>
      </x:c>
      <x:c r="X81" t="n">
        <x:v>89</x:v>
      </x:c>
      <x:c r="Y81" t="n">
        <x:v>135</x:v>
      </x:c>
      <x:c r="Z81" t="n">
        <x:v>77</x:v>
      </x:c>
      <x:c r="AA81" t="n">
        <x:v>21</x:v>
      </x:c>
      <x:c r="AB81" t="n">
        <x:v>22</x:v>
      </x:c>
      <x:c r="AC81" t="n">
        <x:v>3</x:v>
      </x:c>
      <x:c r="AD81" t="n">
        <x:v>109.4</x:v>
      </x:c>
      <x:c r="AE81" t="n">
        <x:v>0.12</x:v>
      </x:c>
      <x:c r="AF81" t="n">
        <x:v>16</x:v>
      </x:c>
      <x:c r="AG81" t="n">
        <x:v>16</x:v>
      </x:c>
      <x:c r="AH81" t="n">
        <x:v>24</x:v>
      </x:c>
      <x:c r="AI81" t="n">
        <x:v>8</x:v>
      </x:c>
      <x:c r="AJ81" t="n">
        <x:v>1</x:v>
      </x:c>
      <x:c r="AK81" t="n">
        <x:v>240</x:v>
      </x:c>
      <x:c r="AL81" t="str">
        <x:v>Direkte elektrisk;</x:v>
      </x:c>
      <x:c r="AM81" t="n">
        <x:v>1</x:v>
      </x:c>
      <x:c r="AN81" t="n">
        <x:v>0</x:v>
      </x:c>
      <x:c r="AO81" t="n">
        <x:v>0</x:v>
      </x:c>
      <x:c r="AP81" t="n">
        <x:v>1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str">
        <x:v>energiattester_export_2025-08-14.json | PDF vedlegg side 5-7</x:v>
      </x:c>
      <x:c r="AV81" s="12" t="n">
        <x:f>IF(COUNT(O81,P81,Q81,R81,K81,L81,M81,N81)=8,O81*K81+P81*L81+Q81*M81+R81*N81,"")</x:f>
        <x:v>505.09000000000003</x:v>
      </x:c>
      <x:c r="AW81" s="12" t="n">
        <x:f>IF(AND(ISNUMBER(AV81),H81&gt;0),AV81/H81,"")</x:f>
        <x:v>1.4349147727272729</x:v>
      </x:c>
      <x:c r="AX81" s="12" t="n">
        <x:f>IF(AND(ISNUMBER(AD81),H81&gt;0),AD81*H81*3600,"")</x:f>
        <x:v>138631680</x:v>
      </x:c>
      <x:c r="AY81" s="12" t="n">
        <x:f>IF(AND(ISNUMBER(Y81),H81&gt;0),Y81*H81,"")</x:f>
        <x:v>47520</x:v>
      </x:c>
      <x:c r="AZ81" t="str">
        <x:v>Høy</x:v>
      </x:c>
    </x:row>
    <x:row r="82" ht="22" customHeight="1">
      <x:c r="A82" t="str">
        <x:v>OT-8d59c561331c</x:v>
      </x:c>
      <x:c r="B82" t="n">
        <x:v>2015</x:v>
      </x:c>
      <x:c r="C82" t="str">
        <x:v>Kontorbygg</x:v>
      </x:c>
      <x:c r="D82" t="str">
        <x:v>KONTORER, MED VENTILASJON OG KJØLEANLEGG</x:v>
      </x:c>
      <x:c r="E82" t="str">
        <x:v>F</x:v>
      </x:c>
      <x:c r="F82" t="str">
        <x:v>RED</x:v>
      </x:c>
      <x:c r="G82" t="n">
        <x:v>1986</x:v>
      </x:c>
      <x:c r="H82" t="n">
        <x:v>3979</x:v>
      </x:c>
      <x:c r="I82" t="n">
        <x:v>241.6</x:v>
      </x:c>
      <x:c r="J82" t="str">
        <x:v>PDF/avansert</x:v>
      </x:c>
      <x:c r="K82" t="n">
        <x:v>1945</x:v>
      </x:c>
      <x:c r="L82" t="n">
        <x:v>505</x:v>
      </x:c>
      <x:c r="M82" t="n">
        <x:v>505</x:v>
      </x:c>
      <x:c r="N82" t="n">
        <x:v>741</x:v>
      </x:c>
      <x:c r="O82" t="n">
        <x:v>0.34</x:v>
      </x:c>
      <x:c r="P82" t="n">
        <x:v>0.23</x:v>
      </x:c>
      <x:c r="Q82" t="n">
        <x:v>0.18</x:v>
      </x:c>
      <x:c r="R82" t="n">
        <x:v>2.75</x:v>
      </x:c>
      <x:c r="S82" t="n">
        <x:v>75</x:v>
      </x:c>
      <x:c r="T82" t="n">
        <x:v>75</x:v>
      </x:c>
      <x:c r="U82" t="n">
        <x:v>2</x:v>
      </x:c>
      <x:c r="V82" t="n">
        <x:v>0.43</x:v>
      </x:c>
      <x:c r="W82" t="n">
        <x:v>7</x:v>
      </x:c>
      <x:c r="X82" t="n">
        <x:v>75</x:v>
      </x:c>
      <x:c r="Y82" t="n">
        <x:v>99</x:v>
      </x:c>
      <x:c r="Z82" t="n">
        <x:v>75</x:v>
      </x:c>
      <x:c r="AA82" t="n">
        <x:v>21</x:v>
      </x:c>
      <x:c r="AB82" t="n">
        <x:v>22</x:v>
      </x:c>
      <x:c r="AC82" t="n">
        <x:v>7</x:v>
      </x:c>
      <x:c r="AD82" t="n">
        <x:v>73.6</x:v>
      </x:c>
      <x:c r="AE82" t="n">
        <x:v>0.09</x:v>
      </x:c>
      <x:c r="AF82" t="n">
        <x:v>12</x:v>
      </x:c>
      <x:c r="AG82" t="n">
        <x:v>12</x:v>
      </x:c>
      <x:c r="AH82" t="n">
        <x:v>24</x:v>
      </x:c>
      <x:c r="AI82" t="n">
        <x:v>8</x:v>
      </x:c>
      <x:c r="AJ82" t="n">
        <x:v>11</x:v>
      </x:c>
      <x:c r="AK82" t="n">
        <x:v>250</x:v>
      </x:c>
      <x:c r="AL82" t="str">
        <x:v>Direkte elektrisk; Olje;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str">
        <x:v>energiattester_export_2025-08-14.json | PDF vedlegg side 5-7</x:v>
      </x:c>
      <x:c r="AV82" s="12" t="n">
        <x:f>IF(COUNT(O82,P82,Q82,R82,K82,L82,M82,N82)=8,O82*K82+P82*L82+Q82*M82+R82*N82,"")</x:f>
        <x:v>2906.1</x:v>
      </x:c>
      <x:c r="AW82" s="12" t="n">
        <x:f>IF(AND(ISNUMBER(AV82),H82&gt;0),AV82/H82,"")</x:f>
        <x:v>0.7303593867805981</x:v>
      </x:c>
      <x:c r="AX82" s="12" t="n">
        <x:f>IF(AND(ISNUMBER(AD82),H82&gt;0),AD82*H82*3600,"")</x:f>
        <x:v>1054275839.9999999</x:v>
      </x:c>
      <x:c r="AY82" s="12" t="n">
        <x:f>IF(AND(ISNUMBER(Y82),H82&gt;0),Y82*H82,"")</x:f>
        <x:v>393921</x:v>
      </x:c>
      <x:c r="AZ82" t="str">
        <x:v>Høy</x:v>
      </x:c>
    </x:row>
    <x:row r="83" ht="22" customHeight="1">
      <x:c r="A83" t="str">
        <x:v>OT-85f838d271d6</x:v>
      </x:c>
      <x:c r="B83" t="n">
        <x:v>2015</x:v>
      </x:c>
      <x:c r="C83" t="str">
        <x:v>Forretningsbygg</x:v>
      </x:c>
      <x:c r="D83" t="str">
        <x:v>BUTIKK</x:v>
      </x:c>
      <x:c r="E83" t="str">
        <x:v>D</x:v>
      </x:c>
      <x:c r="F83" t="str">
        <x:v>RED</x:v>
      </x:c>
      <x:c r="G83" t="n">
        <x:v>1941</x:v>
      </x:c>
      <x:c r="H83" t="n">
        <x:v>518</x:v>
      </x:c>
      <x:c r="I83" t="n">
        <x:v>230.3</x:v>
      </x:c>
      <x:c r="J83" t="str">
        <x:v>PDF/avansert</x:v>
      </x:c>
      <x:c r="K83" t="n">
        <x:v>374</x:v>
      </x:c>
      <x:c r="L83" t="n">
        <x:v>236</x:v>
      </x:c>
      <x:c r="M83" t="n">
        <x:v>221</x:v>
      </x:c>
      <x:c r="N83" t="n">
        <x:v>58</x:v>
      </x:c>
      <x:c r="O83" t="n">
        <x:v>0.34</x:v>
      </x:c>
      <x:c r="P83" t="n">
        <x:v>0.2</x:v>
      </x:c>
      <x:c r="Q83" t="n">
        <x:v>0.19</x:v>
      </x:c>
      <x:c r="R83" t="n">
        <x:v>2.03</x:v>
      </x:c>
      <x:c r="S83" t="n">
        <x:v>72</x:v>
      </x:c>
      <x:c r="T83" t="n">
        <x:v>72</x:v>
      </x:c>
      <x:c r="U83" t="n">
        <x:v>1.7</x:v>
      </x:c>
      <x:c r="V83" t="n">
        <x:v>0.3</x:v>
      </x:c>
      <x:c r="W83" t="n">
        <x:v>13</x:v>
      </x:c>
      <x:c r="X83" t="n">
        <x:v>81</x:v>
      </x:c>
      <x:c r="Y83" t="n">
        <x:v>200</x:v>
      </x:c>
      <x:c r="Z83" t="n">
        <x:v>60</x:v>
      </x:c>
      <x:c r="AA83" t="n">
        <x:v>21</x:v>
      </x:c>
      <x:c r="AB83" t="n">
        <x:v>22</x:v>
      </x:c>
      <x:c r="AC83" t="n">
        <x:v>1.5</x:v>
      </x:c>
      <x:c r="AD83" t="n">
        <x:v>109.9</x:v>
      </x:c>
      <x:c r="AE83" t="n">
        <x:v>0.06</x:v>
      </x:c>
      <x:c r="AF83" t="n">
        <x:v>12</x:v>
      </x:c>
      <x:c r="AG83" t="n">
        <x:v>12</x:v>
      </x:c>
      <x:c r="AH83" t="n">
        <x:v>24</x:v>
      </x:c>
      <x:c r="AI83" t="n">
        <x:v>15</x:v>
      </x:c>
      <x:c r="AJ83" t="n">
        <x:v>1</x:v>
      </x:c>
      <x:c r="AK83" t="n">
        <x:v>250</x:v>
      </x:c>
      <x:c r="AL83" t="str">
        <x:v>Direkte elektrisk;</x:v>
      </x:c>
      <x:c r="AM83" t="n">
        <x:v>0</x:v>
      </x:c>
      <x:c r="AN83" t="n">
        <x:v>0</x:v>
      </x:c>
      <x:c r="AO83" t="n">
        <x:v>0</x:v>
      </x:c>
      <x:c r="AP83" t="n">
        <x:v>1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str">
        <x:v>energiattester_export_2025-08-14.json | PDF vedlegg side 5-7</x:v>
      </x:c>
      <x:c r="AV83" s="12" t="n">
        <x:f>IF(COUNT(O83,P83,Q83,R83,K83,L83,M83,N83)=8,O83*K83+P83*L83+Q83*M83+R83*N83,"")</x:f>
        <x:v>334.09000000000003</x:v>
      </x:c>
      <x:c r="AW83" s="12" t="n">
        <x:f>IF(AND(ISNUMBER(AV83),H83&gt;0),AV83/H83,"")</x:f>
        <x:v>0.6449613899613901</x:v>
      </x:c>
      <x:c r="AX83" s="12" t="n">
        <x:f>IF(AND(ISNUMBER(AD83),H83&gt;0),AD83*H83*3600,"")</x:f>
        <x:v>204941520.00000003</x:v>
      </x:c>
      <x:c r="AY83" s="12" t="n">
        <x:f>IF(AND(ISNUMBER(Y83),H83&gt;0),Y83*H83,"")</x:f>
        <x:v>103600</x:v>
      </x:c>
      <x:c r="AZ83" t="str">
        <x:v>Høy</x:v>
      </x:c>
    </x:row>
    <x:row r="84" ht="22" customHeight="1">
      <x:c r="A84" t="str">
        <x:v>OT-8ec727075148</x:v>
      </x:c>
      <x:c r="B84" t="n">
        <x:v>2015</x:v>
      </x:c>
      <x:c r="C84" t="str">
        <x:v>Forretningsbygg</x:v>
      </x:c>
      <x:c r="D84" t="str">
        <x:v>BUTIKK</x:v>
      </x:c>
      <x:c r="E84" t="str">
        <x:v>G</x:v>
      </x:c>
      <x:c r="F84" t="str">
        <x:v>RED</x:v>
      </x:c>
      <x:c r="G84" t="n">
        <x:v>1950</x:v>
      </x:c>
      <x:c r="H84" t="n">
        <x:v>400</x:v>
      </x:c>
      <x:c r="I84" t="n">
        <x:v>413.3</x:v>
      </x:c>
      <x:c r="J84" t="str">
        <x:v>PDF/avansert</x:v>
      </x:c>
      <x:c r="K84" t="n">
        <x:v>68</x:v>
      </x:c>
      <x:c r="L84" t="n">
        <x:v>0</x:v>
      </x:c>
      <x:c r="M84" t="n">
        <x:v>400</x:v>
      </x:c>
      <x:c r="N84" t="n">
        <x:v>28</x:v>
      </x:c>
      <x:c r="O84" t="n">
        <x:v>0.25</x:v>
      </x:c>
      <x:c r="P84" t="n">
        <x:v>0</x:v>
      </x:c>
      <x:c r="Q84" t="n">
        <x:v>0.14</x:v>
      </x:c>
      <x:c r="R84" t="n">
        <x:v>1.38</x:v>
      </x:c>
      <x:c r="S84" t="n">
        <x:v>0</x:v>
      </x:c>
      <x:c r="T84" t="n">
        <x:v>0</x:v>
      </x:c>
      <x:c r="U84" t="n">
        <x:v>2.5</x:v>
      </x:c>
      <x:c r="V84" t="n">
        <x:v>0.23</x:v>
      </x:c>
      <x:c r="W84" t="n">
        <x:v>13</x:v>
      </x:c>
      <x:c r="X84" t="n">
        <x:v>89</x:v>
      </x:c>
      <x:c r="Y84" t="n">
        <x:v>100</x:v>
      </x:c>
      <x:c r="Z84" t="n">
        <x:v>0</x:v>
      </x:c>
      <x:c r="AA84" t="n">
        <x:v>21</x:v>
      </x:c>
      <x:c r="AB84" t="n">
        <x:v>22</x:v>
      </x:c>
      <x:c r="AC84" t="n">
        <x:v>2.5</x:v>
      </x:c>
      <x:c r="AD84" t="n">
        <x:v>75.8</x:v>
      </x:c>
      <x:c r="AE84" t="n">
        <x:v>0.12</x:v>
      </x:c>
      <x:c r="AF84" t="n">
        <x:v>12</x:v>
      </x:c>
      <x:c r="AG84" t="n">
        <x:v>12</x:v>
      </x:c>
      <x:c r="AH84" t="n">
        <x:v>24</x:v>
      </x:c>
      <x:c r="AI84" t="n">
        <x:v>15</x:v>
      </x:c>
      <x:c r="AJ84" t="n">
        <x:v>1</x:v>
      </x:c>
      <x:c r="AK84" t="n">
        <x:v>250</x:v>
      </x:c>
      <x:c r="AL84" t="str">
        <x:v>Direkte elektrisk;</x:v>
      </x:c>
      <x:c r="AM84"/>
      <x:c r="AN84"/>
      <x:c r="AO84"/>
      <x:c r="AP84"/>
      <x:c r="AQ84"/>
      <x:c r="AR84"/>
      <x:c r="AS84"/>
      <x:c r="AT84"/>
      <x:c r="AU84" t="str">
        <x:v>energiattester_export_2025-08-14.json | PDF vedlegg side 5-7</x:v>
      </x:c>
      <x:c r="AV84" s="12" t="n">
        <x:f>IF(COUNT(O84,P84,Q84,R84,K84,L84,M84,N84)=8,O84*K84+P84*L84+Q84*M84+R84*N84,"")</x:f>
        <x:v>111.64</x:v>
      </x:c>
      <x:c r="AW84" s="12" t="n">
        <x:f>IF(AND(ISNUMBER(AV84),H84&gt;0),AV84/H84,"")</x:f>
        <x:v>0.2791</x:v>
      </x:c>
      <x:c r="AX84" s="12" t="n">
        <x:f>IF(AND(ISNUMBER(AD84),H84&gt;0),AD84*H84*3600,"")</x:f>
        <x:v>109152000</x:v>
      </x:c>
      <x:c r="AY84" s="12" t="n">
        <x:f>IF(AND(ISNUMBER(Y84),H84&gt;0),Y84*H84,"")</x:f>
        <x:v>40000</x:v>
      </x:c>
      <x:c r="AZ84" t="str">
        <x:v>Høy</x:v>
      </x:c>
    </x:row>
    <x:row r="85" ht="22" customHeight="1">
      <x:c r="A85" t="str">
        <x:v>OT-d85406f831cd</x:v>
      </x:c>
      <x:c r="B85" t="n">
        <x:v>2015</x:v>
      </x:c>
      <x:c r="C85" t="str">
        <x:v>Forretningsbygg</x:v>
      </x:c>
      <x:c r="D85" t="str">
        <x:v>BUTIKK</x:v>
      </x:c>
      <x:c r="E85" t="str">
        <x:v>C</x:v>
      </x:c>
      <x:c r="F85" t="str">
        <x:v>GREEN</x:v>
      </x:c>
      <x:c r="G85" t="n">
        <x:v>1985</x:v>
      </x:c>
      <x:c r="H85" t="n">
        <x:v>8542</x:v>
      </x:c>
      <x:c r="I85" t="n">
        <x:v>164.2</x:v>
      </x:c>
      <x:c r="J85" t="str">
        <x:v>PDF/avansert</x:v>
      </x:c>
      <x:c r="K85" t="n">
        <x:v>2516</x:v>
      </x:c>
      <x:c r="L85" t="n">
        <x:v>4152</x:v>
      </x:c>
      <x:c r="M85" t="n">
        <x:v>4146</x:v>
      </x:c>
      <x:c r="N85" t="n">
        <x:v>741</x:v>
      </x:c>
      <x:c r="O85" t="n">
        <x:v>0.26</x:v>
      </x:c>
      <x:c r="P85" t="n">
        <x:v>0.21</x:v>
      </x:c>
      <x:c r="Q85" t="n">
        <x:v>0.11</x:v>
      </x:c>
      <x:c r="R85" t="n">
        <x:v>2</x:v>
      </x:c>
      <x:c r="S85" t="n">
        <x:v>80</x:v>
      </x:c>
      <x:c r="T85" t="n">
        <x:v>80</x:v>
      </x:c>
      <x:c r="U85" t="n">
        <x:v>1.6</x:v>
      </x:c>
      <x:c r="V85" t="n">
        <x:v>0.28</x:v>
      </x:c>
      <x:c r="W85" t="n">
        <x:v>13</x:v>
      </x:c>
      <x:c r="X85" t="n">
        <x:v>84</x:v>
      </x:c>
      <x:c r="Y85" t="n">
        <x:v>100</x:v>
      </x:c>
      <x:c r="Z85" t="n">
        <x:v>41</x:v>
      </x:c>
      <x:c r="AA85" t="n">
        <x:v>21</x:v>
      </x:c>
      <x:c r="AB85" t="n">
        <x:v>22</x:v>
      </x:c>
      <x:c r="AC85" t="n">
        <x:v>1.5</x:v>
      </x:c>
      <x:c r="AD85" t="n">
        <x:v>50.9</x:v>
      </x:c>
      <x:c r="AE85" t="n">
        <x:v>0.12</x:v>
      </x:c>
      <x:c r="AF85" t="n">
        <x:v>12</x:v>
      </x:c>
      <x:c r="AG85" t="n">
        <x:v>12</x:v>
      </x:c>
      <x:c r="AH85" t="n">
        <x:v>24</x:v>
      </x:c>
      <x:c r="AI85" t="n">
        <x:v>15</x:v>
      </x:c>
      <x:c r="AJ85" t="n">
        <x:v>1</x:v>
      </x:c>
      <x:c r="AK85" t="n">
        <x:v>250</x:v>
      </x:c>
      <x:c r="AL85" t="str">
        <x:v>Direkte elektrisk;</x:v>
      </x:c>
      <x:c r="AM85" t="n">
        <x:v>1</x:v>
      </x:c>
      <x:c r="AN85" t="n">
        <x:v>0</x:v>
      </x:c>
      <x:c r="AO85" t="n">
        <x:v>1</x:v>
      </x:c>
      <x:c r="AP85" t="n">
        <x:v>1</x:v>
      </x:c>
      <x:c r="AQ85" t="n">
        <x:v>0</x:v>
      </x:c>
      <x:c r="AR85" t="n">
        <x:v>1</x:v>
      </x:c>
      <x:c r="AS85" t="n">
        <x:v>1</x:v>
      </x:c>
      <x:c r="AT85" t="n">
        <x:v>1</x:v>
      </x:c>
      <x:c r="AU85" t="str">
        <x:v>energiattester_export_2025-08-14.json | PDF vedlegg side 5-7</x:v>
      </x:c>
      <x:c r="AV85" s="12" t="n">
        <x:f>IF(COUNT(O85,P85,Q85,R85,K85,L85,M85,N85)=8,O85*K85+P85*L85+Q85*M85+R85*N85,"")</x:f>
        <x:v>3464.14</x:v>
      </x:c>
      <x:c r="AW85" s="12" t="n">
        <x:f>IF(AND(ISNUMBER(AV85),H85&gt;0),AV85/H85,"")</x:f>
        <x:v>0.4055420276281901</x:v>
      </x:c>
      <x:c r="AX85" s="12" t="n">
        <x:f>IF(AND(ISNUMBER(AD85),H85&gt;0),AD85*H85*3600,"")</x:f>
        <x:v>1565236080</x:v>
      </x:c>
      <x:c r="AY85" s="12" t="n">
        <x:f>IF(AND(ISNUMBER(Y85),H85&gt;0),Y85*H85,"")</x:f>
        <x:v>854200</x:v>
      </x:c>
      <x:c r="AZ85" t="str">
        <x:v>Høy</x:v>
      </x:c>
    </x:row>
    <x:row r="86" ht="22" customHeight="1">
      <x:c r="A86" t="str">
        <x:v>OT-337400035d08</x:v>
      </x:c>
      <x:c r="B86" t="n">
        <x:v>2015</x:v>
      </x:c>
      <x:c r="C86" t="str">
        <x:v>Forretningsbygg</x:v>
      </x:c>
      <x:c r="D86" t="str">
        <x:v>BUTIKK</x:v>
      </x:c>
      <x:c r="E86" t="str">
        <x:v>B</x:v>
      </x:c>
      <x:c r="F86" t="str">
        <x:v>RED</x:v>
      </x:c>
      <x:c r="G86" t="n">
        <x:v>2002</x:v>
      </x:c>
      <x:c r="H86" t="n">
        <x:v>5448</x:v>
      </x:c>
      <x:c r="I86" t="n">
        <x:v>149.3</x:v>
      </x:c>
      <x:c r="J86" t="str">
        <x:v>PDF/avansert</x:v>
      </x:c>
      <x:c r="K86" t="n">
        <x:v>1823</x:v>
      </x:c>
      <x:c r="L86" t="n">
        <x:v>2094</x:v>
      </x:c>
      <x:c r="M86" t="n">
        <x:v>1417</x:v>
      </x:c>
      <x:c r="N86" t="n">
        <x:v>1095</x:v>
      </x:c>
      <x:c r="O86" t="n">
        <x:v>0.25</x:v>
      </x:c>
      <x:c r="P86" t="n">
        <x:v>0.15</x:v>
      </x:c>
      <x:c r="Q86" t="n">
        <x:v>0.11</x:v>
      </x:c>
      <x:c r="R86" t="n">
        <x:v>1.79</x:v>
      </x:c>
      <x:c r="S86" t="n">
        <x:v>80</x:v>
      </x:c>
      <x:c r="T86" t="n">
        <x:v>80</x:v>
      </x:c>
      <x:c r="U86" t="n">
        <x:v>0.9</x:v>
      </x:c>
      <x:c r="V86" t="n">
        <x:v>0.11</x:v>
      </x:c>
      <x:c r="W86" t="n">
        <x:v>13</x:v>
      </x:c>
      <x:c r="X86" t="n">
        <x:v>84</x:v>
      </x:c>
      <x:c r="Y86" t="n">
        <x:v>93</x:v>
      </x:c>
      <x:c r="Z86" t="n">
        <x:v>50</x:v>
      </x:c>
      <x:c r="AA86" t="n">
        <x:v>21</x:v>
      </x:c>
      <x:c r="AB86" t="n">
        <x:v>22</x:v>
      </x:c>
      <x:c r="AC86" t="n">
        <x:v>1.5</x:v>
      </x:c>
      <x:c r="AD86" t="n">
        <x:v>30.4</x:v>
      </x:c>
      <x:c r="AE86" t="n">
        <x:v>0.09</x:v>
      </x:c>
      <x:c r="AF86" t="n">
        <x:v>12</x:v>
      </x:c>
      <x:c r="AG86" t="n">
        <x:v>12</x:v>
      </x:c>
      <x:c r="AH86" t="n">
        <x:v>24</x:v>
      </x:c>
      <x:c r="AI86" t="n">
        <x:v>15</x:v>
      </x:c>
      <x:c r="AJ86" t="n">
        <x:v>1</x:v>
      </x:c>
      <x:c r="AK86" t="n">
        <x:v>250</x:v>
      </x:c>
      <x:c r="AL86" t="str">
        <x:v>Direkte elektrisk;</x:v>
      </x:c>
      <x:c r="AM86" t="n">
        <x:v>1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1</x:v>
      </x:c>
      <x:c r="AS86" t="n">
        <x:v>1</x:v>
      </x:c>
      <x:c r="AT86" t="n">
        <x:v>1</x:v>
      </x:c>
      <x:c r="AU86" t="str">
        <x:v>energiattester_export_2025-08-14.json | PDF vedlegg side 5-7</x:v>
      </x:c>
      <x:c r="AV86" s="12" t="n">
        <x:f>IF(COUNT(O86,P86,Q86,R86,K86,L86,M86,N86)=8,O86*K86+P86*L86+Q86*M86+R86*N86,"")</x:f>
        <x:v>2885.77</x:v>
      </x:c>
      <x:c r="AW86" s="12" t="n">
        <x:f>IF(AND(ISNUMBER(AV86),H86&gt;0),AV86/H86,"")</x:f>
        <x:v>0.5296934654919236</x:v>
      </x:c>
      <x:c r="AX86" s="12" t="n">
        <x:f>IF(AND(ISNUMBER(AD86),H86&gt;0),AD86*H86*3600,"")</x:f>
        <x:v>596229119.9999999</x:v>
      </x:c>
      <x:c r="AY86" s="12" t="n">
        <x:f>IF(AND(ISNUMBER(Y86),H86&gt;0),Y86*H86,"")</x:f>
        <x:v>506664</x:v>
      </x:c>
      <x:c r="AZ86" t="str">
        <x:v>Høy</x:v>
      </x:c>
    </x:row>
    <x:row r="87" ht="22" customHeight="1">
      <x:c r="A87" t="str">
        <x:v>OT-4457b87d7361</x:v>
      </x:c>
      <x:c r="B87" t="n">
        <x:v>2015</x:v>
      </x:c>
      <x:c r="C87" t="str">
        <x:v>Forretningsbygg</x:v>
      </x:c>
      <x:c r="D87" t="str">
        <x:v>BUTIKK</x:v>
      </x:c>
      <x:c r="E87" t="str">
        <x:v>C</x:v>
      </x:c>
      <x:c r="F87" t="str">
        <x:v>RED</x:v>
      </x:c>
      <x:c r="G87" t="n">
        <x:v>1986</x:v>
      </x:c>
      <x:c r="H87" t="n">
        <x:v>4358</x:v>
      </x:c>
      <x:c r="I87" t="n">
        <x:v>191.5</x:v>
      </x:c>
      <x:c r="J87" t="str">
        <x:v>PDF/avansert</x:v>
      </x:c>
      <x:c r="K87" t="n">
        <x:v>1342</x:v>
      </x:c>
      <x:c r="L87" t="n">
        <x:v>3828</x:v>
      </x:c>
      <x:c r="M87" t="n">
        <x:v>3874</x:v>
      </x:c>
      <x:c r="N87" t="n">
        <x:v>336</x:v>
      </x:c>
      <x:c r="O87" t="n">
        <x:v>0.3</x:v>
      </x:c>
      <x:c r="P87" t="n">
        <x:v>0.21</x:v>
      </x:c>
      <x:c r="Q87" t="n">
        <x:v>0.11</x:v>
      </x:c>
      <x:c r="R87" t="n">
        <x:v>2.29</x:v>
      </x:c>
      <x:c r="S87" t="n">
        <x:v>71</x:v>
      </x:c>
      <x:c r="T87" t="n">
        <x:v>71</x:v>
      </x:c>
      <x:c r="U87" t="n">
        <x:v>2.7</x:v>
      </x:c>
      <x:c r="V87" t="n">
        <x:v>0.31</x:v>
      </x:c>
      <x:c r="W87" t="n">
        <x:v>13</x:v>
      </x:c>
      <x:c r="X87" t="n">
        <x:v>89</x:v>
      </x:c>
      <x:c r="Y87" t="n">
        <x:v>112</x:v>
      </x:c>
      <x:c r="Z87" t="n">
        <x:v>62</x:v>
      </x:c>
      <x:c r="AA87" t="n">
        <x:v>21</x:v>
      </x:c>
      <x:c r="AB87" t="n">
        <x:v>22</x:v>
      </x:c>
      <x:c r="AC87" t="n">
        <x:v>1.5</x:v>
      </x:c>
      <x:c r="AD87" t="n">
        <x:v>77</x:v>
      </x:c>
      <x:c r="AE87" t="n">
        <x:v>0.12</x:v>
      </x:c>
      <x:c r="AF87" t="n">
        <x:v>12</x:v>
      </x:c>
      <x:c r="AG87" t="n">
        <x:v>12</x:v>
      </x:c>
      <x:c r="AH87" t="n">
        <x:v>24</x:v>
      </x:c>
      <x:c r="AI87" t="n">
        <x:v>15</x:v>
      </x:c>
      <x:c r="AJ87" t="n">
        <x:v>1</x:v>
      </x:c>
      <x:c r="AK87" t="n">
        <x:v>250</x:v>
      </x:c>
      <x:c r="AL87" t="str">
        <x:v>Direkte elektrisk;</x:v>
      </x:c>
      <x:c r="AM87" t="n">
        <x:v>1</x:v>
      </x:c>
      <x:c r="AN87" t="n">
        <x:v>0</x:v>
      </x:c>
      <x:c r="AO87" t="n">
        <x:v>0</x:v>
      </x:c>
      <x:c r="AP87" t="n">
        <x:v>1</x:v>
      </x:c>
      <x:c r="AQ87" t="n">
        <x:v>1</x:v>
      </x:c>
      <x:c r="AR87" t="n">
        <x:v>1</x:v>
      </x:c>
      <x:c r="AS87" t="n">
        <x:v>1</x:v>
      </x:c>
      <x:c r="AT87" t="n">
        <x:v>1</x:v>
      </x:c>
      <x:c r="AU87" t="str">
        <x:v>energiattester_export_2025-08-14.json | PDF vedlegg side 5-7</x:v>
      </x:c>
      <x:c r="AV87" s="12" t="n">
        <x:f>IF(COUNT(O87,P87,Q87,R87,K87,L87,M87,N87)=8,O87*K87+P87*L87+Q87*M87+R87*N87,"")</x:f>
        <x:v>2402.06</x:v>
      </x:c>
      <x:c r="AW87" s="12" t="n">
        <x:f>IF(AND(ISNUMBER(AV87),H87&gt;0),AV87/H87,"")</x:f>
        <x:v>0.5511840293712712</x:v>
      </x:c>
      <x:c r="AX87" s="12" t="n">
        <x:f>IF(AND(ISNUMBER(AD87),H87&gt;0),AD87*H87*3600,"")</x:f>
        <x:v>1208037600</x:v>
      </x:c>
      <x:c r="AY87" s="12" t="n">
        <x:f>IF(AND(ISNUMBER(Y87),H87&gt;0),Y87*H87,"")</x:f>
        <x:v>488096</x:v>
      </x:c>
      <x:c r="AZ87" t="str">
        <x:v>Høy</x:v>
      </x:c>
    </x:row>
    <x:row r="88" ht="22" customHeight="1">
      <x:c r="A88" t="str">
        <x:v>OT-d8f82c5f9d9d</x:v>
      </x:c>
      <x:c r="B88" t="n">
        <x:v>2015</x:v>
      </x:c>
      <x:c r="C88" t="str">
        <x:v>Forretningsbygg</x:v>
      </x:c>
      <x:c r="D88" t="str">
        <x:v>BUTIKK</x:v>
      </x:c>
      <x:c r="E88" t="str">
        <x:v>C</x:v>
      </x:c>
      <x:c r="F88" t="str">
        <x:v>RED</x:v>
      </x:c>
      <x:c r="G88" t="n">
        <x:v>1987</x:v>
      </x:c>
      <x:c r="H88" t="n">
        <x:v>18923</x:v>
      </x:c>
      <x:c r="I88" t="n">
        <x:v>179.8</x:v>
      </x:c>
      <x:c r="J88" t="str">
        <x:v>PDF/avansert</x:v>
      </x:c>
      <x:c r="K88" t="n">
        <x:v>2525</x:v>
      </x:c>
      <x:c r="L88" t="n">
        <x:v>9533</x:v>
      </x:c>
      <x:c r="M88" t="n">
        <x:v>9568</x:v>
      </x:c>
      <x:c r="N88" t="n">
        <x:v>718</x:v>
      </x:c>
      <x:c r="O88" t="n">
        <x:v>0.28</x:v>
      </x:c>
      <x:c r="P88" t="n">
        <x:v>0.21</x:v>
      </x:c>
      <x:c r="Q88" t="n">
        <x:v>0.08</x:v>
      </x:c>
      <x:c r="R88" t="n">
        <x:v>2.02</x:v>
      </x:c>
      <x:c r="S88" t="n">
        <x:v>73</x:v>
      </x:c>
      <x:c r="T88" t="n">
        <x:v>73</x:v>
      </x:c>
      <x:c r="U88" t="n">
        <x:v>1.94</x:v>
      </x:c>
      <x:c r="V88" t="n">
        <x:v>0.24</x:v>
      </x:c>
      <x:c r="W88" t="n">
        <x:v>13</x:v>
      </x:c>
      <x:c r="X88" t="n">
        <x:v>81</x:v>
      </x:c>
      <x:c r="Y88" t="n">
        <x:v>98</x:v>
      </x:c>
      <x:c r="Z88" t="n">
        <x:v>37</x:v>
      </x:c>
      <x:c r="AA88" t="n">
        <x:v>21</x:v>
      </x:c>
      <x:c r="AB88" t="n">
        <x:v>22</x:v>
      </x:c>
      <x:c r="AC88" t="n">
        <x:v>1.5</x:v>
      </x:c>
      <x:c r="AD88" t="n">
        <x:v>70.9</x:v>
      </x:c>
      <x:c r="AE88" t="n">
        <x:v>0.12</x:v>
      </x:c>
      <x:c r="AF88"/>
      <x:c r="AG88"/>
      <x:c r="AH88"/>
      <x:c r="AI88"/>
      <x:c r="AJ88"/>
      <x:c r="AK88" t="n">
        <x:v>250</x:v>
      </x:c>
      <x:c r="AL88"/>
      <x:c r="AM88" t="n">
        <x:v>1</x:v>
      </x:c>
      <x:c r="AN88" t="n">
        <x:v>0</x:v>
      </x:c>
      <x:c r="AO88" t="n">
        <x:v>1</x:v>
      </x:c>
      <x:c r="AP88" t="n">
        <x:v>1</x:v>
      </x:c>
      <x:c r="AQ88" t="n">
        <x:v>1</x:v>
      </x:c>
      <x:c r="AR88" t="n">
        <x:v>1</x:v>
      </x:c>
      <x:c r="AS88" t="n">
        <x:v>1</x:v>
      </x:c>
      <x:c r="AT88" t="n">
        <x:v>1</x:v>
      </x:c>
      <x:c r="AU88" t="str">
        <x:v>energiattester_export_2025-08-14.json | PDF vedlegg side 5-7</x:v>
      </x:c>
      <x:c r="AV88" s="12" t="n">
        <x:f>IF(COUNT(O88,P88,Q88,R88,K88,L88,M88,N88)=8,O88*K88+P88*L88+Q88*M88+R88*N88,"")</x:f>
        <x:v>4924.73</x:v>
      </x:c>
      <x:c r="AW88" s="12" t="n">
        <x:f>IF(AND(ISNUMBER(AV88),H88&gt;0),AV88/H88,"")</x:f>
        <x:v>0.26025101728055805</x:v>
      </x:c>
      <x:c r="AX88" s="12" t="n">
        <x:f>IF(AND(ISNUMBER(AD88),H88&gt;0),AD88*H88*3600,"")</x:f>
        <x:v>4829906520.000001</x:v>
      </x:c>
      <x:c r="AY88" s="12" t="n">
        <x:f>IF(AND(ISNUMBER(Y88),H88&gt;0),Y88*H88,"")</x:f>
        <x:v>1854454</x:v>
      </x:c>
      <x:c r="AZ88" t="str">
        <x:v>Høy</x:v>
      </x:c>
    </x:row>
    <x:row r="89" ht="22" customHeight="1">
      <x:c r="A89" t="str">
        <x:v>OT-dd375fae45ca</x:v>
      </x:c>
      <x:c r="B89" t="n">
        <x:v>2015</x:v>
      </x:c>
      <x:c r="C89" t="str">
        <x:v>Forretningsbygg</x:v>
      </x:c>
      <x:c r="D89" t="str">
        <x:v>BUTIKK</x:v>
      </x:c>
      <x:c r="E89" t="str">
        <x:v>C</x:v>
      </x:c>
      <x:c r="F89" t="str">
        <x:v>GREEN</x:v>
      </x:c>
      <x:c r="G89" t="n">
        <x:v>1987</x:v>
      </x:c>
      <x:c r="H89" t="n">
        <x:v>7841</x:v>
      </x:c>
      <x:c r="I89" t="n">
        <x:v>161</x:v>
      </x:c>
      <x:c r="J89" t="str">
        <x:v>PDF/avansert</x:v>
      </x:c>
      <x:c r="K89" t="n">
        <x:v>2378</x:v>
      </x:c>
      <x:c r="L89" t="n">
        <x:v>3387</x:v>
      </x:c>
      <x:c r="M89" t="n">
        <x:v>3524</x:v>
      </x:c>
      <x:c r="N89" t="n">
        <x:v>693</x:v>
      </x:c>
      <x:c r="O89" t="n">
        <x:v>0.3</x:v>
      </x:c>
      <x:c r="P89" t="n">
        <x:v>0.21</x:v>
      </x:c>
      <x:c r="Q89" t="n">
        <x:v>0.14</x:v>
      </x:c>
      <x:c r="R89" t="n">
        <x:v>2.52</x:v>
      </x:c>
      <x:c r="S89" t="n">
        <x:v>78</x:v>
      </x:c>
      <x:c r="T89" t="n">
        <x:v>78</x:v>
      </x:c>
      <x:c r="U89" t="n">
        <x:v>1.74</x:v>
      </x:c>
      <x:c r="V89" t="n">
        <x:v>0.22</x:v>
      </x:c>
      <x:c r="W89" t="n">
        <x:v>13</x:v>
      </x:c>
      <x:c r="X89" t="n">
        <x:v>89</x:v>
      </x:c>
      <x:c r="Y89" t="n">
        <x:v>100</x:v>
      </x:c>
      <x:c r="Z89" t="n">
        <x:v>41</x:v>
      </x:c>
      <x:c r="AA89" t="n">
        <x:v>21</x:v>
      </x:c>
      <x:c r="AB89" t="n">
        <x:v>22</x:v>
      </x:c>
      <x:c r="AC89" t="n">
        <x:v>1.5</x:v>
      </x:c>
      <x:c r="AD89" t="n">
        <x:v>42.9</x:v>
      </x:c>
      <x:c r="AE89" t="n">
        <x:v>0.12</x:v>
      </x:c>
      <x:c r="AF89" t="n">
        <x:v>12</x:v>
      </x:c>
      <x:c r="AG89" t="n">
        <x:v>12</x:v>
      </x:c>
      <x:c r="AH89" t="n">
        <x:v>24</x:v>
      </x:c>
      <x:c r="AI89" t="n">
        <x:v>15</x:v>
      </x:c>
      <x:c r="AJ89" t="n">
        <x:v>1</x:v>
      </x:c>
      <x:c r="AK89" t="n">
        <x:v>250</x:v>
      </x:c>
      <x:c r="AL89" t="str">
        <x:v>Direkte elektrisk;</x:v>
      </x:c>
      <x:c r="AM89" t="n">
        <x:v>1</x:v>
      </x:c>
      <x:c r="AN89" t="n">
        <x:v>0</x:v>
      </x:c>
      <x:c r="AO89" t="n">
        <x:v>1</x:v>
      </x:c>
      <x:c r="AP89" t="n">
        <x:v>1</x:v>
      </x:c>
      <x:c r="AQ89" t="n">
        <x:v>0</x:v>
      </x:c>
      <x:c r="AR89" t="n">
        <x:v>1</x:v>
      </x:c>
      <x:c r="AS89" t="n">
        <x:v>1</x:v>
      </x:c>
      <x:c r="AT89" t="n">
        <x:v>1</x:v>
      </x:c>
      <x:c r="AU89" t="str">
        <x:v>energiattester_export_2025-08-14.json | PDF vedlegg side 5-7</x:v>
      </x:c>
      <x:c r="AV89" s="12" t="n">
        <x:f>IF(COUNT(O89,P89,Q89,R89,K89,L89,M89,N89)=8,O89*K89+P89*L89+Q89*M89+R89*N89,"")</x:f>
        <x:v>3664.3900000000003</x:v>
      </x:c>
      <x:c r="AW89" s="12" t="n">
        <x:f>IF(AND(ISNUMBER(AV89),H89&gt;0),AV89/H89,"")</x:f>
        <x:v>0.4673370743527612</x:v>
      </x:c>
      <x:c r="AX89" s="12" t="n">
        <x:f>IF(AND(ISNUMBER(AD89),H89&gt;0),AD89*H89*3600,"")</x:f>
        <x:v>1210964039.9999998</x:v>
      </x:c>
      <x:c r="AY89" s="12" t="n">
        <x:f>IF(AND(ISNUMBER(Y89),H89&gt;0),Y89*H89,"")</x:f>
        <x:v>784100</x:v>
      </x:c>
      <x:c r="AZ89" t="str">
        <x:v>Høy</x:v>
      </x:c>
    </x:row>
    <x:row r="90" ht="22" customHeight="1">
      <x:c r="A90" t="str">
        <x:v>OT-ab44b766cbf2</x:v>
      </x:c>
      <x:c r="B90" t="n">
        <x:v>2015</x:v>
      </x:c>
      <x:c r="C90" t="str">
        <x:v>Forretningsbygg</x:v>
      </x:c>
      <x:c r="D90" t="str">
        <x:v>BUTIKK</x:v>
      </x:c>
      <x:c r="E90" t="str">
        <x:v>C</x:v>
      </x:c>
      <x:c r="F90" t="str">
        <x:v>RED</x:v>
      </x:c>
      <x:c r="G90" t="n">
        <x:v>2015</x:v>
      </x:c>
      <x:c r="H90" t="n">
        <x:v>1065</x:v>
      </x:c>
      <x:c r="I90" t="n">
        <x:v>163</x:v>
      </x:c>
      <x:c r="J90" t="str">
        <x:v>PDF/avansert</x:v>
      </x:c>
      <x:c r="K90" t="n">
        <x:v>919</x:v>
      </x:c>
      <x:c r="L90" t="n">
        <x:v>1070</x:v>
      </x:c>
      <x:c r="M90" t="n">
        <x:v>1099</x:v>
      </x:c>
      <x:c r="N90" t="n">
        <x:v>38</x:v>
      </x:c>
      <x:c r="O90" t="n">
        <x:v>0.16</x:v>
      </x:c>
      <x:c r="P90" t="n">
        <x:v>0.13</x:v>
      </x:c>
      <x:c r="Q90" t="n">
        <x:v>0.09</x:v>
      </x:c>
      <x:c r="R90" t="n">
        <x:v>1.79</x:v>
      </x:c>
      <x:c r="S90" t="n">
        <x:v>82</x:v>
      </x:c>
      <x:c r="T90" t="n">
        <x:v>82</x:v>
      </x:c>
      <x:c r="U90" t="n">
        <x:v>2</x:v>
      </x:c>
      <x:c r="V90" t="n">
        <x:v>0.56</x:v>
      </x:c>
      <x:c r="W90" t="n">
        <x:v>9.4</x:v>
      </x:c>
      <x:c r="X90" t="n">
        <x:v>90</x:v>
      </x:c>
      <x:c r="Y90" t="n">
        <x:v>80</x:v>
      </x:c>
      <x:c r="Z90" t="n">
        <x:v>70</x:v>
      </x:c>
      <x:c r="AA90" t="n">
        <x:v>21</x:v>
      </x:c>
      <x:c r="AB90" t="n">
        <x:v>22</x:v>
      </x:c>
      <x:c r="AC90" t="n">
        <x:v>1.5</x:v>
      </x:c>
      <x:c r="AD90" t="n">
        <x:v>82.1</x:v>
      </x:c>
      <x:c r="AE90" t="n">
        <x:v>0.06</x:v>
      </x:c>
      <x:c r="AF90" t="n">
        <x:v>12</x:v>
      </x:c>
      <x:c r="AG90" t="n">
        <x:v>12</x:v>
      </x:c>
      <x:c r="AH90" t="n">
        <x:v>24</x:v>
      </x:c>
      <x:c r="AI90" t="n">
        <x:v>15</x:v>
      </x:c>
      <x:c r="AJ90" t="n">
        <x:v>1</x:v>
      </x:c>
      <x:c r="AK90" t="n">
        <x:v>250</x:v>
      </x:c>
      <x:c r="AL90" t="str">
        <x:v>Direkte elektrisk;</x:v>
      </x:c>
      <x:c r="AM90"/>
      <x:c r="AN90"/>
      <x:c r="AO90"/>
      <x:c r="AP90"/>
      <x:c r="AQ90"/>
      <x:c r="AR90"/>
      <x:c r="AS90"/>
      <x:c r="AT90"/>
      <x:c r="AU90" t="str">
        <x:v>energiattester_export_2025-08-14.json | PDF vedlegg side 5-7</x:v>
      </x:c>
      <x:c r="AV90" s="12" t="n">
        <x:f>IF(COUNT(O90,P90,Q90,R90,K90,L90,M90,N90)=8,O90*K90+P90*L90+Q90*M90+R90*N90,"")</x:f>
        <x:v>453.06999999999994</x:v>
      </x:c>
      <x:c r="AW90" s="12" t="n">
        <x:f>IF(AND(ISNUMBER(AV90),H90&gt;0),AV90/H90,"")</x:f>
        <x:v>0.4254178403755868</x:v>
      </x:c>
      <x:c r="AX90" s="12" t="n">
        <x:f>IF(AND(ISNUMBER(AD90),H90&gt;0),AD90*H90*3600,"")</x:f>
        <x:v>314771400</x:v>
      </x:c>
      <x:c r="AY90" s="12" t="n">
        <x:f>IF(AND(ISNUMBER(Y90),H90&gt;0),Y90*H90,"")</x:f>
        <x:v>85200</x:v>
      </x:c>
      <x:c r="AZ90" t="str">
        <x:v>Høy</x:v>
      </x:c>
    </x:row>
    <x:row r="91" ht="22" customHeight="1">
      <x:c r="A91" t="str">
        <x:v>OT-14bb4701910f</x:v>
      </x:c>
      <x:c r="B91" t="n">
        <x:v>2015</x:v>
      </x:c>
      <x:c r="C91" t="str">
        <x:v>Forretningsbygg</x:v>
      </x:c>
      <x:c r="D91" t="str">
        <x:v>BUTIKK</x:v>
      </x:c>
      <x:c r="E91" t="str">
        <x:v>B</x:v>
      </x:c>
      <x:c r="F91" t="str">
        <x:v>RED</x:v>
      </x:c>
      <x:c r="G91" t="n">
        <x:v>2002</x:v>
      </x:c>
      <x:c r="H91" t="n">
        <x:v>5448</x:v>
      </x:c>
      <x:c r="I91" t="n">
        <x:v>149.3</x:v>
      </x:c>
      <x:c r="J91" t="str">
        <x:v>PDF/avansert</x:v>
      </x:c>
      <x:c r="K91" t="n">
        <x:v>1823</x:v>
      </x:c>
      <x:c r="L91" t="n">
        <x:v>2094</x:v>
      </x:c>
      <x:c r="M91" t="n">
        <x:v>1417</x:v>
      </x:c>
      <x:c r="N91" t="n">
        <x:v>1095</x:v>
      </x:c>
      <x:c r="O91" t="n">
        <x:v>0.25</x:v>
      </x:c>
      <x:c r="P91" t="n">
        <x:v>0.15</x:v>
      </x:c>
      <x:c r="Q91" t="n">
        <x:v>0.11</x:v>
      </x:c>
      <x:c r="R91" t="n">
        <x:v>1.79</x:v>
      </x:c>
      <x:c r="S91" t="n">
        <x:v>80</x:v>
      </x:c>
      <x:c r="T91" t="n">
        <x:v>80</x:v>
      </x:c>
      <x:c r="U91" t="n">
        <x:v>0.9</x:v>
      </x:c>
      <x:c r="V91" t="n">
        <x:v>0.11</x:v>
      </x:c>
      <x:c r="W91" t="n">
        <x:v>13</x:v>
      </x:c>
      <x:c r="X91" t="n">
        <x:v>84</x:v>
      </x:c>
      <x:c r="Y91" t="n">
        <x:v>93</x:v>
      </x:c>
      <x:c r="Z91" t="n">
        <x:v>50</x:v>
      </x:c>
      <x:c r="AA91" t="n">
        <x:v>21</x:v>
      </x:c>
      <x:c r="AB91" t="n">
        <x:v>22</x:v>
      </x:c>
      <x:c r="AC91" t="n">
        <x:v>1.5</x:v>
      </x:c>
      <x:c r="AD91" t="n">
        <x:v>30.4</x:v>
      </x:c>
      <x:c r="AE91" t="n">
        <x:v>0.09</x:v>
      </x:c>
      <x:c r="AF91" t="n">
        <x:v>12</x:v>
      </x:c>
      <x:c r="AG91" t="n">
        <x:v>12</x:v>
      </x:c>
      <x:c r="AH91" t="n">
        <x:v>24</x:v>
      </x:c>
      <x:c r="AI91" t="n">
        <x:v>15</x:v>
      </x:c>
      <x:c r="AJ91" t="n">
        <x:v>1</x:v>
      </x:c>
      <x:c r="AK91" t="n">
        <x:v>250</x:v>
      </x:c>
      <x:c r="AL91" t="str">
        <x:v>Direkte elektrisk;</x:v>
      </x:c>
      <x:c r="AM91" t="n">
        <x:v>1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1</x:v>
      </x:c>
      <x:c r="AS91" t="n">
        <x:v>1</x:v>
      </x:c>
      <x:c r="AT91" t="n">
        <x:v>1</x:v>
      </x:c>
      <x:c r="AU91" t="str">
        <x:v>energiattester_export_2025-08-14.json | PDF vedlegg side 5-7</x:v>
      </x:c>
      <x:c r="AV91" s="12" t="n">
        <x:f>IF(COUNT(O91,P91,Q91,R91,K91,L91,M91,N91)=8,O91*K91+P91*L91+Q91*M91+R91*N91,"")</x:f>
        <x:v>2885.77</x:v>
      </x:c>
      <x:c r="AW91" s="12" t="n">
        <x:f>IF(AND(ISNUMBER(AV91),H91&gt;0),AV91/H91,"")</x:f>
        <x:v>0.5296934654919236</x:v>
      </x:c>
      <x:c r="AX91" s="12" t="n">
        <x:f>IF(AND(ISNUMBER(AD91),H91&gt;0),AD91*H91*3600,"")</x:f>
        <x:v>596229119.9999999</x:v>
      </x:c>
      <x:c r="AY91" s="12" t="n">
        <x:f>IF(AND(ISNUMBER(Y91),H91&gt;0),Y91*H91,"")</x:f>
        <x:v>506664</x:v>
      </x:c>
      <x:c r="AZ91" t="str">
        <x:v>Høy</x:v>
      </x:c>
    </x:row>
    <x:row r="92" ht="22" customHeight="1">
      <x:c r="A92" t="str">
        <x:v>OT-5cbb35d24758</x:v>
      </x:c>
      <x:c r="B92" t="n">
        <x:v>2015</x:v>
      </x:c>
      <x:c r="C92" t="str">
        <x:v>Forretningsbygg</x:v>
      </x:c>
      <x:c r="D92" t="str">
        <x:v>BUTIKK</x:v>
      </x:c>
      <x:c r="E92" t="str">
        <x:v>E</x:v>
      </x:c>
      <x:c r="F92" t="str">
        <x:v>ORANGE</x:v>
      </x:c>
      <x:c r="G92" t="n">
        <x:v>2004</x:v>
      </x:c>
      <x:c r="H92" t="n">
        <x:v>1575</x:v>
      </x:c>
      <x:c r="I92" t="n">
        <x:v>266.4</x:v>
      </x:c>
      <x:c r="J92" t="str">
        <x:v>PDF/avansert</x:v>
      </x:c>
      <x:c r="K92" t="n">
        <x:v>142</x:v>
      </x:c>
      <x:c r="L92" t="n">
        <x:v>0</x:v>
      </x:c>
      <x:c r="M92" t="n">
        <x:v>1273</x:v>
      </x:c>
      <x:c r="N92" t="n">
        <x:v>220</x:v>
      </x:c>
      <x:c r="O92" t="n">
        <x:v>0.17</x:v>
      </x:c>
      <x:c r="P92" t="n">
        <x:v>0</x:v>
      </x:c>
      <x:c r="Q92" t="n">
        <x:v>0.2</x:v>
      </x:c>
      <x:c r="R92" t="n">
        <x:v>1.37</x:v>
      </x:c>
      <x:c r="S92" t="n">
        <x:v>66</x:v>
      </x:c>
      <x:c r="T92" t="n">
        <x:v>66</x:v>
      </x:c>
      <x:c r="U92" t="n">
        <x:v>2.61</x:v>
      </x:c>
      <x:c r="V92" t="n">
        <x:v>0.2</x:v>
      </x:c>
      <x:c r="W92" t="n">
        <x:v>19.2</x:v>
      </x:c>
      <x:c r="X92" t="n">
        <x:v>135</x:v>
      </x:c>
      <x:c r="Y92" t="n">
        <x:v>80</x:v>
      </x:c>
      <x:c r="Z92" t="n">
        <x:v>30</x:v>
      </x:c>
      <x:c r="AA92" t="n">
        <x:v>21</x:v>
      </x:c>
      <x:c r="AB92" t="n">
        <x:v>22</x:v>
      </x:c>
      <x:c r="AC92" t="n">
        <x:v>1.06</x:v>
      </x:c>
      <x:c r="AD92" t="n">
        <x:v>109.8</x:v>
      </x:c>
      <x:c r="AE92" t="n">
        <x:v>0.09</x:v>
      </x:c>
      <x:c r="AF92" t="n">
        <x:v>12</x:v>
      </x:c>
      <x:c r="AG92" t="n">
        <x:v>12</x:v>
      </x:c>
      <x:c r="AH92" t="n">
        <x:v>24</x:v>
      </x:c>
      <x:c r="AI92" t="n">
        <x:v>15</x:v>
      </x:c>
      <x:c r="AJ92" t="n">
        <x:v>1</x:v>
      </x:c>
      <x:c r="AK92" t="n">
        <x:v>240</x:v>
      </x:c>
      <x:c r="AL92" t="str">
        <x:v>Direkte elektrisk; Biobrensel; Varmepumpe;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1</x:v>
      </x:c>
      <x:c r="AR92" t="n">
        <x:v>0</x:v>
      </x:c>
      <x:c r="AS92" t="n">
        <x:v>1</x:v>
      </x:c>
      <x:c r="AT92" t="n">
        <x:v>1</x:v>
      </x:c>
      <x:c r="AU92" t="str">
        <x:v>energiattester_export_2025-08-14.json | PDF vedlegg side 5-7</x:v>
      </x:c>
      <x:c r="AV92" s="12" t="n">
        <x:f>IF(COUNT(O92,P92,Q92,R92,K92,L92,M92,N92)=8,O92*K92+P92*L92+Q92*M92+R92*N92,"")</x:f>
        <x:v>580.1400000000001</x:v>
      </x:c>
      <x:c r="AW92" s="12" t="n">
        <x:f>IF(AND(ISNUMBER(AV92),H92&gt;0),AV92/H92,"")</x:f>
        <x:v>0.3683428571428572</x:v>
      </x:c>
      <x:c r="AX92" s="12" t="n">
        <x:f>IF(AND(ISNUMBER(AD92),H92&gt;0),AD92*H92*3600,"")</x:f>
        <x:v>622566000</x:v>
      </x:c>
      <x:c r="AY92" s="12" t="n">
        <x:f>IF(AND(ISNUMBER(Y92),H92&gt;0),Y92*H92,"")</x:f>
        <x:v>126000</x:v>
      </x:c>
      <x:c r="AZ92" t="str">
        <x:v>Høy</x:v>
      </x:c>
    </x:row>
    <x:row r="93" ht="22" customHeight="1">
      <x:c r="A93" t="str">
        <x:v>OT-35c01646757a</x:v>
      </x:c>
      <x:c r="B93" t="n">
        <x:v>2015</x:v>
      </x:c>
      <x:c r="C93" t="str">
        <x:v>Kontorbygg</x:v>
      </x:c>
      <x:c r="D93" t="str">
        <x:v>KONTORER, MED VENTILASJON OG KJØLEANLEGG</x:v>
      </x:c>
      <x:c r="E93" t="str">
        <x:v>E</x:v>
      </x:c>
      <x:c r="F93" t="str">
        <x:v>ORANGE</x:v>
      </x:c>
      <x:c r="G93" t="n">
        <x:v>2004</x:v>
      </x:c>
      <x:c r="H93" t="n">
        <x:v>1352</x:v>
      </x:c>
      <x:c r="I93" t="n">
        <x:v>192.5</x:v>
      </x:c>
      <x:c r="J93" t="str">
        <x:v>PDF/avansert</x:v>
      </x:c>
      <x:c r="K93" t="n">
        <x:v>238</x:v>
      </x:c>
      <x:c r="L93" t="n">
        <x:v>0</x:v>
      </x:c>
      <x:c r="M93" t="n">
        <x:v>0</x:v>
      </x:c>
      <x:c r="N93" t="n">
        <x:v>162</x:v>
      </x:c>
      <x:c r="O93" t="n">
        <x:v>0.17</x:v>
      </x:c>
      <x:c r="P93" t="n">
        <x:v>0</x:v>
      </x:c>
      <x:c r="Q93" t="n">
        <x:v>0</x:v>
      </x:c>
      <x:c r="R93" t="n">
        <x:v>1.32</x:v>
      </x:c>
      <x:c r="S93" t="n">
        <x:v>70</x:v>
      </x:c>
      <x:c r="T93" t="n">
        <x:v>69</x:v>
      </x:c>
      <x:c r="U93" t="n">
        <x:v>2.15</x:v>
      </x:c>
      <x:c r="V93" t="n">
        <x:v>0.11</x:v>
      </x:c>
      <x:c r="W93" t="n">
        <x:v>19.06</x:v>
      </x:c>
      <x:c r="X93" t="n">
        <x:v>135</x:v>
      </x:c>
      <x:c r="Y93" t="n">
        <x:v>80</x:v>
      </x:c>
      <x:c r="Z93" t="n">
        <x:v>30</x:v>
      </x:c>
      <x:c r="AA93" t="n">
        <x:v>21</x:v>
      </x:c>
      <x:c r="AB93" t="n">
        <x:v>22</x:v>
      </x:c>
      <x:c r="AC93" t="n">
        <x:v>1.5</x:v>
      </x:c>
      <x:c r="AD93" t="n">
        <x:v>62.4</x:v>
      </x:c>
      <x:c r="AE93" t="n">
        <x:v>0.09</x:v>
      </x:c>
      <x:c r="AF93" t="n">
        <x:v>12</x:v>
      </x:c>
      <x:c r="AG93" t="n">
        <x:v>12</x:v>
      </x:c>
      <x:c r="AH93" t="n">
        <x:v>24</x:v>
      </x:c>
      <x:c r="AI93" t="n">
        <x:v>8</x:v>
      </x:c>
      <x:c r="AJ93" t="n">
        <x:v>11</x:v>
      </x:c>
      <x:c r="AK93" t="n">
        <x:v>240</x:v>
      </x:c>
      <x:c r="AL93" t="str">
        <x:v>Direkte elektrisk; Biobrensel; Varmepumpe;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1</x:v>
      </x:c>
      <x:c r="AT93" t="n">
        <x:v>1</x:v>
      </x:c>
      <x:c r="AU93" t="str">
        <x:v>energiattester_export_2025-08-14.json | PDF vedlegg side 5-7</x:v>
      </x:c>
      <x:c r="AV93" s="12" t="n">
        <x:f>IF(COUNT(O93,P93,Q93,R93,K93,L93,M93,N93)=8,O93*K93+P93*L93+Q93*M93+R93*N93,"")</x:f>
        <x:v>254.3</x:v>
      </x:c>
      <x:c r="AW93" s="12" t="n">
        <x:f>IF(AND(ISNUMBER(AV93),H93&gt;0),AV93/H93,"")</x:f>
        <x:v>0.18809171597633137</x:v>
      </x:c>
      <x:c r="AX93" s="12" t="n">
        <x:f>IF(AND(ISNUMBER(AD93),H93&gt;0),AD93*H93*3600,"")</x:f>
        <x:v>303713280</x:v>
      </x:c>
      <x:c r="AY93" s="12" t="n">
        <x:f>IF(AND(ISNUMBER(Y93),H93&gt;0),Y93*H93,"")</x:f>
        <x:v>108160</x:v>
      </x:c>
      <x:c r="AZ93" t="str">
        <x:v>Høy</x:v>
      </x:c>
    </x:row>
    <x:row r="94" ht="22" customHeight="1">
      <x:c r="A94" t="str">
        <x:v>OT-f0fc846ddbcb</x:v>
      </x:c>
      <x:c r="B94" t="n">
        <x:v>2015</x:v>
      </x:c>
      <x:c r="C94" t="str">
        <x:v>Kontorbygg</x:v>
      </x:c>
      <x:c r="D94" t="str">
        <x:v>KONTORER, MED VENTILASJON OG KJØLEANLEGG</x:v>
      </x:c>
      <x:c r="E94" t="str">
        <x:v>E</x:v>
      </x:c>
      <x:c r="F94" t="str">
        <x:v>GREEN</x:v>
      </x:c>
      <x:c r="G94" t="n">
        <x:v>2006</x:v>
      </x:c>
      <x:c r="H94" t="n">
        <x:v>1156</x:v>
      </x:c>
      <x:c r="I94" t="n">
        <x:v>211.3</x:v>
      </x:c>
      <x:c r="J94" t="str">
        <x:v>PDF/avansert</x:v>
      </x:c>
      <x:c r="K94" t="n">
        <x:v>499</x:v>
      </x:c>
      <x:c r="L94" t="n">
        <x:v>584</x:v>
      </x:c>
      <x:c r="M94" t="n">
        <x:v>514</x:v>
      </x:c>
      <x:c r="N94" t="n">
        <x:v>233</x:v>
      </x:c>
      <x:c r="O94" t="n">
        <x:v>0.18</x:v>
      </x:c>
      <x:c r="P94" t="n">
        <x:v>0.14</x:v>
      </x:c>
      <x:c r="Q94" t="n">
        <x:v>0.2</x:v>
      </x:c>
      <x:c r="R94" t="n">
        <x:v>1.21</x:v>
      </x:c>
      <x:c r="S94" t="n">
        <x:v>48</x:v>
      </x:c>
      <x:c r="T94" t="n">
        <x:v>48</x:v>
      </x:c>
      <x:c r="U94" t="n">
        <x:v>2.5</x:v>
      </x:c>
      <x:c r="V94" t="n">
        <x:v>0.26</x:v>
      </x:c>
      <x:c r="W94" t="n">
        <x:v>8.7</x:v>
      </x:c>
      <x:c r="X94" t="n">
        <x:v>88</x:v>
      </x:c>
      <x:c r="Y94" t="n">
        <x:v>80</x:v>
      </x:c>
      <x:c r="Z94" t="n">
        <x:v>30</x:v>
      </x:c>
      <x:c r="AA94" t="n">
        <x:v>21</x:v>
      </x:c>
      <x:c r="AB94" t="n">
        <x:v>22</x:v>
      </x:c>
      <x:c r="AC94" t="n">
        <x:v>2.5</x:v>
      </x:c>
      <x:c r="AD94" t="n">
        <x:v>32.8</x:v>
      </x:c>
      <x:c r="AE94" t="n">
        <x:v>0.05</x:v>
      </x:c>
      <x:c r="AF94" t="n">
        <x:v>12</x:v>
      </x:c>
      <x:c r="AG94" t="n">
        <x:v>12</x:v>
      </x:c>
      <x:c r="AH94" t="n">
        <x:v>24</x:v>
      </x:c>
      <x:c r="AI94" t="n">
        <x:v>8</x:v>
      </x:c>
      <x:c r="AJ94" t="n">
        <x:v>11</x:v>
      </x:c>
      <x:c r="AK94" t="n">
        <x:v>250</x:v>
      </x:c>
      <x:c r="AL94" t="str">
        <x:v>Fjernvarme;</x:v>
      </x:c>
      <x:c r="AM94" t="n">
        <x:v>1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1</x:v>
      </x:c>
      <x:c r="AS94" t="n">
        <x:v>1</x:v>
      </x:c>
      <x:c r="AT94" t="n">
        <x:v>1</x:v>
      </x:c>
      <x:c r="AU94" t="str">
        <x:v>energiattester_export_2025-08-14.json | PDF vedlegg side 5-7</x:v>
      </x:c>
      <x:c r="AV94" s="12" t="n">
        <x:f>IF(COUNT(O94,P94,Q94,R94,K94,L94,M94,N94)=8,O94*K94+P94*L94+Q94*M94+R94*N94,"")</x:f>
        <x:v>556.31</x:v>
      </x:c>
      <x:c r="AW94" s="12" t="n">
        <x:f>IF(AND(ISNUMBER(AV94),H94&gt;0),AV94/H94,"")</x:f>
        <x:v>0.48123702422145326</x:v>
      </x:c>
      <x:c r="AX94" s="12" t="n">
        <x:f>IF(AND(ISNUMBER(AD94),H94&gt;0),AD94*H94*3600,"")</x:f>
        <x:v>136500479.99999997</x:v>
      </x:c>
      <x:c r="AY94" s="12" t="n">
        <x:f>IF(AND(ISNUMBER(Y94),H94&gt;0),Y94*H94,"")</x:f>
        <x:v>92480</x:v>
      </x:c>
      <x:c r="AZ94" t="str">
        <x:v>Høy</x:v>
      </x:c>
    </x:row>
    <x:row r="95" ht="22" customHeight="1">
      <x:c r="A95" t="str">
        <x:v>OT-7d0401a05f36</x:v>
      </x:c>
      <x:c r="B95" t="n">
        <x:v>2015</x:v>
      </x:c>
      <x:c r="C95" t="str">
        <x:v>Kontorbygg</x:v>
      </x:c>
      <x:c r="D95" t="str">
        <x:v>KONTORER, MED VENTILASJON OG KJØLEANLEGG</x:v>
      </x:c>
      <x:c r="E95" t="str">
        <x:v>F</x:v>
      </x:c>
      <x:c r="F95" t="str">
        <x:v>RED</x:v>
      </x:c>
      <x:c r="G95" t="n">
        <x:v>1971</x:v>
      </x:c>
      <x:c r="H95" t="n">
        <x:v>1155</x:v>
      </x:c>
      <x:c r="I95" t="n">
        <x:v>270.4</x:v>
      </x:c>
      <x:c r="J95" t="str">
        <x:v>PDF/avansert</x:v>
      </x:c>
      <x:c r="K95" t="n">
        <x:v>220</x:v>
      </x:c>
      <x:c r="L95" t="n">
        <x:v>725</x:v>
      </x:c>
      <x:c r="M95" t="n">
        <x:v>430</x:v>
      </x:c>
      <x:c r="N95" t="n">
        <x:v>114</x:v>
      </x:c>
      <x:c r="O95" t="n">
        <x:v>0.31</x:v>
      </x:c>
      <x:c r="P95" t="n">
        <x:v>0.4</x:v>
      </x:c>
      <x:c r="Q95" t="n">
        <x:v>0.12</x:v>
      </x:c>
      <x:c r="R95" t="n">
        <x:v>2.59</x:v>
      </x:c>
      <x:c r="S95" t="n">
        <x:v>60</x:v>
      </x:c>
      <x:c r="T95" t="n">
        <x:v>60</x:v>
      </x:c>
      <x:c r="U95" t="n">
        <x:v>3</x:v>
      </x:c>
      <x:c r="V95" t="n">
        <x:v>0.3</x:v>
      </x:c>
      <x:c r="W95" t="n">
        <x:v>10</x:v>
      </x:c>
      <x:c r="X95" t="n">
        <x:v>70</x:v>
      </x:c>
      <x:c r="Y95" t="n">
        <x:v>90</x:v>
      </x:c>
      <x:c r="Z95" t="n">
        <x:v>50</x:v>
      </x:c>
      <x:c r="AA95" t="n">
        <x:v>21</x:v>
      </x:c>
      <x:c r="AB95" t="n">
        <x:v>22</x:v>
      </x:c>
      <x:c r="AC95" t="n">
        <x:v>5</x:v>
      </x:c>
      <x:c r="AD95" t="n">
        <x:v>92.6</x:v>
      </x:c>
      <x:c r="AE95" t="n">
        <x:v>0.11</x:v>
      </x:c>
      <x:c r="AF95" t="n">
        <x:v>12</x:v>
      </x:c>
      <x:c r="AG95" t="n">
        <x:v>12</x:v>
      </x:c>
      <x:c r="AH95" t="n">
        <x:v>24</x:v>
      </x:c>
      <x:c r="AI95" t="n">
        <x:v>8</x:v>
      </x:c>
      <x:c r="AJ95" t="n">
        <x:v>11</x:v>
      </x:c>
      <x:c r="AK95" t="n">
        <x:v>250</x:v>
      </x:c>
      <x:c r="AL95" t="str">
        <x:v>Olje;</x:v>
      </x:c>
      <x:c r="AM95" t="n">
        <x:v>1</x:v>
      </x:c>
      <x:c r="AN95" t="n">
        <x:v>0</x:v>
      </x:c>
      <x:c r="AO95" t="n">
        <x:v>1</x:v>
      </x:c>
      <x:c r="AP95" t="n">
        <x:v>1</x:v>
      </x:c>
      <x:c r="AQ95" t="n">
        <x:v>0</x:v>
      </x:c>
      <x:c r="AR95" t="n">
        <x:v>1</x:v>
      </x:c>
      <x:c r="AS95" t="n">
        <x:v>1</x:v>
      </x:c>
      <x:c r="AT95" t="n">
        <x:v>1</x:v>
      </x:c>
      <x:c r="AU95" t="str">
        <x:v>energiattester_export_2025-08-14.json | PDF vedlegg side 5-7</x:v>
      </x:c>
      <x:c r="AV95" s="12" t="n">
        <x:f>IF(COUNT(O95,P95,Q95,R95,K95,L95,M95,N95)=8,O95*K95+P95*L95+Q95*M95+R95*N95,"")</x:f>
        <x:v>705.06</x:v>
      </x:c>
      <x:c r="AW95" s="12" t="n">
        <x:f>IF(AND(ISNUMBER(AV95),H95&gt;0),AV95/H95,"")</x:f>
        <x:v>0.6104415584415583</x:v>
      </x:c>
      <x:c r="AX95" s="12" t="n">
        <x:f>IF(AND(ISNUMBER(AD95),H95&gt;0),AD95*H95*3600,"")</x:f>
        <x:v>385030800</x:v>
      </x:c>
      <x:c r="AY95" s="12" t="n">
        <x:f>IF(AND(ISNUMBER(Y95),H95&gt;0),Y95*H95,"")</x:f>
        <x:v>103950</x:v>
      </x:c>
      <x:c r="AZ95" t="str">
        <x:v>Høy</x:v>
      </x:c>
    </x:row>
    <x:row r="96" ht="22" customHeight="1">
      <x:c r="A96" t="str">
        <x:v>OT-431822d18f49</x:v>
      </x:c>
      <x:c r="B96" t="n">
        <x:v>2015</x:v>
      </x:c>
      <x:c r="C96" t="str">
        <x:v>Kontorbygg</x:v>
      </x:c>
      <x:c r="D96" t="str">
        <x:v>KONTORER, MED VENTILASJON OG KJØLEANLEGG</x:v>
      </x:c>
      <x:c r="E96" t="str">
        <x:v>E</x:v>
      </x:c>
      <x:c r="F96" t="str">
        <x:v>RED</x:v>
      </x:c>
      <x:c r="G96" t="n">
        <x:v>1950</x:v>
      </x:c>
      <x:c r="H96" t="n">
        <x:v>2183</x:v>
      </x:c>
      <x:c r="I96" t="n">
        <x:v>208.9</x:v>
      </x:c>
      <x:c r="J96" t="str">
        <x:v>PDF/avansert</x:v>
      </x:c>
      <x:c r="K96" t="n">
        <x:v>643</x:v>
      </x:c>
      <x:c r="L96" t="n">
        <x:v>742</x:v>
      </x:c>
      <x:c r="M96" t="n">
        <x:v>741</x:v>
      </x:c>
      <x:c r="N96" t="n">
        <x:v>359</x:v>
      </x:c>
      <x:c r="O96" t="n">
        <x:v>0.36</x:v>
      </x:c>
      <x:c r="P96" t="n">
        <x:v>0.39</x:v>
      </x:c>
      <x:c r="Q96" t="n">
        <x:v>0.17</x:v>
      </x:c>
      <x:c r="R96" t="n">
        <x:v>1.62</x:v>
      </x:c>
      <x:c r="S96" t="n">
        <x:v>70</x:v>
      </x:c>
      <x:c r="T96" t="n">
        <x:v>70</x:v>
      </x:c>
      <x:c r="U96" t="n">
        <x:v>3</x:v>
      </x:c>
      <x:c r="V96" t="n">
        <x:v>0.3</x:v>
      </x:c>
      <x:c r="W96" t="n">
        <x:v>10</x:v>
      </x:c>
      <x:c r="X96" t="n">
        <x:v>91</x:v>
      </x:c>
      <x:c r="Y96" t="n">
        <x:v>100</x:v>
      </x:c>
      <x:c r="Z96" t="n">
        <x:v>30</x:v>
      </x:c>
      <x:c r="AA96" t="n">
        <x:v>21</x:v>
      </x:c>
      <x:c r="AB96" t="n">
        <x:v>22</x:v>
      </x:c>
      <x:c r="AC96" t="n">
        <x:v>4</x:v>
      </x:c>
      <x:c r="AD96" t="n">
        <x:v>67.8</x:v>
      </x:c>
      <x:c r="AE96" t="n">
        <x:v>0.08</x:v>
      </x:c>
      <x:c r="AF96" t="n">
        <x:v>12</x:v>
      </x:c>
      <x:c r="AG96" t="n">
        <x:v>12</x:v>
      </x:c>
      <x:c r="AH96" t="n">
        <x:v>24</x:v>
      </x:c>
      <x:c r="AI96" t="n">
        <x:v>8</x:v>
      </x:c>
      <x:c r="AJ96" t="n">
        <x:v>11</x:v>
      </x:c>
      <x:c r="AK96" t="n">
        <x:v>250</x:v>
      </x:c>
      <x:c r="AL96" t="str">
        <x:v>Direkte elektrisk;</x:v>
      </x:c>
      <x:c r="AM96" t="n">
        <x:v>1</x:v>
      </x:c>
      <x:c r="AN96" t="n">
        <x:v>0</x:v>
      </x:c>
      <x:c r="AO96" t="n">
        <x:v>1</x:v>
      </x:c>
      <x:c r="AP96" t="n">
        <x:v>0</x:v>
      </x:c>
      <x:c r="AQ96" t="n">
        <x:v>0</x:v>
      </x:c>
      <x:c r="AR96" t="n">
        <x:v>1</x:v>
      </x:c>
      <x:c r="AS96" t="n">
        <x:v>1</x:v>
      </x:c>
      <x:c r="AT96" t="n">
        <x:v>1</x:v>
      </x:c>
      <x:c r="AU96" t="str">
        <x:v>energiattester_export_2025-08-14.json | PDF vedlegg side 5-7</x:v>
      </x:c>
      <x:c r="AV96" s="12" t="n">
        <x:f>IF(COUNT(O96,P96,Q96,R96,K96,L96,M96,N96)=8,O96*K96+P96*L96+Q96*M96+R96*N96,"")</x:f>
        <x:v>1228.41</x:v>
      </x:c>
      <x:c r="AW96" s="12" t="n">
        <x:f>IF(AND(ISNUMBER(AV96),H96&gt;0),AV96/H96,"")</x:f>
        <x:v>0.5627164452588181</x:v>
      </x:c>
      <x:c r="AX96" s="12" t="n">
        <x:f>IF(AND(ISNUMBER(AD96),H96&gt;0),AD96*H96*3600,"")</x:f>
        <x:v>532826640</x:v>
      </x:c>
      <x:c r="AY96" s="12" t="n">
        <x:f>IF(AND(ISNUMBER(Y96),H96&gt;0),Y96*H96,"")</x:f>
        <x:v>218300</x:v>
      </x:c>
      <x:c r="AZ96" t="str">
        <x:v>Høy</x:v>
      </x:c>
    </x:row>
    <x:row r="97" ht="22" customHeight="1">
      <x:c r="A97" t="str">
        <x:v>OT-28b1ebeca8c1</x:v>
      </x:c>
      <x:c r="B97" t="n">
        <x:v>2015</x:v>
      </x:c>
      <x:c r="C97" t="str">
        <x:v>Forretningsbygg</x:v>
      </x:c>
      <x:c r="D97" t="str">
        <x:v>BUTIKK</x:v>
      </x:c>
      <x:c r="E97" t="str">
        <x:v>F</x:v>
      </x:c>
      <x:c r="F97" t="str">
        <x:v>RED</x:v>
      </x:c>
      <x:c r="G97" t="n">
        <x:v>1980</x:v>
      </x:c>
      <x:c r="H97" t="n">
        <x:v>1467</x:v>
      </x:c>
      <x:c r="I97" t="n">
        <x:v>305.4</x:v>
      </x:c>
      <x:c r="J97" t="str">
        <x:v>PDF/avansert</x:v>
      </x:c>
      <x:c r="K97" t="n">
        <x:v>171</x:v>
      </x:c>
      <x:c r="L97" t="n">
        <x:v>397</x:v>
      </x:c>
      <x:c r="M97" t="n">
        <x:v>726</x:v>
      </x:c>
      <x:c r="N97" t="n">
        <x:v>261</x:v>
      </x:c>
      <x:c r="O97" t="n">
        <x:v>0.36</x:v>
      </x:c>
      <x:c r="P97" t="n">
        <x:v>0.2</x:v>
      </x:c>
      <x:c r="Q97" t="n">
        <x:v>0.22</x:v>
      </x:c>
      <x:c r="R97" t="n">
        <x:v>1.8</x:v>
      </x:c>
      <x:c r="S97" t="n">
        <x:v>63</x:v>
      </x:c>
      <x:c r="T97" t="n">
        <x:v>63</x:v>
      </x:c>
      <x:c r="U97" t="n">
        <x:v>2.98</x:v>
      </x:c>
      <x:c r="V97" t="n">
        <x:v>0.22</x:v>
      </x:c>
      <x:c r="W97" t="n">
        <x:v>13.51</x:v>
      </x:c>
      <x:c r="X97" t="n">
        <x:v>89</x:v>
      </x:c>
      <x:c r="Y97" t="n">
        <x:v>80</x:v>
      </x:c>
      <x:c r="Z97" t="n">
        <x:v>41</x:v>
      </x:c>
      <x:c r="AA97" t="n">
        <x:v>21</x:v>
      </x:c>
      <x:c r="AB97" t="n">
        <x:v>22</x:v>
      </x:c>
      <x:c r="AC97" t="n">
        <x:v>2.98</x:v>
      </x:c>
      <x:c r="AD97" t="n">
        <x:v>120.3</x:v>
      </x:c>
      <x:c r="AE97" t="n">
        <x:v>0.07</x:v>
      </x:c>
      <x:c r="AF97" t="n">
        <x:v>12</x:v>
      </x:c>
      <x:c r="AG97" t="n">
        <x:v>12</x:v>
      </x:c>
      <x:c r="AH97" t="n">
        <x:v>24</x:v>
      </x:c>
      <x:c r="AI97" t="n">
        <x:v>15</x:v>
      </x:c>
      <x:c r="AJ97" t="n">
        <x:v>1</x:v>
      </x:c>
      <x:c r="AK97" t="n">
        <x:v>250</x:v>
      </x:c>
      <x:c r="AL97" t="str">
        <x:v>Direkte elektrisk;</x:v>
      </x:c>
      <x:c r="AM97" t="n">
        <x:v>0</x:v>
      </x:c>
      <x:c r="AN97" t="n">
        <x:v>0</x:v>
      </x:c>
      <x:c r="AO97" t="n">
        <x:v>1</x:v>
      </x:c>
      <x:c r="AP97" t="n">
        <x:v>1</x:v>
      </x:c>
      <x:c r="AQ97" t="n">
        <x:v>0</x:v>
      </x:c>
      <x:c r="AR97" t="n">
        <x:v>1</x:v>
      </x:c>
      <x:c r="AS97" t="n">
        <x:v>1</x:v>
      </x:c>
      <x:c r="AT97" t="n">
        <x:v>1</x:v>
      </x:c>
      <x:c r="AU97" t="str">
        <x:v>energiattester_export_2025-08-14.json | PDF vedlegg side 5-7</x:v>
      </x:c>
      <x:c r="AV97" s="12" t="n">
        <x:f>IF(COUNT(O97,P97,Q97,R97,K97,L97,M97,N97)=8,O97*K97+P97*L97+Q97*M97+R97*N97,"")</x:f>
        <x:v>770.48</x:v>
      </x:c>
      <x:c r="AW97" s="12" t="n">
        <x:f>IF(AND(ISNUMBER(AV97),H97&gt;0),AV97/H97,"")</x:f>
        <x:v>0.5252079072937968</x:v>
      </x:c>
      <x:c r="AX97" s="12" t="n">
        <x:f>IF(AND(ISNUMBER(AD97),H97&gt;0),AD97*H97*3600,"")</x:f>
        <x:v>635328360</x:v>
      </x:c>
      <x:c r="AY97" s="12" t="n">
        <x:f>IF(AND(ISNUMBER(Y97),H97&gt;0),Y97*H97,"")</x:f>
        <x:v>117360</x:v>
      </x:c>
      <x:c r="AZ97" t="str">
        <x:v>Høy</x:v>
      </x:c>
    </x:row>
    <x:row r="98" ht="22" customHeight="1">
      <x:c r="A98" t="str">
        <x:v>OT-2ab501139c58</x:v>
      </x:c>
      <x:c r="B98" t="n">
        <x:v>2015</x:v>
      </x:c>
      <x:c r="C98" t="str">
        <x:v>Kontorbygg</x:v>
      </x:c>
      <x:c r="D98" t="str">
        <x:v>KONTORER, ENKLE</x:v>
      </x:c>
      <x:c r="E98" t="str">
        <x:v>G</x:v>
      </x:c>
      <x:c r="F98" t="str">
        <x:v>RED</x:v>
      </x:c>
      <x:c r="G98" t="n">
        <x:v>1960</x:v>
      </x:c>
      <x:c r="H98" t="n">
        <x:v>349</x:v>
      </x:c>
      <x:c r="I98" t="n">
        <x:v>288.7</x:v>
      </x:c>
      <x:c r="J98" t="str">
        <x:v>PDF/avansert</x:v>
      </x:c>
      <x:c r="K98" t="n">
        <x:v>182</x:v>
      </x:c>
      <x:c r="L98" t="n">
        <x:v>349</x:v>
      </x:c>
      <x:c r="M98" t="n">
        <x:v>0</x:v>
      </x:c>
      <x:c r="N98" t="n">
        <x:v>81</x:v>
      </x:c>
      <x:c r="O98" t="n">
        <x:v>0.36</x:v>
      </x:c>
      <x:c r="P98" t="n">
        <x:v>0.2</x:v>
      </x:c>
      <x:c r="Q98" t="n">
        <x:v>0</x:v>
      </x:c>
      <x:c r="R98" t="n">
        <x:v>2.38</x:v>
      </x:c>
      <x:c r="S98" t="n">
        <x:v>0</x:v>
      </x:c>
      <x:c r="T98" t="n">
        <x:v>0</x:v>
      </x:c>
      <x:c r="U98" t="n">
        <x:v>2</x:v>
      </x:c>
      <x:c r="V98" t="n">
        <x:v>0.43</x:v>
      </x:c>
      <x:c r="W98" t="n">
        <x:v>7</x:v>
      </x:c>
      <x:c r="X98" t="n">
        <x:v>89</x:v>
      </x:c>
      <x:c r="Y98" t="n">
        <x:v>50</x:v>
      </x:c>
      <x:c r="Z98" t="n">
        <x:v>0</x:v>
      </x:c>
      <x:c r="AA98" t="n">
        <x:v>21</x:v>
      </x:c>
      <x:c r="AB98" t="n">
        <x:v>22</x:v>
      </x:c>
      <x:c r="AC98" t="n">
        <x:v>4</x:v>
      </x:c>
      <x:c r="AD98" t="n">
        <x:v>91.8</x:v>
      </x:c>
      <x:c r="AE98" t="n">
        <x:v>0.08</x:v>
      </x:c>
      <x:c r="AF98" t="n">
        <x:v>12</x:v>
      </x:c>
      <x:c r="AG98" t="n">
        <x:v>12</x:v>
      </x:c>
      <x:c r="AH98" t="n">
        <x:v>24</x:v>
      </x:c>
      <x:c r="AI98" t="n">
        <x:v>8</x:v>
      </x:c>
      <x:c r="AJ98" t="n">
        <x:v>11</x:v>
      </x:c>
      <x:c r="AK98" t="n">
        <x:v>250</x:v>
      </x:c>
      <x:c r="AL98" t="str">
        <x:v>Direkte elektrisk;</x:v>
      </x:c>
      <x:c r="AM98" t="n">
        <x:v>1</x:v>
      </x:c>
      <x:c r="AN98" t="n">
        <x:v>0</x:v>
      </x:c>
      <x:c r="AO98" t="n">
        <x:v>1</x:v>
      </x:c>
      <x:c r="AP98" t="n">
        <x:v>1</x:v>
      </x:c>
      <x:c r="AQ98" t="n">
        <x:v>0</x:v>
      </x:c>
      <x:c r="AR98" t="n">
        <x:v>1</x:v>
      </x:c>
      <x:c r="AS98" t="n">
        <x:v>1</x:v>
      </x:c>
      <x:c r="AT98" t="n">
        <x:v>1</x:v>
      </x:c>
      <x:c r="AU98" t="str">
        <x:v>energiattester_export_2025-08-14.json | PDF vedlegg side 5-7</x:v>
      </x:c>
      <x:c r="AV98" s="12" t="n">
        <x:f>IF(COUNT(O98,P98,Q98,R98,K98,L98,M98,N98)=8,O98*K98+P98*L98+Q98*M98+R98*N98,"")</x:f>
        <x:v>328.1</x:v>
      </x:c>
      <x:c r="AW98" s="12" t="n">
        <x:f>IF(AND(ISNUMBER(AV98),H98&gt;0),AV98/H98,"")</x:f>
        <x:v>0.9401146131805158</x:v>
      </x:c>
      <x:c r="AX98" s="12" t="n">
        <x:f>IF(AND(ISNUMBER(AD98),H98&gt;0),AD98*H98*3600,"")</x:f>
        <x:v>115337520</x:v>
      </x:c>
      <x:c r="AY98" s="12" t="n">
        <x:f>IF(AND(ISNUMBER(Y98),H98&gt;0),Y98*H98,"")</x:f>
        <x:v>17450</x:v>
      </x:c>
      <x:c r="AZ98" t="str">
        <x:v>Høy</x:v>
      </x:c>
    </x:row>
    <x:row r="99" ht="22" customHeight="1">
      <x:c r="A99" t="str">
        <x:v>OT-a239f900543d</x:v>
      </x:c>
      <x:c r="B99" t="n">
        <x:v>2015</x:v>
      </x:c>
      <x:c r="C99" t="str">
        <x:v>Forretningsbygg</x:v>
      </x:c>
      <x:c r="D99" t="str">
        <x:v>BUTIKK</x:v>
      </x:c>
      <x:c r="E99" t="str">
        <x:v>F</x:v>
      </x:c>
      <x:c r="F99" t="str">
        <x:v>RED</x:v>
      </x:c>
      <x:c r="G99" t="n">
        <x:v>1980</x:v>
      </x:c>
      <x:c r="H99" t="n">
        <x:v>1467</x:v>
      </x:c>
      <x:c r="I99" t="n">
        <x:v>305.4</x:v>
      </x:c>
      <x:c r="J99" t="str">
        <x:v>PDF/avansert</x:v>
      </x:c>
      <x:c r="K99" t="n">
        <x:v>171</x:v>
      </x:c>
      <x:c r="L99" t="n">
        <x:v>397</x:v>
      </x:c>
      <x:c r="M99" t="n">
        <x:v>726</x:v>
      </x:c>
      <x:c r="N99" t="n">
        <x:v>261</x:v>
      </x:c>
      <x:c r="O99" t="n">
        <x:v>0.36</x:v>
      </x:c>
      <x:c r="P99" t="n">
        <x:v>0.2</x:v>
      </x:c>
      <x:c r="Q99" t="n">
        <x:v>0.22</x:v>
      </x:c>
      <x:c r="R99" t="n">
        <x:v>1.8</x:v>
      </x:c>
      <x:c r="S99" t="n">
        <x:v>63</x:v>
      </x:c>
      <x:c r="T99" t="n">
        <x:v>63</x:v>
      </x:c>
      <x:c r="U99" t="n">
        <x:v>2.98</x:v>
      </x:c>
      <x:c r="V99" t="n">
        <x:v>0.22</x:v>
      </x:c>
      <x:c r="W99" t="n">
        <x:v>13.51</x:v>
      </x:c>
      <x:c r="X99" t="n">
        <x:v>89</x:v>
      </x:c>
      <x:c r="Y99" t="n">
        <x:v>80</x:v>
      </x:c>
      <x:c r="Z99" t="n">
        <x:v>41</x:v>
      </x:c>
      <x:c r="AA99" t="n">
        <x:v>21</x:v>
      </x:c>
      <x:c r="AB99" t="n">
        <x:v>22</x:v>
      </x:c>
      <x:c r="AC99" t="n">
        <x:v>2.98</x:v>
      </x:c>
      <x:c r="AD99" t="n">
        <x:v>120.3</x:v>
      </x:c>
      <x:c r="AE99" t="n">
        <x:v>0.07</x:v>
      </x:c>
      <x:c r="AF99" t="n">
        <x:v>12</x:v>
      </x:c>
      <x:c r="AG99" t="n">
        <x:v>12</x:v>
      </x:c>
      <x:c r="AH99" t="n">
        <x:v>24</x:v>
      </x:c>
      <x:c r="AI99" t="n">
        <x:v>15</x:v>
      </x:c>
      <x:c r="AJ99" t="n">
        <x:v>1</x:v>
      </x:c>
      <x:c r="AK99" t="n">
        <x:v>250</x:v>
      </x:c>
      <x:c r="AL99" t="str">
        <x:v>Direkte elektrisk;</x:v>
      </x:c>
      <x:c r="AM99" t="n">
        <x:v>1</x:v>
      </x:c>
      <x:c r="AN99" t="n">
        <x:v>0</x:v>
      </x:c>
      <x:c r="AO99" t="n">
        <x:v>1</x:v>
      </x:c>
      <x:c r="AP99" t="n">
        <x:v>1</x:v>
      </x:c>
      <x:c r="AQ99" t="n">
        <x:v>0</x:v>
      </x:c>
      <x:c r="AR99" t="n">
        <x:v>1</x:v>
      </x:c>
      <x:c r="AS99" t="n">
        <x:v>1</x:v>
      </x:c>
      <x:c r="AT99" t="n">
        <x:v>1</x:v>
      </x:c>
      <x:c r="AU99" t="str">
        <x:v>energiattester_export_2025-08-14.json | PDF vedlegg side 5-7</x:v>
      </x:c>
      <x:c r="AV99" s="12" t="n">
        <x:f>IF(COUNT(O99,P99,Q99,R99,K99,L99,M99,N99)=8,O99*K99+P99*L99+Q99*M99+R99*N99,"")</x:f>
        <x:v>770.48</x:v>
      </x:c>
      <x:c r="AW99" s="12" t="n">
        <x:f>IF(AND(ISNUMBER(AV99),H99&gt;0),AV99/H99,"")</x:f>
        <x:v>0.5252079072937968</x:v>
      </x:c>
      <x:c r="AX99" s="12" t="n">
        <x:f>IF(AND(ISNUMBER(AD99),H99&gt;0),AD99*H99*3600,"")</x:f>
        <x:v>635328360</x:v>
      </x:c>
      <x:c r="AY99" s="12" t="n">
        <x:f>IF(AND(ISNUMBER(Y99),H99&gt;0),Y99*H99,"")</x:f>
        <x:v>117360</x:v>
      </x:c>
      <x:c r="AZ99" t="str">
        <x:v>Høy</x:v>
      </x:c>
    </x:row>
    <x:row r="100" ht="22" customHeight="1">
      <x:c r="A100" t="str">
        <x:v>OT-6755f9a3addd</x:v>
      </x:c>
      <x:c r="B100" t="n">
        <x:v>2015</x:v>
      </x:c>
      <x:c r="C100" t="str">
        <x:v>Kontorbygg</x:v>
      </x:c>
      <x:c r="D100" t="str">
        <x:v>KONTORER, MED VENTILASJON OG KJØLEANLEGG</x:v>
      </x:c>
      <x:c r="E100" t="str">
        <x:v>D</x:v>
      </x:c>
      <x:c r="F100" t="str">
        <x:v>ORANGE</x:v>
      </x:c>
      <x:c r="G100" t="n">
        <x:v>1970</x:v>
      </x:c>
      <x:c r="H100" t="n">
        <x:v>4717</x:v>
      </x:c>
      <x:c r="I100" t="n">
        <x:v>174.4</x:v>
      </x:c>
      <x:c r="J100" t="str">
        <x:v>PDF/avansert</x:v>
      </x:c>
      <x:c r="K100" t="n">
        <x:v>1312</x:v>
      </x:c>
      <x:c r="L100" t="n">
        <x:v>1649</x:v>
      </x:c>
      <x:c r="M100" t="n">
        <x:v>348</x:v>
      </x:c>
      <x:c r="N100" t="n">
        <x:v>695</x:v>
      </x:c>
      <x:c r="O100" t="n">
        <x:v>0.46</x:v>
      </x:c>
      <x:c r="P100" t="n">
        <x:v>0.6</x:v>
      </x:c>
      <x:c r="Q100" t="n">
        <x:v>0.46</x:v>
      </x:c>
      <x:c r="R100" t="n">
        <x:v>1.36</x:v>
      </x:c>
      <x:c r="S100" t="n">
        <x:v>70</x:v>
      </x:c>
      <x:c r="T100" t="n">
        <x:v>70</x:v>
      </x:c>
      <x:c r="U100" t="n">
        <x:v>2.94</x:v>
      </x:c>
      <x:c r="V100" t="n">
        <x:v>0.55</x:v>
      </x:c>
      <x:c r="W100" t="n">
        <x:v>9.67</x:v>
      </x:c>
      <x:c r="X100" t="n">
        <x:v>147</x:v>
      </x:c>
      <x:c r="Y100" t="n">
        <x:v>94</x:v>
      </x:c>
      <x:c r="Z100" t="n">
        <x:v>24</x:v>
      </x:c>
      <x:c r="AA100" t="n">
        <x:v>21</x:v>
      </x:c>
      <x:c r="AB100" t="n">
        <x:v>22</x:v>
      </x:c>
      <x:c r="AC100" t="n">
        <x:v>3</x:v>
      </x:c>
      <x:c r="AD100" t="n">
        <x:v>43</x:v>
      </x:c>
      <x:c r="AE100" t="n">
        <x:v>0.09</x:v>
      </x:c>
      <x:c r="AF100" t="n">
        <x:v>12</x:v>
      </x:c>
      <x:c r="AG100" t="n">
        <x:v>12</x:v>
      </x:c>
      <x:c r="AH100" t="n">
        <x:v>24</x:v>
      </x:c>
      <x:c r="AI100" t="n">
        <x:v>8</x:v>
      </x:c>
      <x:c r="AJ100" t="n">
        <x:v>11</x:v>
      </x:c>
      <x:c r="AK100" t="n">
        <x:v>250</x:v>
      </x:c>
      <x:c r="AL100" t="str">
        <x:v>Direkte elektrisk; Fjernvarme; Varmepumpe;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1</x:v>
      </x:c>
      <x:c r="AS100" t="n">
        <x:v>1</x:v>
      </x:c>
      <x:c r="AT100" t="n">
        <x:v>1</x:v>
      </x:c>
      <x:c r="AU100" t="str">
        <x:v>energiattester_export_2025-08-14.json | PDF vedlegg side 5-7</x:v>
      </x:c>
      <x:c r="AV100" s="12" t="n">
        <x:f>IF(COUNT(O100,P100,Q100,R100,K100,L100,M100,N100)=8,O100*K100+P100*L100+Q100*M100+R100*N100,"")</x:f>
        <x:v>2698.2</x:v>
      </x:c>
      <x:c r="AW100" s="12" t="n">
        <x:f>IF(AND(ISNUMBER(AV100),H100&gt;0),AV100/H100,"")</x:f>
        <x:v>0.5720161119355522</x:v>
      </x:c>
      <x:c r="AX100" s="12" t="n">
        <x:f>IF(AND(ISNUMBER(AD100),H100&gt;0),AD100*H100*3600,"")</x:f>
        <x:v>730191600</x:v>
      </x:c>
      <x:c r="AY100" s="12" t="n">
        <x:f>IF(AND(ISNUMBER(Y100),H100&gt;0),Y100*H100,"")</x:f>
        <x:v>443398</x:v>
      </x:c>
      <x:c r="AZ100" t="str">
        <x:v>Høy</x:v>
      </x:c>
    </x:row>
    <x:row r="101" ht="22" customHeight="1">
      <x:c r="A101" t="str">
        <x:v>OT-04c5842efe9c</x:v>
      </x:c>
      <x:c r="B101" t="n">
        <x:v>2015</x:v>
      </x:c>
      <x:c r="C101" t="str">
        <x:v>Forretningsbygg</x:v>
      </x:c>
      <x:c r="D101" t="str">
        <x:v>BUTIKK</x:v>
      </x:c>
      <x:c r="E101" t="str">
        <x:v>B</x:v>
      </x:c>
      <x:c r="F101" t="str">
        <x:v>ORANGE</x:v>
      </x:c>
      <x:c r="G101" t="n">
        <x:v>1970</x:v>
      </x:c>
      <x:c r="H101" t="n">
        <x:v>2627</x:v>
      </x:c>
      <x:c r="I101" t="n">
        <x:v>131.1</x:v>
      </x:c>
      <x:c r="J101" t="str">
        <x:v>PDF/avansert</x:v>
      </x:c>
      <x:c r="K101" t="n">
        <x:v>529</x:v>
      </x:c>
      <x:c r="L101" t="n">
        <x:v>0</x:v>
      </x:c>
      <x:c r="M101" t="n">
        <x:v>1331</x:v>
      </x:c>
      <x:c r="N101" t="n">
        <x:v>80</x:v>
      </x:c>
      <x:c r="O101" t="n">
        <x:v>0.29</x:v>
      </x:c>
      <x:c r="P101" t="n">
        <x:v>0</x:v>
      </x:c>
      <x:c r="Q101" t="n">
        <x:v>0.15</x:v>
      </x:c>
      <x:c r="R101" t="n">
        <x:v>1.25</x:v>
      </x:c>
      <x:c r="S101" t="n">
        <x:v>80</x:v>
      </x:c>
      <x:c r="T101" t="n">
        <x:v>80</x:v>
      </x:c>
      <x:c r="U101" t="n">
        <x:v>2</x:v>
      </x:c>
      <x:c r="V101" t="n">
        <x:v>0.23</x:v>
      </x:c>
      <x:c r="W101" t="n">
        <x:v>13</x:v>
      </x:c>
      <x:c r="X101" t="n">
        <x:v>150</x:v>
      </x:c>
      <x:c r="Y101" t="n">
        <x:v>80</x:v>
      </x:c>
      <x:c r="Z101" t="n">
        <x:v>30</x:v>
      </x:c>
      <x:c r="AA101" t="n">
        <x:v>21</x:v>
      </x:c>
      <x:c r="AB101" t="n">
        <x:v>22</x:v>
      </x:c>
      <x:c r="AC101" t="n">
        <x:v>3.5</x:v>
      </x:c>
      <x:c r="AD101" t="n">
        <x:v>85.4</x:v>
      </x:c>
      <x:c r="AE101" t="n">
        <x:v>0.12</x:v>
      </x:c>
      <x:c r="AF101" t="n">
        <x:v>12</x:v>
      </x:c>
      <x:c r="AG101" t="n">
        <x:v>12</x:v>
      </x:c>
      <x:c r="AH101" t="n">
        <x:v>24</x:v>
      </x:c>
      <x:c r="AI101" t="n">
        <x:v>15</x:v>
      </x:c>
      <x:c r="AJ101" t="n">
        <x:v>1</x:v>
      </x:c>
      <x:c r="AK101" t="n">
        <x:v>250</x:v>
      </x:c>
      <x:c r="AL101" t="str">
        <x:v>Direkte elektrisk; Varmepumpe;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1</x:v>
      </x:c>
      <x:c r="AS101" t="n">
        <x:v>1</x:v>
      </x:c>
      <x:c r="AT101" t="n">
        <x:v>1</x:v>
      </x:c>
      <x:c r="AU101" t="str">
        <x:v>energiattester_export_2025-08-14.json | PDF vedlegg side 5-7</x:v>
      </x:c>
      <x:c r="AV101" s="12" t="n">
        <x:f>IF(COUNT(O101,P101,Q101,R101,K101,L101,M101,N101)=8,O101*K101+P101*L101+Q101*M101+R101*N101,"")</x:f>
        <x:v>453.06</x:v>
      </x:c>
      <x:c r="AW101" s="12" t="n">
        <x:f>IF(AND(ISNUMBER(AV101),H101&gt;0),AV101/H101,"")</x:f>
        <x:v>0.1724628854206319</x:v>
      </x:c>
      <x:c r="AX101" s="12" t="n">
        <x:f>IF(AND(ISNUMBER(AD101),H101&gt;0),AD101*H101*3600,"")</x:f>
        <x:v>807644880.0000001</x:v>
      </x:c>
      <x:c r="AY101" s="12" t="n">
        <x:f>IF(AND(ISNUMBER(Y101),H101&gt;0),Y101*H101,"")</x:f>
        <x:v>210160</x:v>
      </x:c>
      <x:c r="AZ101" t="str">
        <x:v>Høy</x:v>
      </x:c>
    </x:row>
    <x:row r="102" ht="22" customHeight="1">
      <x:c r="A102" t="str">
        <x:v>OT-37b01a72435d</x:v>
      </x:c>
      <x:c r="B102" t="n">
        <x:v>2015</x:v>
      </x:c>
      <x:c r="C102" t="str">
        <x:v>Kontorbygg</x:v>
      </x:c>
      <x:c r="D102" t="str">
        <x:v>KONTORER, MED VENTILASJON OG KJØLEANLEGG</x:v>
      </x:c>
      <x:c r="E102" t="str">
        <x:v>E</x:v>
      </x:c>
      <x:c r="F102" t="str">
        <x:v>RED</x:v>
      </x:c>
      <x:c r="G102" t="n">
        <x:v>1997</x:v>
      </x:c>
      <x:c r="H102" t="n">
        <x:v>1572</x:v>
      </x:c>
      <x:c r="I102" t="n">
        <x:v>211.9</x:v>
      </x:c>
      <x:c r="J102" t="str">
        <x:v>PDF/avansert</x:v>
      </x:c>
      <x:c r="K102" t="n">
        <x:v>394</x:v>
      </x:c>
      <x:c r="L102" t="n">
        <x:v>958</x:v>
      </x:c>
      <x:c r="M102" t="n">
        <x:v>965</x:v>
      </x:c>
      <x:c r="N102" t="n">
        <x:v>259</x:v>
      </x:c>
      <x:c r="O102" t="n">
        <x:v>0.34</x:v>
      </x:c>
      <x:c r="P102" t="n">
        <x:v>0.24</x:v>
      </x:c>
      <x:c r="Q102" t="n">
        <x:v>0.28</x:v>
      </x:c>
      <x:c r="R102" t="n">
        <x:v>2.34</x:v>
      </x:c>
      <x:c r="S102" t="n">
        <x:v>70</x:v>
      </x:c>
      <x:c r="T102" t="n">
        <x:v>70</x:v>
      </x:c>
      <x:c r="U102" t="n">
        <x:v>2.91</x:v>
      </x:c>
      <x:c r="V102" t="n">
        <x:v>0.57</x:v>
      </x:c>
      <x:c r="W102" t="n">
        <x:v>7</x:v>
      </x:c>
      <x:c r="X102" t="n">
        <x:v>115</x:v>
      </x:c>
      <x:c r="Y102" t="n">
        <x:v>110</x:v>
      </x:c>
      <x:c r="Z102" t="n">
        <x:v>70</x:v>
      </x:c>
      <x:c r="AA102" t="n">
        <x:v>21</x:v>
      </x:c>
      <x:c r="AB102" t="n">
        <x:v>22</x:v>
      </x:c>
      <x:c r="AC102" t="n">
        <x:v>4.5</x:v>
      </x:c>
      <x:c r="AD102" t="n">
        <x:v>60.6</x:v>
      </x:c>
      <x:c r="AE102" t="n">
        <x:v>0.12</x:v>
      </x:c>
      <x:c r="AF102" t="n">
        <x:v>12</x:v>
      </x:c>
      <x:c r="AG102" t="n">
        <x:v>12</x:v>
      </x:c>
      <x:c r="AH102" t="n">
        <x:v>24</x:v>
      </x:c>
      <x:c r="AI102" t="n">
        <x:v>8</x:v>
      </x:c>
      <x:c r="AJ102" t="n">
        <x:v>11</x:v>
      </x:c>
      <x:c r="AK102" t="n">
        <x:v>250</x:v>
      </x:c>
      <x:c r="AL102" t="str">
        <x:v>Direkte elektrisk; Varmepumpe;</x:v>
      </x:c>
      <x:c r="AM102" t="n">
        <x:v>0</x:v>
      </x:c>
      <x:c r="AN102" t="n">
        <x:v>0</x:v>
      </x:c>
      <x:c r="AO102" t="n">
        <x:v>1</x:v>
      </x:c>
      <x:c r="AP102" t="n">
        <x:v>0</x:v>
      </x:c>
      <x:c r="AQ102" t="n">
        <x:v>1</x:v>
      </x:c>
      <x:c r="AR102" t="n">
        <x:v>1</x:v>
      </x:c>
      <x:c r="AS102" t="n">
        <x:v>1</x:v>
      </x:c>
      <x:c r="AT102" t="n">
        <x:v>1</x:v>
      </x:c>
      <x:c r="AU102" t="str">
        <x:v>energiattester_export_2025-08-14.json | PDF vedlegg side 5-7</x:v>
      </x:c>
      <x:c r="AV102" s="12" t="n">
        <x:f>IF(COUNT(O102,P102,Q102,R102,K102,L102,M102,N102)=8,O102*K102+P102*L102+Q102*M102+R102*N102,"")</x:f>
        <x:v>1240.1399999999999</x:v>
      </x:c>
      <x:c r="AW102" s="12" t="n">
        <x:f>IF(AND(ISNUMBER(AV102),H102&gt;0),AV102/H102,"")</x:f>
        <x:v>0.7888931297709922</x:v>
      </x:c>
      <x:c r="AX102" s="12" t="n">
        <x:f>IF(AND(ISNUMBER(AD102),H102&gt;0),AD102*H102*3600,"")</x:f>
        <x:v>342947520</x:v>
      </x:c>
      <x:c r="AY102" s="12" t="n">
        <x:f>IF(AND(ISNUMBER(Y102),H102&gt;0),Y102*H102,"")</x:f>
        <x:v>172920</x:v>
      </x:c>
      <x:c r="AZ102" t="str">
        <x:v>Høy</x:v>
      </x:c>
    </x:row>
    <x:row r="103" ht="22" customHeight="1">
      <x:c r="A103" t="str">
        <x:v>OT-32e31bcd43ac</x:v>
      </x:c>
      <x:c r="B103" t="n">
        <x:v>2015</x:v>
      </x:c>
      <x:c r="C103" t="str">
        <x:v>Kontorbygg</x:v>
      </x:c>
      <x:c r="D103" t="str">
        <x:v>KONTORER, ENKLE</x:v>
      </x:c>
      <x:c r="E103" t="str">
        <x:v>D</x:v>
      </x:c>
      <x:c r="F103" t="str">
        <x:v>GREEN</x:v>
      </x:c>
      <x:c r="G103" t="n">
        <x:v>1998</x:v>
      </x:c>
      <x:c r="H103" t="n">
        <x:v>632</x:v>
      </x:c>
      <x:c r="I103" t="n">
        <x:v>178.5</x:v>
      </x:c>
      <x:c r="J103" t="str">
        <x:v>PDF/avansert</x:v>
      </x:c>
      <x:c r="K103" t="n">
        <x:v>100</x:v>
      </x:c>
      <x:c r="L103" t="n">
        <x:v>632</x:v>
      </x:c>
      <x:c r="M103" t="n">
        <x:v>0</x:v>
      </x:c>
      <x:c r="N103" t="n">
        <x:v>79</x:v>
      </x:c>
      <x:c r="O103" t="n">
        <x:v>0.22</x:v>
      </x:c>
      <x:c r="P103" t="n">
        <x:v>0.15</x:v>
      </x:c>
      <x:c r="Q103" t="n">
        <x:v>0</x:v>
      </x:c>
      <x:c r="R103" t="n">
        <x:v>2</x:v>
      </x:c>
      <x:c r="S103" t="n">
        <x:v>60</x:v>
      </x:c>
      <x:c r="T103" t="n">
        <x:v>60</x:v>
      </x:c>
      <x:c r="U103" t="n">
        <x:v>3.5</x:v>
      </x:c>
      <x:c r="V103" t="n">
        <x:v>0.43</x:v>
      </x:c>
      <x:c r="W103" t="n">
        <x:v>7</x:v>
      </x:c>
      <x:c r="X103" t="n">
        <x:v>82</x:v>
      </x:c>
      <x:c r="Y103" t="n">
        <x:v>80</x:v>
      </x:c>
      <x:c r="Z103" t="n">
        <x:v>0</x:v>
      </x:c>
      <x:c r="AA103" t="n">
        <x:v>21</x:v>
      </x:c>
      <x:c r="AB103" t="n">
        <x:v>22</x:v>
      </x:c>
      <x:c r="AC103" t="n">
        <x:v>2.5</x:v>
      </x:c>
      <x:c r="AD103" t="n">
        <x:v>22.9</x:v>
      </x:c>
      <x:c r="AE103" t="n">
        <x:v>0.09</x:v>
      </x:c>
      <x:c r="AF103" t="n">
        <x:v>12</x:v>
      </x:c>
      <x:c r="AG103" t="n">
        <x:v>12</x:v>
      </x:c>
      <x:c r="AH103" t="n">
        <x:v>24</x:v>
      </x:c>
      <x:c r="AI103" t="n">
        <x:v>8</x:v>
      </x:c>
      <x:c r="AJ103" t="n">
        <x:v>11</x:v>
      </x:c>
      <x:c r="AK103" t="n">
        <x:v>250</x:v>
      </x:c>
      <x:c r="AL103" t="str">
        <x:v>Direkte elektrisk; Fjernvarme;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1</x:v>
      </x:c>
      <x:c r="AU103" t="str">
        <x:v>energiattester_export_2025-08-14.json | PDF vedlegg side 5-7</x:v>
      </x:c>
      <x:c r="AV103" s="12" t="n">
        <x:f>IF(COUNT(O103,P103,Q103,R103,K103,L103,M103,N103)=8,O103*K103+P103*L103+Q103*M103+R103*N103,"")</x:f>
        <x:v>274.8</x:v>
      </x:c>
      <x:c r="AW103" s="12" t="n">
        <x:f>IF(AND(ISNUMBER(AV103),H103&gt;0),AV103/H103,"")</x:f>
        <x:v>0.4348101265822785</x:v>
      </x:c>
      <x:c r="AX103" s="12" t="n">
        <x:f>IF(AND(ISNUMBER(AD103),H103&gt;0),AD103*H103*3600,"")</x:f>
        <x:v>52102080</x:v>
      </x:c>
      <x:c r="AY103" s="12" t="n">
        <x:f>IF(AND(ISNUMBER(Y103),H103&gt;0),Y103*H103,"")</x:f>
        <x:v>50560</x:v>
      </x:c>
      <x:c r="AZ103" t="str">
        <x:v>Høy</x:v>
      </x:c>
    </x:row>
    <x:row r="104" ht="22" customHeight="1">
      <x:c r="A104" t="str">
        <x:v>OT-58d3b885497c</x:v>
      </x:c>
      <x:c r="B104" t="n">
        <x:v>2015</x:v>
      </x:c>
      <x:c r="C104" t="str">
        <x:v>Kontorbygg</x:v>
      </x:c>
      <x:c r="D104" t="str">
        <x:v>KONTORER, ENKLE</x:v>
      </x:c>
      <x:c r="E104" t="str">
        <x:v>D</x:v>
      </x:c>
      <x:c r="F104" t="str">
        <x:v>RED</x:v>
      </x:c>
      <x:c r="G104" t="n">
        <x:v>2014</x:v>
      </x:c>
      <x:c r="H104" t="n">
        <x:v>3732</x:v>
      </x:c>
      <x:c r="I104" t="n">
        <x:v>163</x:v>
      </x:c>
      <x:c r="J104" t="str">
        <x:v>PDF/avansert</x:v>
      </x:c>
      <x:c r="K104" t="n">
        <x:v>515</x:v>
      </x:c>
      <x:c r="L104" t="n">
        <x:v>541</x:v>
      </x:c>
      <x:c r="M104" t="n">
        <x:v>667</x:v>
      </x:c>
      <x:c r="N104" t="n">
        <x:v>622</x:v>
      </x:c>
      <x:c r="O104" t="n">
        <x:v>0.28</x:v>
      </x:c>
      <x:c r="P104" t="n">
        <x:v>0.4</x:v>
      </x:c>
      <x:c r="Q104" t="n">
        <x:v>0.24</x:v>
      </x:c>
      <x:c r="R104" t="n">
        <x:v>1.21</x:v>
      </x:c>
      <x:c r="S104" t="n">
        <x:v>80</x:v>
      </x:c>
      <x:c r="T104" t="n">
        <x:v>80</x:v>
      </x:c>
      <x:c r="U104" t="n">
        <x:v>2</x:v>
      </x:c>
      <x:c r="V104" t="n">
        <x:v>0.19</x:v>
      </x:c>
      <x:c r="W104" t="n">
        <x:v>10</x:v>
      </x:c>
      <x:c r="X104" t="n">
        <x:v>90</x:v>
      </x:c>
      <x:c r="Y104" t="n">
        <x:v>110</x:v>
      </x:c>
      <x:c r="Z104" t="n">
        <x:v>120</x:v>
      </x:c>
      <x:c r="AA104" t="n">
        <x:v>21</x:v>
      </x:c>
      <x:c r="AB104" t="n">
        <x:v>22</x:v>
      </x:c>
      <x:c r="AC104" t="n">
        <x:v>2</x:v>
      </x:c>
      <x:c r="AD104" t="n">
        <x:v>7.5</x:v>
      </x:c>
      <x:c r="AE104" t="n">
        <x:v>0.12</x:v>
      </x:c>
      <x:c r="AF104" t="n">
        <x:v>12</x:v>
      </x:c>
      <x:c r="AG104" t="n">
        <x:v>12</x:v>
      </x:c>
      <x:c r="AH104" t="n">
        <x:v>24</x:v>
      </x:c>
      <x:c r="AI104" t="n">
        <x:v>8</x:v>
      </x:c>
      <x:c r="AJ104" t="n">
        <x:v>11</x:v>
      </x:c>
      <x:c r="AK104" t="n">
        <x:v>250</x:v>
      </x:c>
      <x:c r="AL104" t="str">
        <x:v>Direkte elektrisk;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1</x:v>
      </x:c>
      <x:c r="AS104" t="n">
        <x:v>0</x:v>
      </x:c>
      <x:c r="AT104" t="n">
        <x:v>1</x:v>
      </x:c>
      <x:c r="AU104" t="str">
        <x:v>energiattester_export_2025-08-14.json | PDF vedlegg side 5-7</x:v>
      </x:c>
      <x:c r="AV104" s="12" t="n">
        <x:f>IF(COUNT(O104,P104,Q104,R104,K104,L104,M104,N104)=8,O104*K104+P104*L104+Q104*M104+R104*N104,"")</x:f>
        <x:v>1273.3000000000002</x:v>
      </x:c>
      <x:c r="AW104" s="12" t="n">
        <x:f>IF(AND(ISNUMBER(AV104),H104&gt;0),AV104/H104,"")</x:f>
        <x:v>0.3411843515541265</x:v>
      </x:c>
      <x:c r="AX104" s="12" t="n">
        <x:f>IF(AND(ISNUMBER(AD104),H104&gt;0),AD104*H104*3600,"")</x:f>
        <x:v>100764000</x:v>
      </x:c>
      <x:c r="AY104" s="12" t="n">
        <x:f>IF(AND(ISNUMBER(Y104),H104&gt;0),Y104*H104,"")</x:f>
        <x:v>410520</x:v>
      </x:c>
      <x:c r="AZ104" t="str">
        <x:v>Høy</x:v>
      </x:c>
    </x:row>
    <x:row r="105" ht="22" customHeight="1">
      <x:c r="A105" t="str">
        <x:v>OT-33601f9c2786</x:v>
      </x:c>
      <x:c r="B105" t="n">
        <x:v>2015</x:v>
      </x:c>
      <x:c r="C105" t="str">
        <x:v>Kontorbygg</x:v>
      </x:c>
      <x:c r="D105" t="str">
        <x:v>KONTORER, MED VENTILASJON OG KJØLEANLEGG</x:v>
      </x:c>
      <x:c r="E105" t="str">
        <x:v>E</x:v>
      </x:c>
      <x:c r="F105" t="str">
        <x:v>RED</x:v>
      </x:c>
      <x:c r="G105" t="n">
        <x:v>1987</x:v>
      </x:c>
      <x:c r="H105" t="n">
        <x:v>1708</x:v>
      </x:c>
      <x:c r="I105" t="n">
        <x:v>201.6</x:v>
      </x:c>
      <x:c r="J105" t="str">
        <x:v>PDF/avansert</x:v>
      </x:c>
      <x:c r="K105" t="n">
        <x:v>1284</x:v>
      </x:c>
      <x:c r="L105" t="n">
        <x:v>570</x:v>
      </x:c>
      <x:c r="M105" t="n">
        <x:v>433</x:v>
      </x:c>
      <x:c r="N105" t="n">
        <x:v>180</x:v>
      </x:c>
      <x:c r="O105" t="n">
        <x:v>0.28</x:v>
      </x:c>
      <x:c r="P105" t="n">
        <x:v>0.25</x:v>
      </x:c>
      <x:c r="Q105" t="n">
        <x:v>0.15</x:v>
      </x:c>
      <x:c r="R105" t="n">
        <x:v>2.49</x:v>
      </x:c>
      <x:c r="S105" t="n">
        <x:v>70</x:v>
      </x:c>
      <x:c r="T105" t="n">
        <x:v>70</x:v>
      </x:c>
      <x:c r="U105" t="n">
        <x:v>2</x:v>
      </x:c>
      <x:c r="V105" t="n">
        <x:v>0.45</x:v>
      </x:c>
      <x:c r="W105" t="n">
        <x:v>10</x:v>
      </x:c>
      <x:c r="X105" t="n">
        <x:v>98</x:v>
      </x:c>
      <x:c r="Y105" t="n">
        <x:v>61</x:v>
      </x:c>
      <x:c r="Z105" t="n">
        <x:v>18</x:v>
      </x:c>
      <x:c r="AA105" t="n">
        <x:v>21</x:v>
      </x:c>
      <x:c r="AB105" t="n">
        <x:v>22</x:v>
      </x:c>
      <x:c r="AC105" t="n">
        <x:v>3.5</x:v>
      </x:c>
      <x:c r="AD105" t="n">
        <x:v>185.3</x:v>
      </x:c>
      <x:c r="AE105" t="n">
        <x:v>0.12</x:v>
      </x:c>
      <x:c r="AF105" t="n">
        <x:v>12</x:v>
      </x:c>
      <x:c r="AG105" t="n">
        <x:v>12</x:v>
      </x:c>
      <x:c r="AH105" t="n">
        <x:v>24</x:v>
      </x:c>
      <x:c r="AI105" t="n">
        <x:v>8</x:v>
      </x:c>
      <x:c r="AJ105" t="n">
        <x:v>11</x:v>
      </x:c>
      <x:c r="AK105" t="n">
        <x:v>250</x:v>
      </x:c>
      <x:c r="AL105" t="str">
        <x:v>Direkte elektrisk;</x:v>
      </x:c>
      <x:c r="AM105" t="n">
        <x:v>0</x:v>
      </x:c>
      <x:c r="AN105" t="n">
        <x:v>0</x:v>
      </x:c>
      <x:c r="AO105" t="n">
        <x:v>1</x:v>
      </x:c>
      <x:c r="AP105" t="n">
        <x:v>0</x:v>
      </x:c>
      <x:c r="AQ105" t="n">
        <x:v>0</x:v>
      </x:c>
      <x:c r="AR105" t="n">
        <x:v>0</x:v>
      </x:c>
      <x:c r="AS105" t="n">
        <x:v>1</x:v>
      </x:c>
      <x:c r="AT105" t="n">
        <x:v>1</x:v>
      </x:c>
      <x:c r="AU105" t="str">
        <x:v>energiattester_export_2025-08-14.json | PDF vedlegg side 5-7</x:v>
      </x:c>
      <x:c r="AV105" s="12" t="n">
        <x:f>IF(COUNT(O105,P105,Q105,R105,K105,L105,M105,N105)=8,O105*K105+P105*L105+Q105*M105+R105*N105,"")</x:f>
        <x:v>1015.1700000000001</x:v>
      </x:c>
      <x:c r="AW105" s="12" t="n">
        <x:f>IF(AND(ISNUMBER(AV105),H105&gt;0),AV105/H105,"")</x:f>
        <x:v>0.5943618266978923</x:v>
      </x:c>
      <x:c r="AX105" s="12" t="n">
        <x:f>IF(AND(ISNUMBER(AD105),H105&gt;0),AD105*H105*3600,"")</x:f>
        <x:v>1139372640</x:v>
      </x:c>
      <x:c r="AY105" s="12" t="n">
        <x:f>IF(AND(ISNUMBER(Y105),H105&gt;0),Y105*H105,"")</x:f>
        <x:v>104188</x:v>
      </x:c>
      <x:c r="AZ105" t="str">
        <x:v>Høy</x:v>
      </x:c>
    </x:row>
    <x:row r="106" ht="22" customHeight="1">
      <x:c r="A106" t="str">
        <x:v>OT-fab2d0bf79d5</x:v>
      </x:c>
      <x:c r="B106" t="n">
        <x:v>2015</x:v>
      </x:c>
      <x:c r="C106" t="str">
        <x:v>Kontorbygg</x:v>
      </x:c>
      <x:c r="D106" t="str">
        <x:v>ANNET KONTORBYGG</x:v>
      </x:c>
      <x:c r="E106" t="str">
        <x:v>E</x:v>
      </x:c>
      <x:c r="F106" t="str">
        <x:v>RED</x:v>
      </x:c>
      <x:c r="G106" t="n">
        <x:v>1960</x:v>
      </x:c>
      <x:c r="H106" t="n">
        <x:v>2758</x:v>
      </x:c>
      <x:c r="I106" t="n">
        <x:v>192.5</x:v>
      </x:c>
      <x:c r="J106" t="str">
        <x:v>PDF/avansert</x:v>
      </x:c>
      <x:c r="K106" t="n">
        <x:v>1115</x:v>
      </x:c>
      <x:c r="L106" t="n">
        <x:v>664</x:v>
      </x:c>
      <x:c r="M106" t="n">
        <x:v>167</x:v>
      </x:c>
      <x:c r="N106" t="n">
        <x:v>551</x:v>
      </x:c>
      <x:c r="O106" t="n">
        <x:v>0.29</x:v>
      </x:c>
      <x:c r="P106" t="n">
        <x:v>0.3</x:v>
      </x:c>
      <x:c r="Q106" t="n">
        <x:v>0.16</x:v>
      </x:c>
      <x:c r="R106" t="n">
        <x:v>2.49</x:v>
      </x:c>
      <x:c r="S106" t="n">
        <x:v>70</x:v>
      </x:c>
      <x:c r="T106" t="n">
        <x:v>70</x:v>
      </x:c>
      <x:c r="U106" t="n">
        <x:v>2</x:v>
      </x:c>
      <x:c r="V106" t="n">
        <x:v>0.18</x:v>
      </x:c>
      <x:c r="W106" t="n">
        <x:v>10</x:v>
      </x:c>
      <x:c r="X106" t="n">
        <x:v>98</x:v>
      </x:c>
      <x:c r="Y106" t="n">
        <x:v>64</x:v>
      </x:c>
      <x:c r="Z106" t="n">
        <x:v>18</x:v>
      </x:c>
      <x:c r="AA106" t="n">
        <x:v>21</x:v>
      </x:c>
      <x:c r="AB106" t="n">
        <x:v>22</x:v>
      </x:c>
      <x:c r="AC106" t="n">
        <x:v>3.5</x:v>
      </x:c>
      <x:c r="AD106" t="n">
        <x:v>149.5</x:v>
      </x:c>
      <x:c r="AE106" t="n">
        <x:v>0.12</x:v>
      </x:c>
      <x:c r="AF106" t="n">
        <x:v>12</x:v>
      </x:c>
      <x:c r="AG106" t="n">
        <x:v>12</x:v>
      </x:c>
      <x:c r="AH106" t="n">
        <x:v>24</x:v>
      </x:c>
      <x:c r="AI106" t="n">
        <x:v>8</x:v>
      </x:c>
      <x:c r="AJ106" t="n">
        <x:v>11</x:v>
      </x:c>
      <x:c r="AK106" t="n">
        <x:v>250</x:v>
      </x:c>
      <x:c r="AL106" t="str">
        <x:v>Direkte elektrisk;</x:v>
      </x:c>
      <x:c r="AM106" t="n">
        <x:v>0</x:v>
      </x:c>
      <x:c r="AN106" t="n">
        <x:v>0</x:v>
      </x:c>
      <x:c r="AO106" t="n">
        <x:v>1</x:v>
      </x:c>
      <x:c r="AP106" t="n">
        <x:v>0</x:v>
      </x:c>
      <x:c r="AQ106" t="n">
        <x:v>0</x:v>
      </x:c>
      <x:c r="AR106" t="n">
        <x:v>0</x:v>
      </x:c>
      <x:c r="AS106" t="n">
        <x:v>1</x:v>
      </x:c>
      <x:c r="AT106" t="n">
        <x:v>1</x:v>
      </x:c>
      <x:c r="AU106" t="str">
        <x:v>energiattester_export_2025-08-14.json | PDF vedlegg side 5-7</x:v>
      </x:c>
      <x:c r="AV106" s="12" t="n">
        <x:f>IF(COUNT(O106,P106,Q106,R106,K106,L106,M106,N106)=8,O106*K106+P106*L106+Q106*M106+R106*N106,"")</x:f>
        <x:v>1921.26</x:v>
      </x:c>
      <x:c r="AW106" s="12" t="n">
        <x:f>IF(AND(ISNUMBER(AV106),H106&gt;0),AV106/H106,"")</x:f>
        <x:v>0.6966134880348078</x:v>
      </x:c>
      <x:c r="AX106" s="12" t="n">
        <x:f>IF(AND(ISNUMBER(AD106),H106&gt;0),AD106*H106*3600,"")</x:f>
        <x:v>1484355600</x:v>
      </x:c>
      <x:c r="AY106" s="12" t="n">
        <x:f>IF(AND(ISNUMBER(Y106),H106&gt;0),Y106*H106,"")</x:f>
        <x:v>176512</x:v>
      </x:c>
      <x:c r="AZ106" t="str">
        <x:v>Høy</x:v>
      </x:c>
    </x:row>
    <x:row r="107" ht="22" customHeight="1">
      <x:c r="A107" t="str">
        <x:v>OT-e6d28eb3d43d</x:v>
      </x:c>
      <x:c r="B107" t="n">
        <x:v>2015</x:v>
      </x:c>
      <x:c r="C107" t="str">
        <x:v>Forretningsbygg</x:v>
      </x:c>
      <x:c r="D107" t="str">
        <x:v>BUTIKK</x:v>
      </x:c>
      <x:c r="E107" t="str">
        <x:v>E</x:v>
      </x:c>
      <x:c r="F107" t="str">
        <x:v>RED</x:v>
      </x:c>
      <x:c r="G107" t="n">
        <x:v>1955</x:v>
      </x:c>
      <x:c r="H107" t="n">
        <x:v>1842</x:v>
      </x:c>
      <x:c r="I107" t="n">
        <x:v>267.1</x:v>
      </x:c>
      <x:c r="J107" t="str">
        <x:v>PDF/avansert</x:v>
      </x:c>
      <x:c r="K107" t="n">
        <x:v>451</x:v>
      </x:c>
      <x:c r="L107" t="n">
        <x:v>615</x:v>
      </x:c>
      <x:c r="M107" t="n">
        <x:v>587</x:v>
      </x:c>
      <x:c r="N107" t="n">
        <x:v>173</x:v>
      </x:c>
      <x:c r="O107" t="n">
        <x:v>0.27</x:v>
      </x:c>
      <x:c r="P107" t="n">
        <x:v>0.3</x:v>
      </x:c>
      <x:c r="Q107" t="n">
        <x:v>0.16</x:v>
      </x:c>
      <x:c r="R107" t="n">
        <x:v>2.49</x:v>
      </x:c>
      <x:c r="S107" t="n">
        <x:v>70</x:v>
      </x:c>
      <x:c r="T107" t="n">
        <x:v>70</x:v>
      </x:c>
      <x:c r="U107" t="n">
        <x:v>2</x:v>
      </x:c>
      <x:c r="V107" t="n">
        <x:v>0.22</x:v>
      </x:c>
      <x:c r="W107" t="n">
        <x:v>20</x:v>
      </x:c>
      <x:c r="X107" t="n">
        <x:v>95</x:v>
      </x:c>
      <x:c r="Y107" t="n">
        <x:v>94</x:v>
      </x:c>
      <x:c r="Z107" t="n">
        <x:v>36</x:v>
      </x:c>
      <x:c r="AA107" t="n">
        <x:v>21</x:v>
      </x:c>
      <x:c r="AB107" t="n">
        <x:v>22</x:v>
      </x:c>
      <x:c r="AC107" t="n">
        <x:v>3.5</x:v>
      </x:c>
      <x:c r="AD107" t="n">
        <x:v>151.2</x:v>
      </x:c>
      <x:c r="AE107" t="n">
        <x:v>0.12</x:v>
      </x:c>
      <x:c r="AF107" t="n">
        <x:v>12</x:v>
      </x:c>
      <x:c r="AG107" t="n">
        <x:v>12</x:v>
      </x:c>
      <x:c r="AH107" t="n">
        <x:v>24</x:v>
      </x:c>
      <x:c r="AI107" t="n">
        <x:v>15</x:v>
      </x:c>
      <x:c r="AJ107" t="n">
        <x:v>1</x:v>
      </x:c>
      <x:c r="AK107" t="n">
        <x:v>250</x:v>
      </x:c>
      <x:c r="AL107" t="str">
        <x:v>Direkte elektrisk;</x:v>
      </x:c>
      <x:c r="AM107" t="n">
        <x:v>0</x:v>
      </x:c>
      <x:c r="AN107" t="n">
        <x:v>0</x:v>
      </x:c>
      <x:c r="AO107" t="n">
        <x:v>1</x:v>
      </x:c>
      <x:c r="AP107" t="n">
        <x:v>0</x:v>
      </x:c>
      <x:c r="AQ107" t="n">
        <x:v>0</x:v>
      </x:c>
      <x:c r="AR107" t="n">
        <x:v>0</x:v>
      </x:c>
      <x:c r="AS107" t="n">
        <x:v>1</x:v>
      </x:c>
      <x:c r="AT107" t="n">
        <x:v>1</x:v>
      </x:c>
      <x:c r="AU107" t="str">
        <x:v>energiattester_export_2025-08-14.json | PDF vedlegg side 5-7</x:v>
      </x:c>
      <x:c r="AV107" s="12" t="n">
        <x:f>IF(COUNT(O107,P107,Q107,R107,K107,L107,M107,N107)=8,O107*K107+P107*L107+Q107*M107+R107*N107,"")</x:f>
        <x:v>830.96</x:v>
      </x:c>
      <x:c r="AW107" s="12" t="n">
        <x:f>IF(AND(ISNUMBER(AV107),H107&gt;0),AV107/H107,"")</x:f>
        <x:v>0.4511183496199783</x:v>
      </x:c>
      <x:c r="AX107" s="12" t="n">
        <x:f>IF(AND(ISNUMBER(AD107),H107&gt;0),AD107*H107*3600,"")</x:f>
        <x:v>1002637439.9999999</x:v>
      </x:c>
      <x:c r="AY107" s="12" t="n">
        <x:f>IF(AND(ISNUMBER(Y107),H107&gt;0),Y107*H107,"")</x:f>
        <x:v>173148</x:v>
      </x:c>
      <x:c r="AZ107" t="str">
        <x:v>Høy</x:v>
      </x:c>
    </x:row>
    <x:row r="108" ht="22" customHeight="1">
      <x:c r="A108" t="str">
        <x:v>OT-c32df274e863</x:v>
      </x:c>
      <x:c r="B108" t="n">
        <x:v>2015</x:v>
      </x:c>
      <x:c r="C108" t="str">
        <x:v>Forretningsbygg</x:v>
      </x:c>
      <x:c r="D108" t="str">
        <x:v>BUTIKK</x:v>
      </x:c>
      <x:c r="E108" t="str">
        <x:v>D</x:v>
      </x:c>
      <x:c r="F108" t="str">
        <x:v>RED</x:v>
      </x:c>
      <x:c r="G108" t="n">
        <x:v>1946</x:v>
      </x:c>
      <x:c r="H108" t="n">
        <x:v>3712</x:v>
      </x:c>
      <x:c r="I108" t="n">
        <x:v>237.5</x:v>
      </x:c>
      <x:c r="J108" t="str">
        <x:v>PDF/avansert</x:v>
      </x:c>
      <x:c r="K108" t="n">
        <x:v>1476</x:v>
      </x:c>
      <x:c r="L108" t="n">
        <x:v>924</x:v>
      </x:c>
      <x:c r="M108" t="n">
        <x:v>841</x:v>
      </x:c>
      <x:c r="N108" t="n">
        <x:v>412</x:v>
      </x:c>
      <x:c r="O108" t="n">
        <x:v>0.29</x:v>
      </x:c>
      <x:c r="P108" t="n">
        <x:v>0.3</x:v>
      </x:c>
      <x:c r="Q108" t="n">
        <x:v>0.15</x:v>
      </x:c>
      <x:c r="R108" t="n">
        <x:v>2.06</x:v>
      </x:c>
      <x:c r="S108" t="n">
        <x:v>60</x:v>
      </x:c>
      <x:c r="T108" t="n">
        <x:v>60</x:v>
      </x:c>
      <x:c r="U108" t="n">
        <x:v>2</x:v>
      </x:c>
      <x:c r="V108" t="n">
        <x:v>0.21</x:v>
      </x:c>
      <x:c r="W108" t="n">
        <x:v>13</x:v>
      </x:c>
      <x:c r="X108" t="n">
        <x:v>98</x:v>
      </x:c>
      <x:c r="Y108" t="n">
        <x:v>80</x:v>
      </x:c>
      <x:c r="Z108" t="n">
        <x:v>24</x:v>
      </x:c>
      <x:c r="AA108" t="n">
        <x:v>21</x:v>
      </x:c>
      <x:c r="AB108" t="n">
        <x:v>22</x:v>
      </x:c>
      <x:c r="AC108" t="n">
        <x:v>3.5</x:v>
      </x:c>
      <x:c r="AD108" t="n">
        <x:v>167</x:v>
      </x:c>
      <x:c r="AE108" t="n">
        <x:v>0.2</x:v>
      </x:c>
      <x:c r="AF108" t="n">
        <x:v>12</x:v>
      </x:c>
      <x:c r="AG108" t="n">
        <x:v>12</x:v>
      </x:c>
      <x:c r="AH108" t="n">
        <x:v>24</x:v>
      </x:c>
      <x:c r="AI108" t="n">
        <x:v>15</x:v>
      </x:c>
      <x:c r="AJ108" t="n">
        <x:v>1</x:v>
      </x:c>
      <x:c r="AK108" t="n">
        <x:v>250</x:v>
      </x:c>
      <x:c r="AL108" t="str">
        <x:v>Direkte elektrisk;</x:v>
      </x:c>
      <x:c r="AM108" t="n">
        <x:v>0</x:v>
      </x:c>
      <x:c r="AN108" t="n">
        <x:v>0</x:v>
      </x:c>
      <x:c r="AO108" t="n">
        <x:v>1</x:v>
      </x:c>
      <x:c r="AP108" t="n">
        <x:v>0</x:v>
      </x:c>
      <x:c r="AQ108" t="n">
        <x:v>0</x:v>
      </x:c>
      <x:c r="AR108" t="n">
        <x:v>0</x:v>
      </x:c>
      <x:c r="AS108" t="n">
        <x:v>1</x:v>
      </x:c>
      <x:c r="AT108" t="n">
        <x:v>1</x:v>
      </x:c>
      <x:c r="AU108" t="str">
        <x:v>energiattester_export_2025-08-14.json | PDF vedlegg side 5-7</x:v>
      </x:c>
      <x:c r="AV108" s="12" t="n">
        <x:f>IF(COUNT(O108,P108,Q108,R108,K108,L108,M108,N108)=8,O108*K108+P108*L108+Q108*M108+R108*N108,"")</x:f>
        <x:v>1680.1100000000001</x:v>
      </x:c>
      <x:c r="AW108" s="12" t="n">
        <x:f>IF(AND(ISNUMBER(AV108),H108&gt;0),AV108/H108,"")</x:f>
        <x:v>0.4526158405172414</x:v>
      </x:c>
      <x:c r="AX108" s="12" t="n">
        <x:f>IF(AND(ISNUMBER(AD108),H108&gt;0),AD108*H108*3600,"")</x:f>
        <x:v>2231654400</x:v>
      </x:c>
      <x:c r="AY108" s="12" t="n">
        <x:f>IF(AND(ISNUMBER(Y108),H108&gt;0),Y108*H108,"")</x:f>
        <x:v>296960</x:v>
      </x:c>
      <x:c r="AZ108" t="str">
        <x:v>Høy</x:v>
      </x:c>
    </x:row>
    <x:row r="109" ht="22" customHeight="1">
      <x:c r="A109" t="str">
        <x:v>OT-2b15c70b84cd</x:v>
      </x:c>
      <x:c r="B109" t="n">
        <x:v>2015</x:v>
      </x:c>
      <x:c r="C109" t="str">
        <x:v>Forretningsbygg</x:v>
      </x:c>
      <x:c r="D109" t="str">
        <x:v>BUTIKK</x:v>
      </x:c>
      <x:c r="E109" t="str">
        <x:v>D</x:v>
      </x:c>
      <x:c r="F109" t="str">
        <x:v>GREEN</x:v>
      </x:c>
      <x:c r="G109" t="n">
        <x:v>1998</x:v>
      </x:c>
      <x:c r="H109" t="n">
        <x:v>354</x:v>
      </x:c>
      <x:c r="I109" t="n">
        <x:v>234.8</x:v>
      </x:c>
      <x:c r="J109" t="str">
        <x:v>PDF/avansert</x:v>
      </x:c>
      <x:c r="K109" t="n">
        <x:v>110</x:v>
      </x:c>
      <x:c r="L109" t="n">
        <x:v>0</x:v>
      </x:c>
      <x:c r="M109" t="n">
        <x:v>354</x:v>
      </x:c>
      <x:c r="N109" t="n">
        <x:v>46</x:v>
      </x:c>
      <x:c r="O109" t="n">
        <x:v>0.22</x:v>
      </x:c>
      <x:c r="P109" t="n">
        <x:v>0</x:v>
      </x:c>
      <x:c r="Q109" t="n">
        <x:v>0.14</x:v>
      </x:c>
      <x:c r="R109" t="n">
        <x:v>2.37</x:v>
      </x:c>
      <x:c r="S109" t="n">
        <x:v>60</x:v>
      </x:c>
      <x:c r="T109" t="n">
        <x:v>60</x:v>
      </x:c>
      <x:c r="U109" t="n">
        <x:v>3.5</x:v>
      </x:c>
      <x:c r="V109" t="n">
        <x:v>0.23</x:v>
      </x:c>
      <x:c r="W109" t="n">
        <x:v>13</x:v>
      </x:c>
      <x:c r="X109" t="n">
        <x:v>83</x:v>
      </x:c>
      <x:c r="Y109" t="n">
        <x:v>80</x:v>
      </x:c>
      <x:c r="Z109" t="n">
        <x:v>0</x:v>
      </x:c>
      <x:c r="AA109" t="n">
        <x:v>21</x:v>
      </x:c>
      <x:c r="AB109" t="n">
        <x:v>22</x:v>
      </x:c>
      <x:c r="AC109" t="n">
        <x:v>3</x:v>
      </x:c>
      <x:c r="AD109" t="n">
        <x:v>74</x:v>
      </x:c>
      <x:c r="AE109" t="n">
        <x:v>0.09</x:v>
      </x:c>
      <x:c r="AF109" t="n">
        <x:v>12</x:v>
      </x:c>
      <x:c r="AG109" t="n">
        <x:v>12</x:v>
      </x:c>
      <x:c r="AH109" t="n">
        <x:v>24</x:v>
      </x:c>
      <x:c r="AI109" t="n">
        <x:v>15</x:v>
      </x:c>
      <x:c r="AJ109" t="n">
        <x:v>1</x:v>
      </x:c>
      <x:c r="AK109" t="n">
        <x:v>250</x:v>
      </x:c>
      <x:c r="AL109" t="str">
        <x:v>Fjernvarme;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1</x:v>
      </x:c>
      <x:c r="AT109" t="n">
        <x:v>1</x:v>
      </x:c>
      <x:c r="AU109" t="str">
        <x:v>energiattester_export_2025-08-14.json | PDF vedlegg side 5-7</x:v>
      </x:c>
      <x:c r="AV109" s="12" t="n">
        <x:f>IF(COUNT(O109,P109,Q109,R109,K109,L109,M109,N109)=8,O109*K109+P109*L109+Q109*M109+R109*N109,"")</x:f>
        <x:v>182.78000000000003</x:v>
      </x:c>
      <x:c r="AW109" s="12" t="n">
        <x:f>IF(AND(ISNUMBER(AV109),H109&gt;0),AV109/H109,"")</x:f>
        <x:v>0.5163276836158193</x:v>
      </x:c>
      <x:c r="AX109" s="12" t="n">
        <x:f>IF(AND(ISNUMBER(AD109),H109&gt;0),AD109*H109*3600,"")</x:f>
        <x:v>94305600</x:v>
      </x:c>
      <x:c r="AY109" s="12" t="n">
        <x:f>IF(AND(ISNUMBER(Y109),H109&gt;0),Y109*H109,"")</x:f>
        <x:v>28320</x:v>
      </x:c>
      <x:c r="AZ109" t="str">
        <x:v>Høy</x:v>
      </x:c>
    </x:row>
    <x:row r="110" ht="22" customHeight="1">
      <x:c r="A110" t="str">
        <x:v>OT-366557327be6</x:v>
      </x:c>
      <x:c r="B110" t="n">
        <x:v>2015</x:v>
      </x:c>
      <x:c r="C110" t="str">
        <x:v>Kontorbygg</x:v>
      </x:c>
      <x:c r="D110" t="str">
        <x:v>KONTORER, MED VENTILASJON OG KJØLEANLEGG</x:v>
      </x:c>
      <x:c r="E110" t="str">
        <x:v>D</x:v>
      </x:c>
      <x:c r="F110" t="str">
        <x:v>RED</x:v>
      </x:c>
      <x:c r="G110" t="n">
        <x:v>1996</x:v>
      </x:c>
      <x:c r="H110" t="n">
        <x:v>1009</x:v>
      </x:c>
      <x:c r="I110" t="n">
        <x:v>164.3</x:v>
      </x:c>
      <x:c r="J110" t="str">
        <x:v>PDF/avansert</x:v>
      </x:c>
      <x:c r="K110" t="n">
        <x:v>395</x:v>
      </x:c>
      <x:c r="L110" t="n">
        <x:v>546</x:v>
      </x:c>
      <x:c r="M110" t="n">
        <x:v>406</x:v>
      </x:c>
      <x:c r="N110" t="n">
        <x:v>138</x:v>
      </x:c>
      <x:c r="O110" t="n">
        <x:v>0.3</x:v>
      </x:c>
      <x:c r="P110" t="n">
        <x:v>0.47</x:v>
      </x:c>
      <x:c r="Q110" t="n">
        <x:v>0.18</x:v>
      </x:c>
      <x:c r="R110" t="n">
        <x:v>2.12</x:v>
      </x:c>
      <x:c r="S110" t="n">
        <x:v>75</x:v>
      </x:c>
      <x:c r="T110" t="n">
        <x:v>75</x:v>
      </x:c>
      <x:c r="U110" t="n">
        <x:v>5</x:v>
      </x:c>
      <x:c r="V110" t="n">
        <x:v>5</x:v>
      </x:c>
      <x:c r="W110" t="n">
        <x:v>1.2</x:v>
      </x:c>
      <x:c r="X110" t="n">
        <x:v>81</x:v>
      </x:c>
      <x:c r="Y110" t="n">
        <x:v>80</x:v>
      </x:c>
      <x:c r="Z110" t="n">
        <x:v>0</x:v>
      </x:c>
      <x:c r="AA110" t="n">
        <x:v>21</x:v>
      </x:c>
      <x:c r="AB110" t="n">
        <x:v>22</x:v>
      </x:c>
      <x:c r="AC110" t="n">
        <x:v>3</x:v>
      </x:c>
      <x:c r="AD110" t="n">
        <x:v>86.7</x:v>
      </x:c>
      <x:c r="AE110" t="n">
        <x:v>0.06</x:v>
      </x:c>
      <x:c r="AF110" t="n">
        <x:v>12</x:v>
      </x:c>
      <x:c r="AG110" t="n">
        <x:v>12</x:v>
      </x:c>
      <x:c r="AH110" t="n">
        <x:v>24</x:v>
      </x:c>
      <x:c r="AI110" t="n">
        <x:v>8</x:v>
      </x:c>
      <x:c r="AJ110" t="n">
        <x:v>11</x:v>
      </x:c>
      <x:c r="AK110" t="n">
        <x:v>250</x:v>
      </x:c>
      <x:c r="AL110" t="str">
        <x:v>Direkte elektrisk;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1</x:v>
      </x:c>
      <x:c r="AS110" t="n">
        <x:v>1</x:v>
      </x:c>
      <x:c r="AT110" t="n">
        <x:v>0</x:v>
      </x:c>
      <x:c r="AU110" t="str">
        <x:v>energiattester_export_2025-08-14.json | PDF vedlegg side 5-7</x:v>
      </x:c>
      <x:c r="AV110" s="12" t="n">
        <x:f>IF(COUNT(O110,P110,Q110,R110,K110,L110,M110,N110)=8,O110*K110+P110*L110+Q110*M110+R110*N110,"")</x:f>
        <x:v>740.76</x:v>
      </x:c>
      <x:c r="AW110" s="12" t="n">
        <x:f>IF(AND(ISNUMBER(AV110),H110&gt;0),AV110/H110,"")</x:f>
        <x:v>0.7341526263627354</x:v>
      </x:c>
      <x:c r="AX110" s="12" t="n">
        <x:f>IF(AND(ISNUMBER(AD110),H110&gt;0),AD110*H110*3600,"")</x:f>
        <x:v>314929080</x:v>
      </x:c>
      <x:c r="AY110" s="12" t="n">
        <x:f>IF(AND(ISNUMBER(Y110),H110&gt;0),Y110*H110,"")</x:f>
        <x:v>80720</x:v>
      </x:c>
      <x:c r="AZ110" t="str">
        <x:v>Høy</x:v>
      </x:c>
    </x:row>
    <x:row r="111" ht="22" customHeight="1">
      <x:c r="A111" t="str">
        <x:v>OT-9328c16db231</x:v>
      </x:c>
      <x:c r="B111" t="n">
        <x:v>2015</x:v>
      </x:c>
      <x:c r="C111" t="str">
        <x:v>Forretningsbygg</x:v>
      </x:c>
      <x:c r="D111" t="str">
        <x:v>BUTIKK MED KJØLE- / FRYSEROM</x:v>
      </x:c>
      <x:c r="E111" t="str">
        <x:v>F</x:v>
      </x:c>
      <x:c r="F111" t="str">
        <x:v>RED</x:v>
      </x:c>
      <x:c r="G111" t="n">
        <x:v>1970</x:v>
      </x:c>
      <x:c r="H111" t="n">
        <x:v>1239</x:v>
      </x:c>
      <x:c r="I111" t="n">
        <x:v>372.4</x:v>
      </x:c>
      <x:c r="J111" t="str">
        <x:v>PDF/avansert</x:v>
      </x:c>
      <x:c r="K111" t="n">
        <x:v>314</x:v>
      </x:c>
      <x:c r="L111" t="n">
        <x:v>296</x:v>
      </x:c>
      <x:c r="M111" t="n">
        <x:v>972</x:v>
      </x:c>
      <x:c r="N111" t="n">
        <x:v>147</x:v>
      </x:c>
      <x:c r="O111" t="n">
        <x:v>0.32</x:v>
      </x:c>
      <x:c r="P111" t="n">
        <x:v>0.28</x:v>
      </x:c>
      <x:c r="Q111" t="n">
        <x:v>0.46</x:v>
      </x:c>
      <x:c r="R111" t="n">
        <x:v>2.36</x:v>
      </x:c>
      <x:c r="S111" t="n">
        <x:v>0</x:v>
      </x:c>
      <x:c r="T111" t="n">
        <x:v>0</x:v>
      </x:c>
      <x:c r="U111" t="n">
        <x:v>3</x:v>
      </x:c>
      <x:c r="V111" t="n">
        <x:v>0.23</x:v>
      </x:c>
      <x:c r="W111" t="n">
        <x:v>13</x:v>
      </x:c>
      <x:c r="X111" t="n">
        <x:v>89</x:v>
      </x:c>
      <x:c r="Y111" t="n">
        <x:v>50</x:v>
      </x:c>
      <x:c r="Z111" t="n">
        <x:v>0</x:v>
      </x:c>
      <x:c r="AA111" t="n">
        <x:v>21</x:v>
      </x:c>
      <x:c r="AB111" t="n">
        <x:v>22</x:v>
      </x:c>
      <x:c r="AC111" t="n">
        <x:v>3.5</x:v>
      </x:c>
      <x:c r="AD111" t="n">
        <x:v>109.4</x:v>
      </x:c>
      <x:c r="AE111" t="n">
        <x:v>0.07</x:v>
      </x:c>
      <x:c r="AF111" t="n">
        <x:v>12</x:v>
      </x:c>
      <x:c r="AG111" t="n">
        <x:v>12</x:v>
      </x:c>
      <x:c r="AH111" t="n">
        <x:v>24</x:v>
      </x:c>
      <x:c r="AI111" t="n">
        <x:v>15</x:v>
      </x:c>
      <x:c r="AJ111" t="n">
        <x:v>1</x:v>
      </x:c>
      <x:c r="AK111" t="n">
        <x:v>250</x:v>
      </x:c>
      <x:c r="AL111" t="str">
        <x:v>Direkte elektrisk;</x:v>
      </x:c>
      <x:c r="AM111" t="n">
        <x:v>1</x:v>
      </x:c>
      <x:c r="AN111" t="n">
        <x:v>0</x:v>
      </x:c>
      <x:c r="AO111" t="n">
        <x:v>0</x:v>
      </x:c>
      <x:c r="AP111" t="n">
        <x:v>1</x:v>
      </x:c>
      <x:c r="AQ111" t="n">
        <x:v>0</x:v>
      </x:c>
      <x:c r="AR111" t="n">
        <x:v>1</x:v>
      </x:c>
      <x:c r="AS111" t="n">
        <x:v>1</x:v>
      </x:c>
      <x:c r="AT111" t="n">
        <x:v>0</x:v>
      </x:c>
      <x:c r="AU111" t="str">
        <x:v>energiattester_export_2025-08-14.json | PDF vedlegg side 5-7</x:v>
      </x:c>
      <x:c r="AV111" s="12" t="n">
        <x:f>IF(COUNT(O111,P111,Q111,R111,K111,L111,M111,N111)=8,O111*K111+P111*L111+Q111*M111+R111*N111,"")</x:f>
        <x:v>977.4</x:v>
      </x:c>
      <x:c r="AW111" s="12" t="n">
        <x:f>IF(AND(ISNUMBER(AV111),H111&gt;0),AV111/H111,"")</x:f>
        <x:v>0.7888619854721549</x:v>
      </x:c>
      <x:c r="AX111" s="12" t="n">
        <x:f>IF(AND(ISNUMBER(AD111),H111&gt;0),AD111*H111*3600,"")</x:f>
        <x:v>487967760</x:v>
      </x:c>
      <x:c r="AY111" s="12" t="n">
        <x:f>IF(AND(ISNUMBER(Y111),H111&gt;0),Y111*H111,"")</x:f>
        <x:v>61950</x:v>
      </x:c>
      <x:c r="AZ111" t="str">
        <x:v>Høy</x:v>
      </x:c>
    </x:row>
    <x:row r="112" ht="22" customHeight="1">
      <x:c r="A112" t="str">
        <x:v>OT-915a33c02795</x:v>
      </x:c>
      <x:c r="B112" t="n">
        <x:v>2015</x:v>
      </x:c>
      <x:c r="C112" t="str">
        <x:v>Forretningsbygg</x:v>
      </x:c>
      <x:c r="D112" t="str">
        <x:v>BUTIKK</x:v>
      </x:c>
      <x:c r="E112" t="str">
        <x:v>G</x:v>
      </x:c>
      <x:c r="F112" t="str">
        <x:v>RED</x:v>
      </x:c>
      <x:c r="G112" t="n">
        <x:v>1905</x:v>
      </x:c>
      <x:c r="H112" t="n">
        <x:v>593</x:v>
      </x:c>
      <x:c r="I112" t="n">
        <x:v>403.1</x:v>
      </x:c>
      <x:c r="J112" t="str">
        <x:v>PDF/avansert</x:v>
      </x:c>
      <x:c r="K112" t="n">
        <x:v>353</x:v>
      </x:c>
      <x:c r="L112" t="n">
        <x:v>0</x:v>
      </x:c>
      <x:c r="M112" t="n">
        <x:v>314</x:v>
      </x:c>
      <x:c r="N112" t="n">
        <x:v>95</x:v>
      </x:c>
      <x:c r="O112" t="n">
        <x:v>0.84</x:v>
      </x:c>
      <x:c r="P112" t="n">
        <x:v>0</x:v>
      </x:c>
      <x:c r="Q112" t="n">
        <x:v>0.32</x:v>
      </x:c>
      <x:c r="R112" t="n">
        <x:v>2.43</x:v>
      </x:c>
      <x:c r="S112" t="n">
        <x:v>8</x:v>
      </x:c>
      <x:c r="T112" t="n">
        <x:v>8</x:v>
      </x:c>
      <x:c r="U112" t="n">
        <x:v>2.06</x:v>
      </x:c>
      <x:c r="V112" t="n">
        <x:v>0.22</x:v>
      </x:c>
      <x:c r="W112" t="n">
        <x:v>13</x:v>
      </x:c>
      <x:c r="X112" t="n">
        <x:v>89</x:v>
      </x:c>
      <x:c r="Y112" t="n">
        <x:v>78</x:v>
      </x:c>
      <x:c r="Z112" t="n">
        <x:v>0</x:v>
      </x:c>
      <x:c r="AA112" t="n">
        <x:v>21</x:v>
      </x:c>
      <x:c r="AB112" t="n">
        <x:v>22</x:v>
      </x:c>
      <x:c r="AC112" t="n">
        <x:v>4</x:v>
      </x:c>
      <x:c r="AD112" t="n">
        <x:v>96.6</x:v>
      </x:c>
      <x:c r="AE112" t="n">
        <x:v>0.12</x:v>
      </x:c>
      <x:c r="AF112" t="n">
        <x:v>12</x:v>
      </x:c>
      <x:c r="AG112" t="n">
        <x:v>12</x:v>
      </x:c>
      <x:c r="AH112" t="n">
        <x:v>24</x:v>
      </x:c>
      <x:c r="AI112" t="n">
        <x:v>15</x:v>
      </x:c>
      <x:c r="AJ112" t="n">
        <x:v>1</x:v>
      </x:c>
      <x:c r="AK112" t="n">
        <x:v>250</x:v>
      </x:c>
      <x:c r="AL112" t="str">
        <x:v>Direkte elektrisk;</x:v>
      </x:c>
      <x:c r="AM112"/>
      <x:c r="AN112"/>
      <x:c r="AO112"/>
      <x:c r="AP112"/>
      <x:c r="AQ112"/>
      <x:c r="AR112"/>
      <x:c r="AS112"/>
      <x:c r="AT112"/>
      <x:c r="AU112" t="str">
        <x:v>energiattester_export_2025-08-14.json | PDF vedlegg side 5-7</x:v>
      </x:c>
      <x:c r="AV112" s="12" t="n">
        <x:f>IF(COUNT(O112,P112,Q112,R112,K112,L112,M112,N112)=8,O112*K112+P112*L112+Q112*M112+R112*N112,"")</x:f>
        <x:v>627.85</x:v>
      </x:c>
      <x:c r="AW112" s="12" t="n">
        <x:f>IF(AND(ISNUMBER(AV112),H112&gt;0),AV112/H112,"")</x:f>
        <x:v>1.058768971332209</x:v>
      </x:c>
      <x:c r="AX112" s="12" t="n">
        <x:f>IF(AND(ISNUMBER(AD112),H112&gt;0),AD112*H112*3600,"")</x:f>
        <x:v>206221679.99999997</x:v>
      </x:c>
      <x:c r="AY112" s="12" t="n">
        <x:f>IF(AND(ISNUMBER(Y112),H112&gt;0),Y112*H112,"")</x:f>
        <x:v>46254</x:v>
      </x:c>
      <x:c r="AZ112" t="str">
        <x:v>Høy</x:v>
      </x:c>
    </x:row>
    <x:row r="113" ht="22" customHeight="1">
      <x:c r="A113" t="str">
        <x:v>OT-322501390f5e</x:v>
      </x:c>
      <x:c r="B113" t="n">
        <x:v>2015</x:v>
      </x:c>
      <x:c r="C113" t="str">
        <x:v>Kontorbygg</x:v>
      </x:c>
      <x:c r="D113" t="str">
        <x:v>KONTORER, ENKLE</x:v>
      </x:c>
      <x:c r="E113" t="str">
        <x:v>D</x:v>
      </x:c>
      <x:c r="F113" t="str">
        <x:v>RED</x:v>
      </x:c>
      <x:c r="G113" t="n">
        <x:v>1905</x:v>
      </x:c>
      <x:c r="H113" t="n">
        <x:v>955</x:v>
      </x:c>
      <x:c r="I113" t="n">
        <x:v>170.9</x:v>
      </x:c>
      <x:c r="J113" t="str">
        <x:v>PDF/avansert</x:v>
      </x:c>
      <x:c r="K113" t="n">
        <x:v>83</x:v>
      </x:c>
      <x:c r="L113" t="n">
        <x:v>492</x:v>
      </x:c>
      <x:c r="M113" t="n">
        <x:v>0</x:v>
      </x:c>
      <x:c r="N113" t="n">
        <x:v>35</x:v>
      </x:c>
      <x:c r="O113" t="n">
        <x:v>0.7</x:v>
      </x:c>
      <x:c r="P113" t="n">
        <x:v>0.5</x:v>
      </x:c>
      <x:c r="Q113" t="n">
        <x:v>0</x:v>
      </x:c>
      <x:c r="R113" t="n">
        <x:v>2.14</x:v>
      </x:c>
      <x:c r="S113" t="n">
        <x:v>75</x:v>
      </x:c>
      <x:c r="T113" t="n">
        <x:v>75</x:v>
      </x:c>
      <x:c r="U113" t="n">
        <x:v>3.96</x:v>
      </x:c>
      <x:c r="V113" t="n">
        <x:v>0.43</x:v>
      </x:c>
      <x:c r="W113" t="n">
        <x:v>7</x:v>
      </x:c>
      <x:c r="X113" t="n">
        <x:v>92</x:v>
      </x:c>
      <x:c r="Y113" t="n">
        <x:v>120</x:v>
      </x:c>
      <x:c r="Z113" t="n">
        <x:v>30</x:v>
      </x:c>
      <x:c r="AA113" t="n">
        <x:v>21</x:v>
      </x:c>
      <x:c r="AB113" t="n">
        <x:v>22</x:v>
      </x:c>
      <x:c r="AC113" t="n">
        <x:v>5</x:v>
      </x:c>
      <x:c r="AD113" t="n">
        <x:v>28.5</x:v>
      </x:c>
      <x:c r="AE113" t="n">
        <x:v>0.12</x:v>
      </x:c>
      <x:c r="AF113" t="n">
        <x:v>12</x:v>
      </x:c>
      <x:c r="AG113" t="n">
        <x:v>12</x:v>
      </x:c>
      <x:c r="AH113" t="n">
        <x:v>24</x:v>
      </x:c>
      <x:c r="AI113" t="n">
        <x:v>8</x:v>
      </x:c>
      <x:c r="AJ113" t="n">
        <x:v>11</x:v>
      </x:c>
      <x:c r="AK113" t="n">
        <x:v>250</x:v>
      </x:c>
      <x:c r="AL113" t="str">
        <x:v>Direkte elektrisk;</x:v>
      </x:c>
      <x:c r="AM113"/>
      <x:c r="AN113"/>
      <x:c r="AO113"/>
      <x:c r="AP113"/>
      <x:c r="AQ113"/>
      <x:c r="AR113"/>
      <x:c r="AS113"/>
      <x:c r="AT113"/>
      <x:c r="AU113" t="str">
        <x:v>energiattester_export_2025-08-14.json | PDF vedlegg side 5-7</x:v>
      </x:c>
      <x:c r="AV113" s="12" t="n">
        <x:f>IF(COUNT(O113,P113,Q113,R113,K113,L113,M113,N113)=8,O113*K113+P113*L113+Q113*M113+R113*N113,"")</x:f>
        <x:v>379</x:v>
      </x:c>
      <x:c r="AW113" s="12" t="n">
        <x:f>IF(AND(ISNUMBER(AV113),H113&gt;0),AV113/H113,"")</x:f>
        <x:v>0.3968586387434555</x:v>
      </x:c>
      <x:c r="AX113" s="12" t="n">
        <x:f>IF(AND(ISNUMBER(AD113),H113&gt;0),AD113*H113*3600,"")</x:f>
        <x:v>97983000</x:v>
      </x:c>
      <x:c r="AY113" s="12" t="n">
        <x:f>IF(AND(ISNUMBER(Y113),H113&gt;0),Y113*H113,"")</x:f>
        <x:v>114600</x:v>
      </x:c>
      <x:c r="AZ113" t="str">
        <x:v>Høy</x:v>
      </x:c>
    </x:row>
    <x:row r="114" ht="22" customHeight="1">
      <x:c r="A114" t="str">
        <x:v>OT-eabd81488c3c</x:v>
      </x:c>
      <x:c r="B114" t="n">
        <x:v>2015</x:v>
      </x:c>
      <x:c r="C114" t="str">
        <x:v>Hoteller</x:v>
      </x:c>
      <x:c r="D114" t="str">
        <x:v>HOTELLBYGNING</x:v>
      </x:c>
      <x:c r="E114" t="str">
        <x:v>E</x:v>
      </x:c>
      <x:c r="F114" t="str">
        <x:v>RED</x:v>
      </x:c>
      <x:c r="G114" t="n">
        <x:v>1950</x:v>
      </x:c>
      <x:c r="H114" t="n">
        <x:v>6353</x:v>
      </x:c>
      <x:c r="I114" t="n">
        <x:v>326.3</x:v>
      </x:c>
      <x:c r="J114" t="str">
        <x:v>PDF/avansert</x:v>
      </x:c>
      <x:c r="K114" t="n">
        <x:v>1792</x:v>
      </x:c>
      <x:c r="L114" t="n">
        <x:v>1824</x:v>
      </x:c>
      <x:c r="M114" t="n">
        <x:v>1320</x:v>
      </x:c>
      <x:c r="N114" t="n">
        <x:v>656</x:v>
      </x:c>
      <x:c r="O114" t="n">
        <x:v>0.49</x:v>
      </x:c>
      <x:c r="P114" t="n">
        <x:v>0.4</x:v>
      </x:c>
      <x:c r="Q114" t="n">
        <x:v>0.16</x:v>
      </x:c>
      <x:c r="R114" t="n">
        <x:v>1.89</x:v>
      </x:c>
      <x:c r="S114" t="n">
        <x:v>16</x:v>
      </x:c>
      <x:c r="T114" t="n">
        <x:v>16</x:v>
      </x:c>
      <x:c r="U114" t="n">
        <x:v>2.08</x:v>
      </x:c>
      <x:c r="V114" t="n">
        <x:v>0.43</x:v>
      </x:c>
      <x:c r="W114" t="n">
        <x:v>7</x:v>
      </x:c>
      <x:c r="X114" t="n">
        <x:v>89</x:v>
      </x:c>
      <x:c r="Y114" t="n">
        <x:v>126</x:v>
      </x:c>
      <x:c r="Z114" t="n">
        <x:v>0</x:v>
      </x:c>
      <x:c r="AA114" t="n">
        <x:v>21</x:v>
      </x:c>
      <x:c r="AB114" t="n">
        <x:v>22</x:v>
      </x:c>
      <x:c r="AC114" t="n">
        <x:v>3.32</x:v>
      </x:c>
      <x:c r="AD114" t="n">
        <x:v>85.7</x:v>
      </x:c>
      <x:c r="AE114" t="n">
        <x:v>0.12</x:v>
      </x:c>
      <x:c r="AF114" t="n">
        <x:v>16</x:v>
      </x:c>
      <x:c r="AG114" t="n">
        <x:v>16</x:v>
      </x:c>
      <x:c r="AH114" t="n">
        <x:v>24</x:v>
      </x:c>
      <x:c r="AI114" t="n">
        <x:v>8</x:v>
      </x:c>
      <x:c r="AJ114" t="n">
        <x:v>1</x:v>
      </x:c>
      <x:c r="AK114" t="n">
        <x:v>250</x:v>
      </x:c>
      <x:c r="AL114" t="str">
        <x:v>Direkte elektrisk;</x:v>
      </x:c>
      <x:c r="AM114"/>
      <x:c r="AN114"/>
      <x:c r="AO114"/>
      <x:c r="AP114"/>
      <x:c r="AQ114"/>
      <x:c r="AR114"/>
      <x:c r="AS114"/>
      <x:c r="AT114"/>
      <x:c r="AU114" t="str">
        <x:v>energiattester_export_2025-08-14.json | PDF vedlegg side 5-7</x:v>
      </x:c>
      <x:c r="AV114" s="12" t="n">
        <x:f>IF(COUNT(O114,P114,Q114,R114,K114,L114,M114,N114)=8,O114*K114+P114*L114+Q114*M114+R114*N114,"")</x:f>
        <x:v>3058.72</x:v>
      </x:c>
      <x:c r="AW114" s="12" t="n">
        <x:f>IF(AND(ISNUMBER(AV114),H114&gt;0),AV114/H114,"")</x:f>
        <x:v>0.4814607272154887</x:v>
      </x:c>
      <x:c r="AX114" s="12" t="n">
        <x:f>IF(AND(ISNUMBER(AD114),H114&gt;0),AD114*H114*3600,"")</x:f>
        <x:v>1960027560</x:v>
      </x:c>
      <x:c r="AY114" s="12" t="n">
        <x:f>IF(AND(ISNUMBER(Y114),H114&gt;0),Y114*H114,"")</x:f>
        <x:v>800478</x:v>
      </x:c>
      <x:c r="AZ114" t="str">
        <x:v>Høy</x:v>
      </x:c>
    </x:row>
    <x:row r="115" ht="22" customHeight="1">
      <x:c r="A115" t="str">
        <x:v>OT-7e2b458b3b90</x:v>
      </x:c>
      <x:c r="B115" t="n">
        <x:v>2015</x:v>
      </x:c>
      <x:c r="C115" t="str">
        <x:v>Forretningsbygg</x:v>
      </x:c>
      <x:c r="D115" t="str">
        <x:v>BUTIKK</x:v>
      </x:c>
      <x:c r="E115" t="str">
        <x:v>G</x:v>
      </x:c>
      <x:c r="F115" t="str">
        <x:v>RED</x:v>
      </x:c>
      <x:c r="G115" t="n">
        <x:v>1905</x:v>
      </x:c>
      <x:c r="H115" t="n">
        <x:v>67</x:v>
      </x:c>
      <x:c r="I115" t="n">
        <x:v>438.9</x:v>
      </x:c>
      <x:c r="J115" t="str">
        <x:v>PDF/avansert</x:v>
      </x:c>
      <x:c r="K115" t="n">
        <x:v>28</x:v>
      </x:c>
      <x:c r="L115" t="n">
        <x:v>0</x:v>
      </x:c>
      <x:c r="M115" t="n">
        <x:v>67</x:v>
      </x:c>
      <x:c r="N115" t="n">
        <x:v>10</x:v>
      </x:c>
      <x:c r="O115" t="n">
        <x:v>0.85</x:v>
      </x:c>
      <x:c r="P115" t="n">
        <x:v>0</x:v>
      </x:c>
      <x:c r="Q115" t="n">
        <x:v>0.34</x:v>
      </x:c>
      <x:c r="R115" t="n">
        <x:v>3.31</x:v>
      </x:c>
      <x:c r="S115" t="n">
        <x:v>0</x:v>
      </x:c>
      <x:c r="T115" t="n">
        <x:v>0</x:v>
      </x:c>
      <x:c r="U115" t="n">
        <x:v>2</x:v>
      </x:c>
      <x:c r="V115" t="n">
        <x:v>0.23</x:v>
      </x:c>
      <x:c r="W115" t="n">
        <x:v>13</x:v>
      </x:c>
      <x:c r="X115" t="n">
        <x:v>89</x:v>
      </x:c>
      <x:c r="Y115" t="n">
        <x:v>75</x:v>
      </x:c>
      <x:c r="Z115" t="n">
        <x:v>0</x:v>
      </x:c>
      <x:c r="AA115" t="n">
        <x:v>21</x:v>
      </x:c>
      <x:c r="AB115" t="n">
        <x:v>22</x:v>
      </x:c>
      <x:c r="AC115" t="n">
        <x:v>4</x:v>
      </x:c>
      <x:c r="AD115" t="n">
        <x:v>237.6</x:v>
      </x:c>
      <x:c r="AE115" t="n">
        <x:v>0.12</x:v>
      </x:c>
      <x:c r="AF115" t="n">
        <x:v>12</x:v>
      </x:c>
      <x:c r="AG115" t="n">
        <x:v>12</x:v>
      </x:c>
      <x:c r="AH115" t="n">
        <x:v>24</x:v>
      </x:c>
      <x:c r="AI115" t="n">
        <x:v>15</x:v>
      </x:c>
      <x:c r="AJ115" t="n">
        <x:v>1</x:v>
      </x:c>
      <x:c r="AK115" t="n">
        <x:v>250</x:v>
      </x:c>
      <x:c r="AL115" t="str">
        <x:v>Direkte elektrisk;</x:v>
      </x:c>
      <x:c r="AM115"/>
      <x:c r="AN115"/>
      <x:c r="AO115"/>
      <x:c r="AP115"/>
      <x:c r="AQ115"/>
      <x:c r="AR115"/>
      <x:c r="AS115"/>
      <x:c r="AT115"/>
      <x:c r="AU115" t="str">
        <x:v>energiattester_export_2025-08-14.json | PDF vedlegg side 5-7</x:v>
      </x:c>
      <x:c r="AV115" s="12" t="n">
        <x:f>IF(COUNT(O115,P115,Q115,R115,K115,L115,M115,N115)=8,O115*K115+P115*L115+Q115*M115+R115*N115,"")</x:f>
        <x:v>79.68</x:v>
      </x:c>
      <x:c r="AW115" s="12" t="n">
        <x:f>IF(AND(ISNUMBER(AV115),H115&gt;0),AV115/H115,"")</x:f>
        <x:v>1.1892537313432836</x:v>
      </x:c>
      <x:c r="AX115" s="12" t="n">
        <x:f>IF(AND(ISNUMBER(AD115),H115&gt;0),AD115*H115*3600,"")</x:f>
        <x:v>57309119.99999999</x:v>
      </x:c>
      <x:c r="AY115" s="12" t="n">
        <x:f>IF(AND(ISNUMBER(Y115),H115&gt;0),Y115*H115,"")</x:f>
        <x:v>5025</x:v>
      </x:c>
      <x:c r="AZ115" t="str">
        <x:v>Høy</x:v>
      </x:c>
    </x:row>
    <x:row r="116" ht="22" customHeight="1">
      <x:c r="A116" t="str">
        <x:v>OT-dd0f334bb99c</x:v>
      </x:c>
      <x:c r="B116" t="n">
        <x:v>2015</x:v>
      </x:c>
      <x:c r="C116" t="str">
        <x:v>Hoteller</x:v>
      </x:c>
      <x:c r="D116" t="str">
        <x:v>HOTELLBYGNING</x:v>
      </x:c>
      <x:c r="E116" t="str">
        <x:v>D</x:v>
      </x:c>
      <x:c r="F116" t="str">
        <x:v>RED</x:v>
      </x:c>
      <x:c r="G116" t="n">
        <x:v>1919</x:v>
      </x:c>
      <x:c r="H116" t="n">
        <x:v>6350</x:v>
      </x:c>
      <x:c r="I116" t="n">
        <x:v>274.1</x:v>
      </x:c>
      <x:c r="J116" t="str">
        <x:v>PDF/avansert</x:v>
      </x:c>
      <x:c r="K116" t="n">
        <x:v>1994</x:v>
      </x:c>
      <x:c r="L116" t="n">
        <x:v>1080</x:v>
      </x:c>
      <x:c r="M116" t="n">
        <x:v>990</x:v>
      </x:c>
      <x:c r="N116" t="n">
        <x:v>478</x:v>
      </x:c>
      <x:c r="O116" t="n">
        <x:v>0.79</x:v>
      </x:c>
      <x:c r="P116" t="n">
        <x:v>0.31</x:v>
      </x:c>
      <x:c r="Q116" t="n">
        <x:v>0.24</x:v>
      </x:c>
      <x:c r="R116" t="n">
        <x:v>1.34</x:v>
      </x:c>
      <x:c r="S116" t="n">
        <x:v>70</x:v>
      </x:c>
      <x:c r="T116" t="n">
        <x:v>70</x:v>
      </x:c>
      <x:c r="U116" t="n">
        <x:v>2.5</x:v>
      </x:c>
      <x:c r="V116" t="n">
        <x:v>1.07</x:v>
      </x:c>
      <x:c r="W116" t="n">
        <x:v>7</x:v>
      </x:c>
      <x:c r="X116" t="n">
        <x:v>81</x:v>
      </x:c>
      <x:c r="Y116" t="n">
        <x:v>80</x:v>
      </x:c>
      <x:c r="Z116" t="n">
        <x:v>70</x:v>
      </x:c>
      <x:c r="AA116" t="n">
        <x:v>21</x:v>
      </x:c>
      <x:c r="AB116" t="n">
        <x:v>22</x:v>
      </x:c>
      <x:c r="AC116" t="n">
        <x:v>7</x:v>
      </x:c>
      <x:c r="AD116" t="n">
        <x:v>56.5</x:v>
      </x:c>
      <x:c r="AE116" t="n">
        <x:v>0.06</x:v>
      </x:c>
      <x:c r="AF116" t="n">
        <x:v>16</x:v>
      </x:c>
      <x:c r="AG116" t="n">
        <x:v>16</x:v>
      </x:c>
      <x:c r="AH116" t="n">
        <x:v>24</x:v>
      </x:c>
      <x:c r="AI116" t="n">
        <x:v>8</x:v>
      </x:c>
      <x:c r="AJ116" t="n">
        <x:v>1</x:v>
      </x:c>
      <x:c r="AK116" t="n">
        <x:v>250</x:v>
      </x:c>
      <x:c r="AL116" t="str">
        <x:v>Direkte elektrisk;</x:v>
      </x:c>
      <x:c r="AM116" t="n">
        <x:v>1</x:v>
      </x:c>
      <x:c r="AN116" t="n">
        <x:v>1</x:v>
      </x:c>
      <x:c r="AO116" t="n">
        <x:v>1</x:v>
      </x:c>
      <x:c r="AP116" t="n">
        <x:v>0</x:v>
      </x:c>
      <x:c r="AQ116" t="n">
        <x:v>0</x:v>
      </x:c>
      <x:c r="AR116" t="n">
        <x:v>1</x:v>
      </x:c>
      <x:c r="AS116" t="n">
        <x:v>1</x:v>
      </x:c>
      <x:c r="AT116" t="n">
        <x:v>0</x:v>
      </x:c>
      <x:c r="AU116" t="str">
        <x:v>energiattester_export_2025-08-14.json | PDF vedlegg side 5-7</x:v>
      </x:c>
      <x:c r="AV116" s="12" t="n">
        <x:f>IF(COUNT(O116,P116,Q116,R116,K116,L116,M116,N116)=8,O116*K116+P116*L116+Q116*M116+R116*N116,"")</x:f>
        <x:v>2788.18</x:v>
      </x:c>
      <x:c r="AW116" s="12" t="n">
        <x:f>IF(AND(ISNUMBER(AV116),H116&gt;0),AV116/H116,"")</x:f>
        <x:v>0.4390834645669291</x:v>
      </x:c>
      <x:c r="AX116" s="12" t="n">
        <x:f>IF(AND(ISNUMBER(AD116),H116&gt;0),AD116*H116*3600,"")</x:f>
        <x:v>1291590000</x:v>
      </x:c>
      <x:c r="AY116" s="12" t="n">
        <x:f>IF(AND(ISNUMBER(Y116),H116&gt;0),Y116*H116,"")</x:f>
        <x:v>508000</x:v>
      </x:c>
      <x:c r="AZ116" t="str">
        <x:v>Høy</x:v>
      </x:c>
    </x:row>
    <x:row r="117" ht="22" customHeight="1">
      <x:c r="A117" t="str">
        <x:v>OT-644a31e5044f</x:v>
      </x:c>
      <x:c r="B117" t="n">
        <x:v>2015</x:v>
      </x:c>
      <x:c r="C117" t="str">
        <x:v>Kontorbygg</x:v>
      </x:c>
      <x:c r="D117" t="str">
        <x:v>KONTORER, ENKLE</x:v>
      </x:c>
      <x:c r="E117" t="str">
        <x:v>G</x:v>
      </x:c>
      <x:c r="F117" t="str">
        <x:v>RED</x:v>
      </x:c>
      <x:c r="G117" t="n">
        <x:v>1983</x:v>
      </x:c>
      <x:c r="H117" t="n">
        <x:v>633</x:v>
      </x:c>
      <x:c r="I117" t="n">
        <x:v>366.5</x:v>
      </x:c>
      <x:c r="J117" t="str">
        <x:v>PDF/avansert</x:v>
      </x:c>
      <x:c r="K117" t="n">
        <x:v>260</x:v>
      </x:c>
      <x:c r="L117" t="n">
        <x:v>323</x:v>
      </x:c>
      <x:c r="M117" t="n">
        <x:v>323</x:v>
      </x:c>
      <x:c r="N117" t="n">
        <x:v>104</x:v>
      </x:c>
      <x:c r="O117" t="n">
        <x:v>0.93</x:v>
      </x:c>
      <x:c r="P117" t="n">
        <x:v>0.24</x:v>
      </x:c>
      <x:c r="Q117" t="n">
        <x:v>0.2</x:v>
      </x:c>
      <x:c r="R117" t="n">
        <x:v>3</x:v>
      </x:c>
      <x:c r="S117" t="n">
        <x:v>0</x:v>
      </x:c>
      <x:c r="T117" t="n">
        <x:v>0</x:v>
      </x:c>
      <x:c r="U117" t="n">
        <x:v>2</x:v>
      </x:c>
      <x:c r="V117" t="n">
        <x:v>0.43</x:v>
      </x:c>
      <x:c r="W117" t="n">
        <x:v>7</x:v>
      </x:c>
      <x:c r="X117" t="n">
        <x:v>81</x:v>
      </x:c>
      <x:c r="Y117" t="n">
        <x:v>110</x:v>
      </x:c>
      <x:c r="Z117" t="n">
        <x:v>0</x:v>
      </x:c>
      <x:c r="AA117" t="n">
        <x:v>21</x:v>
      </x:c>
      <x:c r="AB117" t="n">
        <x:v>22</x:v>
      </x:c>
      <x:c r="AC117" t="n">
        <x:v>7</x:v>
      </x:c>
      <x:c r="AD117" t="n">
        <x:v>70.7</x:v>
      </x:c>
      <x:c r="AE117" t="n">
        <x:v>0.06</x:v>
      </x:c>
      <x:c r="AF117" t="n">
        <x:v>12</x:v>
      </x:c>
      <x:c r="AG117" t="n">
        <x:v>12</x:v>
      </x:c>
      <x:c r="AH117" t="n">
        <x:v>24</x:v>
      </x:c>
      <x:c r="AI117" t="n">
        <x:v>8</x:v>
      </x:c>
      <x:c r="AJ117" t="n">
        <x:v>11</x:v>
      </x:c>
      <x:c r="AK117" t="n">
        <x:v>250</x:v>
      </x:c>
      <x:c r="AL117" t="str">
        <x:v>Direkte elektrisk;</x:v>
      </x:c>
      <x:c r="AM117"/>
      <x:c r="AN117"/>
      <x:c r="AO117"/>
      <x:c r="AP117"/>
      <x:c r="AQ117"/>
      <x:c r="AR117"/>
      <x:c r="AS117"/>
      <x:c r="AT117"/>
      <x:c r="AU117" t="str">
        <x:v>energiattester_export_2025-08-14.json | PDF vedlegg side 5-7</x:v>
      </x:c>
      <x:c r="AV117" s="12" t="n">
        <x:f>IF(COUNT(O117,P117,Q117,R117,K117,L117,M117,N117)=8,O117*K117+P117*L117+Q117*M117+R117*N117,"")</x:f>
        <x:v>695.9200000000001</x:v>
      </x:c>
      <x:c r="AW117" s="12" t="n">
        <x:f>IF(AND(ISNUMBER(AV117),H117&gt;0),AV117/H117,"")</x:f>
        <x:v>1.099399684044234</x:v>
      </x:c>
      <x:c r="AX117" s="12" t="n">
        <x:f>IF(AND(ISNUMBER(AD117),H117&gt;0),AD117*H117*3600,"")</x:f>
        <x:v>161111160</x:v>
      </x:c>
      <x:c r="AY117" s="12" t="n">
        <x:f>IF(AND(ISNUMBER(Y117),H117&gt;0),Y117*H117,"")</x:f>
        <x:v>69630</x:v>
      </x:c>
      <x:c r="AZ117" t="str">
        <x:v>Høy</x:v>
      </x:c>
    </x:row>
    <x:row r="118" ht="22" customHeight="1">
      <x:c r="A118" t="str">
        <x:v>OT-ff81bca84509</x:v>
      </x:c>
      <x:c r="B118" t="n">
        <x:v>2015</x:v>
      </x:c>
      <x:c r="C118" t="str">
        <x:v>Kontorbygg</x:v>
      </x:c>
      <x:c r="D118" t="str">
        <x:v>KONTORER, ENKLE</x:v>
      </x:c>
      <x:c r="E118" t="str">
        <x:v>G</x:v>
      </x:c>
      <x:c r="F118" t="str">
        <x:v>RED</x:v>
      </x:c>
      <x:c r="G118" t="n">
        <x:v>1973</x:v>
      </x:c>
      <x:c r="H118" t="n">
        <x:v>1252</x:v>
      </x:c>
      <x:c r="I118" t="n">
        <x:v>334.5</x:v>
      </x:c>
      <x:c r="J118" t="str">
        <x:v>PDF/avansert</x:v>
      </x:c>
      <x:c r="K118" t="n">
        <x:v>479</x:v>
      </x:c>
      <x:c r="L118" t="n">
        <x:v>696</x:v>
      </x:c>
      <x:c r="M118" t="n">
        <x:v>794</x:v>
      </x:c>
      <x:c r="N118" t="n">
        <x:v>136</x:v>
      </x:c>
      <x:c r="O118" t="n">
        <x:v>0.93</x:v>
      </x:c>
      <x:c r="P118" t="n">
        <x:v>0.5</x:v>
      </x:c>
      <x:c r="Q118" t="n">
        <x:v>0.14</x:v>
      </x:c>
      <x:c r="R118" t="n">
        <x:v>2.4</x:v>
      </x:c>
      <x:c r="S118" t="n">
        <x:v>31</x:v>
      </x:c>
      <x:c r="T118" t="n">
        <x:v>31</x:v>
      </x:c>
      <x:c r="U118" t="n">
        <x:v>3</x:v>
      </x:c>
      <x:c r="V118" t="n">
        <x:v>0.43</x:v>
      </x:c>
      <x:c r="W118" t="n">
        <x:v>7</x:v>
      </x:c>
      <x:c r="X118" t="n">
        <x:v>81</x:v>
      </x:c>
      <x:c r="Y118" t="n">
        <x:v>135</x:v>
      </x:c>
      <x:c r="Z118" t="n">
        <x:v>0</x:v>
      </x:c>
      <x:c r="AA118" t="n">
        <x:v>21</x:v>
      </x:c>
      <x:c r="AB118" t="n">
        <x:v>22</x:v>
      </x:c>
      <x:c r="AC118" t="n">
        <x:v>7</x:v>
      </x:c>
      <x:c r="AD118" t="n">
        <x:v>70.7</x:v>
      </x:c>
      <x:c r="AE118" t="n">
        <x:v>0.09</x:v>
      </x:c>
      <x:c r="AF118" t="n">
        <x:v>12</x:v>
      </x:c>
      <x:c r="AG118" t="n">
        <x:v>12</x:v>
      </x:c>
      <x:c r="AH118" t="n">
        <x:v>24</x:v>
      </x:c>
      <x:c r="AI118" t="n">
        <x:v>8</x:v>
      </x:c>
      <x:c r="AJ118" t="n">
        <x:v>11</x:v>
      </x:c>
      <x:c r="AK118" t="n">
        <x:v>250</x:v>
      </x:c>
      <x:c r="AL118" t="str">
        <x:v>Direkte elektrisk;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str">
        <x:v>energiattester_export_2025-08-14.json | PDF vedlegg side 5-7</x:v>
      </x:c>
      <x:c r="AV118" s="12" t="n">
        <x:f>IF(COUNT(O118,P118,Q118,R118,K118,L118,M118,N118)=8,O118*K118+P118*L118+Q118*M118+R118*N118,"")</x:f>
        <x:v>1231.03</x:v>
      </x:c>
      <x:c r="AW118" s="12" t="n">
        <x:f>IF(AND(ISNUMBER(AV118),H118&gt;0),AV118/H118,"")</x:f>
        <x:v>0.9832507987220447</x:v>
      </x:c>
      <x:c r="AX118" s="12" t="n">
        <x:f>IF(AND(ISNUMBER(AD118),H118&gt;0),AD118*H118*3600,"")</x:f>
        <x:v>318659040.00000006</x:v>
      </x:c>
      <x:c r="AY118" s="12" t="n">
        <x:f>IF(AND(ISNUMBER(Y118),H118&gt;0),Y118*H118,"")</x:f>
        <x:v>169020</x:v>
      </x:c>
      <x:c r="AZ118" t="str">
        <x:v>Høy</x:v>
      </x:c>
    </x:row>
    <x:row r="119" ht="22" customHeight="1">
      <x:c r="A119" t="str">
        <x:v>OT-140886f0afd7</x:v>
      </x:c>
      <x:c r="B119" t="n">
        <x:v>2015</x:v>
      </x:c>
      <x:c r="C119" t="str">
        <x:v>Kontorbygg</x:v>
      </x:c>
      <x:c r="D119" t="str">
        <x:v>KONTORER, ENKLE</x:v>
      </x:c>
      <x:c r="E119" t="str">
        <x:v>E</x:v>
      </x:c>
      <x:c r="F119" t="str">
        <x:v>ORANGE</x:v>
      </x:c>
      <x:c r="G119" t="n">
        <x:v>1998</x:v>
      </x:c>
      <x:c r="H119" t="n">
        <x:v>658</x:v>
      </x:c>
      <x:c r="I119" t="n">
        <x:v>199</x:v>
      </x:c>
      <x:c r="J119" t="str">
        <x:v>PDF/avansert</x:v>
      </x:c>
      <x:c r="K119" t="n">
        <x:v>510</x:v>
      </x:c>
      <x:c r="L119" t="n">
        <x:v>658</x:v>
      </x:c>
      <x:c r="M119" t="n">
        <x:v>658</x:v>
      </x:c>
      <x:c r="N119" t="n">
        <x:v>105</x:v>
      </x:c>
      <x:c r="O119" t="n">
        <x:v>0.29</x:v>
      </x:c>
      <x:c r="P119" t="n">
        <x:v>0.15</x:v>
      </x:c>
      <x:c r="Q119" t="n">
        <x:v>0.1</x:v>
      </x:c>
      <x:c r="R119" t="n">
        <x:v>1.76</x:v>
      </x:c>
      <x:c r="S119" t="n">
        <x:v>40</x:v>
      </x:c>
      <x:c r="T119" t="n">
        <x:v>40</x:v>
      </x:c>
      <x:c r="U119" t="n">
        <x:v>2</x:v>
      </x:c>
      <x:c r="V119" t="n">
        <x:v>0</x:v>
      </x:c>
      <x:c r="W119" t="n">
        <x:v>12</x:v>
      </x:c>
      <x:c r="X119" t="n">
        <x:v>259</x:v>
      </x:c>
      <x:c r="Y119" t="n">
        <x:v>220</x:v>
      </x:c>
      <x:c r="Z119" t="n">
        <x:v>0</x:v>
      </x:c>
      <x:c r="AA119" t="n">
        <x:v>21</x:v>
      </x:c>
      <x:c r="AB119" t="n">
        <x:v>22</x:v>
      </x:c>
      <x:c r="AC119" t="n">
        <x:v>1.5</x:v>
      </x:c>
      <x:c r="AD119" t="n">
        <x:v>81</x:v>
      </x:c>
      <x:c r="AE119" t="n">
        <x:v>0.12</x:v>
      </x:c>
      <x:c r="AF119" t="n">
        <x:v>12</x:v>
      </x:c>
      <x:c r="AG119" t="n">
        <x:v>12</x:v>
      </x:c>
      <x:c r="AH119" t="n">
        <x:v>24</x:v>
      </x:c>
      <x:c r="AI119" t="n">
        <x:v>8</x:v>
      </x:c>
      <x:c r="AJ119" t="n">
        <x:v>11</x:v>
      </x:c>
      <x:c r="AK119" t="n">
        <x:v>250</x:v>
      </x:c>
      <x:c r="AL119" t="str">
        <x:v>Direkte elektrisk; Varmepumpe;</x:v>
      </x:c>
      <x:c r="AM119" t="n">
        <x:v>1</x:v>
      </x:c>
      <x:c r="AN119" t="n">
        <x:v>0</x:v>
      </x:c>
      <x:c r="AO119" t="n">
        <x:v>0</x:v>
      </x:c>
      <x:c r="AP119" t="n">
        <x:v>0</x:v>
      </x:c>
      <x:c r="AQ119" t="n">
        <x:v>1</x:v>
      </x:c>
      <x:c r="AR119" t="n">
        <x:v>1</x:v>
      </x:c>
      <x:c r="AS119" t="n">
        <x:v>1</x:v>
      </x:c>
      <x:c r="AT119" t="n">
        <x:v>1</x:v>
      </x:c>
      <x:c r="AU119" t="str">
        <x:v>energiattester_export_2025-08-14.json | PDF vedlegg side 5-7</x:v>
      </x:c>
      <x:c r="AV119" s="12" t="n">
        <x:f>IF(COUNT(O119,P119,Q119,R119,K119,L119,M119,N119)=8,O119*K119+P119*L119+Q119*M119+R119*N119,"")</x:f>
        <x:v>497.2</x:v>
      </x:c>
      <x:c r="AW119" s="12" t="n">
        <x:f>IF(AND(ISNUMBER(AV119),H119&gt;0),AV119/H119,"")</x:f>
        <x:v>0.7556231003039513</x:v>
      </x:c>
      <x:c r="AX119" s="12" t="n">
        <x:f>IF(AND(ISNUMBER(AD119),H119&gt;0),AD119*H119*3600,"")</x:f>
        <x:v>191872800</x:v>
      </x:c>
      <x:c r="AY119" s="12" t="n">
        <x:f>IF(AND(ISNUMBER(Y119),H119&gt;0),Y119*H119,"")</x:f>
        <x:v>144760</x:v>
      </x:c>
      <x:c r="AZ119" t="str">
        <x:v>Høy</x:v>
      </x:c>
    </x:row>
    <x:row r="120" ht="22" customHeight="1">
      <x:c r="A120" t="str">
        <x:v>OT-8de3828c50eb</x:v>
      </x:c>
      <x:c r="B120" t="n">
        <x:v>2015</x:v>
      </x:c>
      <x:c r="C120" t="str">
        <x:v>Kontorbygg</x:v>
      </x:c>
      <x:c r="D120" t="str">
        <x:v>ANNET KONTORBYGG</x:v>
      </x:c>
      <x:c r="E120" t="str">
        <x:v>F</x:v>
      </x:c>
      <x:c r="F120" t="str">
        <x:v>RED</x:v>
      </x:c>
      <x:c r="G120" t="n">
        <x:v>1952</x:v>
      </x:c>
      <x:c r="H120" t="n">
        <x:v>460</x:v>
      </x:c>
      <x:c r="I120" t="n">
        <x:v>246.8</x:v>
      </x:c>
      <x:c r="J120" t="str">
        <x:v>PDF/avansert</x:v>
      </x:c>
      <x:c r="K120" t="n">
        <x:v>313</x:v>
      </x:c>
      <x:c r="L120" t="n">
        <x:v>222</x:v>
      </x:c>
      <x:c r="M120" t="n">
        <x:v>180</x:v>
      </x:c>
      <x:c r="N120" t="n">
        <x:v>46</x:v>
      </x:c>
      <x:c r="O120" t="n">
        <x:v>0.72</x:v>
      </x:c>
      <x:c r="P120" t="n">
        <x:v>0.5</x:v>
      </x:c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 t="n">
        <x:v>1</x:v>
      </x:c>
      <x:c r="AN120" t="n">
        <x:v>0</x:v>
      </x:c>
      <x:c r="AO120" t="n">
        <x:v>1</x:v>
      </x:c>
      <x:c r="AP120" t="n">
        <x:v>1</x:v>
      </x:c>
      <x:c r="AQ120" t="n">
        <x:v>1</x:v>
      </x:c>
      <x:c r="AR120" t="n">
        <x:v>1</x:v>
      </x:c>
      <x:c r="AS120" t="n">
        <x:v>1</x:v>
      </x:c>
      <x:c r="AT120" t="n">
        <x:v>1</x:v>
      </x:c>
      <x:c r="AU120" t="str">
        <x:v>energiattester_export_2025-08-14.json | PDF vedlegg side 5-7</x:v>
      </x:c>
      <x:c r="AV120" s="12" t="str">
        <x:f>IF(COUNT(O120,P120,Q120,R120,K120,L120,M120,N120)=8,O120*K120+P120*L120+Q120*M120+R120*N120,"")</x:f>
      </x:c>
      <x:c r="AW120" s="12" t="str">
        <x:f>IF(AND(ISNUMBER(AV120),H120&gt;0),AV120/H120,"")</x:f>
      </x:c>
      <x:c r="AX120" s="12" t="str">
        <x:f>IF(AND(ISNUMBER(AD120),H120&gt;0),AD120*H120*3600,"")</x:f>
      </x:c>
      <x:c r="AY120" s="12" t="str">
        <x:f>IF(AND(ISNUMBER(Y120),H120&gt;0),Y120*H120,"")</x:f>
      </x:c>
      <x:c r="AZ120" t="str">
        <x:v>Mangler data</x:v>
      </x:c>
    </x:row>
    <x:row r="121" ht="22" customHeight="1">
      <x:c r="A121" t="str">
        <x:v>OT-eb2922e53a4b</x:v>
      </x:c>
      <x:c r="B121" t="n">
        <x:v>2015</x:v>
      </x:c>
      <x:c r="C121" t="str">
        <x:v>Kontorbygg</x:v>
      </x:c>
      <x:c r="D121" t="str">
        <x:v>ANNET KONTORBYGG</x:v>
      </x:c>
      <x:c r="E121" t="str">
        <x:v>F</x:v>
      </x:c>
      <x:c r="F121" t="str">
        <x:v>RED</x:v>
      </x:c>
      <x:c r="G121" t="n">
        <x:v>1952</x:v>
      </x:c>
      <x:c r="H121" t="n">
        <x:v>460</x:v>
      </x:c>
      <x:c r="I121" t="n">
        <x:v>246.8</x:v>
      </x:c>
      <x:c r="J121" t="str">
        <x:v>PDF/avansert</x:v>
      </x:c>
      <x:c r="K121" t="n">
        <x:v>313</x:v>
      </x:c>
      <x:c r="L121" t="n">
        <x:v>222</x:v>
      </x:c>
      <x:c r="M121" t="n">
        <x:v>180</x:v>
      </x:c>
      <x:c r="N121" t="n">
        <x:v>46</x:v>
      </x:c>
      <x:c r="O121" t="n">
        <x:v>0.72</x:v>
      </x:c>
      <x:c r="P121" t="n">
        <x:v>0.5</x:v>
      </x:c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 t="n">
        <x:v>1</x:v>
      </x:c>
      <x:c r="AN121" t="n">
        <x:v>0</x:v>
      </x:c>
      <x:c r="AO121" t="n">
        <x:v>1</x:v>
      </x:c>
      <x:c r="AP121" t="n">
        <x:v>0</x:v>
      </x:c>
      <x:c r="AQ121" t="n">
        <x:v>1</x:v>
      </x:c>
      <x:c r="AR121" t="n">
        <x:v>1</x:v>
      </x:c>
      <x:c r="AS121" t="n">
        <x:v>1</x:v>
      </x:c>
      <x:c r="AT121" t="n">
        <x:v>1</x:v>
      </x:c>
      <x:c r="AU121" t="str">
        <x:v>energiattester_export_2025-08-14.json | PDF vedlegg side 5-7</x:v>
      </x:c>
      <x:c r="AV121" s="12" t="str">
        <x:f>IF(COUNT(O121,P121,Q121,R121,K121,L121,M121,N121)=8,O121*K121+P121*L121+Q121*M121+R121*N121,"")</x:f>
      </x:c>
      <x:c r="AW121" s="12" t="str">
        <x:f>IF(AND(ISNUMBER(AV121),H121&gt;0),AV121/H121,"")</x:f>
      </x:c>
      <x:c r="AX121" s="12" t="str">
        <x:f>IF(AND(ISNUMBER(AD121),H121&gt;0),AD121*H121*3600,"")</x:f>
      </x:c>
      <x:c r="AY121" s="12" t="str">
        <x:f>IF(AND(ISNUMBER(Y121),H121&gt;0),Y121*H121,"")</x:f>
      </x:c>
      <x:c r="AZ121" t="str">
        <x:v>Mangler data</x:v>
      </x:c>
    </x:row>
    <x:row r="122" ht="22" customHeight="1">
      <x:c r="A122" t="str">
        <x:v>OT-8aa8aeb6f018</x:v>
      </x:c>
      <x:c r="B122" t="n">
        <x:v>2015</x:v>
      </x:c>
      <x:c r="C122" t="str">
        <x:v>Kontorbygg</x:v>
      </x:c>
      <x:c r="D122" t="str">
        <x:v>KONTORER, ENKLE</x:v>
      </x:c>
      <x:c r="E122" t="str">
        <x:v>G</x:v>
      </x:c>
      <x:c r="F122" t="str">
        <x:v>RED</x:v>
      </x:c>
      <x:c r="G122" t="n">
        <x:v>1958</x:v>
      </x:c>
      <x:c r="H122" t="n">
        <x:v>232</x:v>
      </x:c>
      <x:c r="I122" t="n">
        <x:v>278</x:v>
      </x:c>
      <x:c r="J122" t="str">
        <x:v>PDF/avansert</x:v>
      </x:c>
      <x:c r="K122" t="n">
        <x:v>241</x:v>
      </x:c>
      <x:c r="L122" t="n">
        <x:v>100</x:v>
      </x:c>
      <x:c r="M122" t="n">
        <x:v>72</x:v>
      </x:c>
      <x:c r="N122" t="n">
        <x:v>37</x:v>
      </x:c>
      <x:c r="O122" t="n">
        <x:v>0.72</x:v>
      </x:c>
      <x:c r="P122" t="n">
        <x:v>0.5</x:v>
      </x:c>
      <x:c r="Q122" t="n">
        <x:v>0.49</x:v>
      </x:c>
      <x:c r="R122" t="n">
        <x:v>2.75</x:v>
      </x:c>
      <x:c r="S122" t="n">
        <x:v>70</x:v>
      </x:c>
      <x:c r="T122" t="n">
        <x:v>70</x:v>
      </x:c>
      <x:c r="U122" t="n">
        <x:v>4</x:v>
      </x:c>
      <x:c r="V122" t="n">
        <x:v>3.64</x:v>
      </x:c>
      <x:c r="W122" t="n">
        <x:v>2.2</x:v>
      </x:c>
      <x:c r="X122" t="n">
        <x:v>92</x:v>
      </x:c>
      <x:c r="Y122" t="n">
        <x:v>95</x:v>
      </x:c>
      <x:c r="Z122" t="n">
        <x:v>0</x:v>
      </x:c>
      <x:c r="AA122" t="n">
        <x:v>21</x:v>
      </x:c>
      <x:c r="AB122" t="n">
        <x:v>22</x:v>
      </x:c>
      <x:c r="AC122" t="n">
        <x:v>5</x:v>
      </x:c>
      <x:c r="AD122" t="n">
        <x:v>89.5</x:v>
      </x:c>
      <x:c r="AE122" t="n">
        <x:v>0.12</x:v>
      </x:c>
      <x:c r="AF122" t="n">
        <x:v>12</x:v>
      </x:c>
      <x:c r="AG122" t="n">
        <x:v>12</x:v>
      </x:c>
      <x:c r="AH122" t="n">
        <x:v>24</x:v>
      </x:c>
      <x:c r="AI122" t="n">
        <x:v>8</x:v>
      </x:c>
      <x:c r="AJ122" t="n">
        <x:v>11</x:v>
      </x:c>
      <x:c r="AK122" t="n">
        <x:v>250</x:v>
      </x:c>
      <x:c r="AL122" t="str">
        <x:v>Direkte elektrisk;</x:v>
      </x:c>
      <x:c r="AM122" t="n">
        <x:v>1</x:v>
      </x:c>
      <x:c r="AN122" t="n">
        <x:v>0</x:v>
      </x:c>
      <x:c r="AO122" t="n">
        <x:v>0</x:v>
      </x:c>
      <x:c r="AP122" t="n">
        <x:v>1</x:v>
      </x:c>
      <x:c r="AQ122" t="n">
        <x:v>0</x:v>
      </x:c>
      <x:c r="AR122" t="n">
        <x:v>1</x:v>
      </x:c>
      <x:c r="AS122" t="n">
        <x:v>1</x:v>
      </x:c>
      <x:c r="AT122" t="n">
        <x:v>1</x:v>
      </x:c>
      <x:c r="AU122" t="str">
        <x:v>energiattester_export_2025-08-14.json | PDF vedlegg side 5-7</x:v>
      </x:c>
      <x:c r="AV122" s="12" t="n">
        <x:f>IF(COUNT(O122,P122,Q122,R122,K122,L122,M122,N122)=8,O122*K122+P122*L122+Q122*M122+R122*N122,"")</x:f>
        <x:v>360.54999999999995</x:v>
      </x:c>
      <x:c r="AW122" s="12" t="n">
        <x:f>IF(AND(ISNUMBER(AV122),H122&gt;0),AV122/H122,"")</x:f>
        <x:v>1.5540948275862068</x:v>
      </x:c>
      <x:c r="AX122" s="12" t="n">
        <x:f>IF(AND(ISNUMBER(AD122),H122&gt;0),AD122*H122*3600,"")</x:f>
        <x:v>74750400</x:v>
      </x:c>
      <x:c r="AY122" s="12" t="n">
        <x:f>IF(AND(ISNUMBER(Y122),H122&gt;0),Y122*H122,"")</x:f>
        <x:v>22040</x:v>
      </x:c>
      <x:c r="AZ122" t="str">
        <x:v>Høy</x:v>
      </x:c>
    </x:row>
    <x:row r="123" ht="22" customHeight="1">
      <x:c r="A123" t="str">
        <x:v>OT-1001f0271313</x:v>
      </x:c>
      <x:c r="B123" t="n">
        <x:v>2015</x:v>
      </x:c>
      <x:c r="C123" t="str">
        <x:v>Kontorbygg</x:v>
      </x:c>
      <x:c r="D123" t="str">
        <x:v>KONTORER, ENKLE</x:v>
      </x:c>
      <x:c r="E123" t="str">
        <x:v>E</x:v>
      </x:c>
      <x:c r="F123" t="str">
        <x:v>RED</x:v>
      </x:c>
      <x:c r="G123" t="n">
        <x:v>2000</x:v>
      </x:c>
      <x:c r="H123" t="n">
        <x:v>3428</x:v>
      </x:c>
      <x:c r="I123" t="n">
        <x:v>218.6</x:v>
      </x:c>
      <x:c r="J123" t="str">
        <x:v>PDF/avansert</x:v>
      </x:c>
      <x:c r="K123" t="n">
        <x:v>940</x:v>
      </x:c>
      <x:c r="L123" t="n">
        <x:v>1033</x:v>
      </x:c>
      <x:c r="M123" t="n">
        <x:v>1033</x:v>
      </x:c>
      <x:c r="N123" t="n">
        <x:v>730</x:v>
      </x:c>
      <x:c r="O123" t="n">
        <x:v>0.36</x:v>
      </x:c>
      <x:c r="P123" t="n">
        <x:v>0.3</x:v>
      </x:c>
      <x:c r="Q123" t="n">
        <x:v>0.43</x:v>
      </x:c>
      <x:c r="R123" t="n">
        <x:v>2.4</x:v>
      </x:c>
      <x:c r="S123" t="n">
        <x:v>70</x:v>
      </x:c>
      <x:c r="T123" t="n">
        <x:v>70</x:v>
      </x:c>
      <x:c r="U123" t="n">
        <x:v>4.3</x:v>
      </x:c>
      <x:c r="V123" t="n">
        <x:v>0.29</x:v>
      </x:c>
      <x:c r="W123" t="n">
        <x:v>7</x:v>
      </x:c>
      <x:c r="X123" t="n">
        <x:v>90</x:v>
      </x:c>
      <x:c r="Y123" t="n">
        <x:v>180</x:v>
      </x:c>
      <x:c r="Z123" t="n">
        <x:v>30</x:v>
      </x:c>
      <x:c r="AA123" t="n">
        <x:v>21</x:v>
      </x:c>
      <x:c r="AB123" t="n">
        <x:v>22</x:v>
      </x:c>
      <x:c r="AC123" t="n">
        <x:v>3</x:v>
      </x:c>
      <x:c r="AD123" t="n">
        <x:v>63.2</x:v>
      </x:c>
      <x:c r="AE123" t="n">
        <x:v>0.12</x:v>
      </x:c>
      <x:c r="AF123" t="n">
        <x:v>12</x:v>
      </x:c>
      <x:c r="AG123" t="n">
        <x:v>12</x:v>
      </x:c>
      <x:c r="AH123" t="n">
        <x:v>24</x:v>
      </x:c>
      <x:c r="AI123" t="n">
        <x:v>8</x:v>
      </x:c>
      <x:c r="AJ123" t="n">
        <x:v>11</x:v>
      </x:c>
      <x:c r="AK123" t="n">
        <x:v>250</x:v>
      </x:c>
      <x:c r="AL123" t="str">
        <x:v>Direkte elektrisk;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str">
        <x:v>energiattester_export_2025-08-14.json | PDF vedlegg side 5-7</x:v>
      </x:c>
      <x:c r="AV123" s="12" t="n">
        <x:f>IF(COUNT(O123,P123,Q123,R123,K123,L123,M123,N123)=8,O123*K123+P123*L123+Q123*M123+R123*N123,"")</x:f>
        <x:v>2844.49</x:v>
      </x:c>
      <x:c r="AW123" s="12" t="n">
        <x:f>IF(AND(ISNUMBER(AV123),H123&gt;0),AV123/H123,"")</x:f>
        <x:v>0.8297812135355892</x:v>
      </x:c>
      <x:c r="AX123" s="12" t="n">
        <x:f>IF(AND(ISNUMBER(AD123),H123&gt;0),AD123*H123*3600,"")</x:f>
        <x:v>779938560</x:v>
      </x:c>
      <x:c r="AY123" s="12" t="n">
        <x:f>IF(AND(ISNUMBER(Y123),H123&gt;0),Y123*H123,"")</x:f>
        <x:v>617040</x:v>
      </x:c>
      <x:c r="AZ123" t="str">
        <x:v>Høy</x:v>
      </x:c>
    </x:row>
    <x:row r="124" ht="22" customHeight="1">
      <x:c r="A124" t="str">
        <x:v>OT-16b699cc3cf3</x:v>
      </x:c>
      <x:c r="B124" t="n">
        <x:v>2015</x:v>
      </x:c>
      <x:c r="C124" t="str">
        <x:v>Kontorbygg</x:v>
      </x:c>
      <x:c r="D124" t="str">
        <x:v>KONTORER, MED VENTILASJON OG KJØLEANLEGG</x:v>
      </x:c>
      <x:c r="E124" t="str">
        <x:v>D</x:v>
      </x:c>
      <x:c r="F124" t="str">
        <x:v>RED</x:v>
      </x:c>
      <x:c r="G124" t="n">
        <x:v>2000</x:v>
      </x:c>
      <x:c r="H124" t="n">
        <x:v>669</x:v>
      </x:c>
      <x:c r="I124" t="n">
        <x:v>160.4</x:v>
      </x:c>
      <x:c r="J124" t="str">
        <x:v>PDF/avansert</x:v>
      </x:c>
      <x:c r="K124" t="n">
        <x:v>128</x:v>
      </x:c>
      <x:c r="L124" t="n">
        <x:v>504</x:v>
      </x:c>
      <x:c r="M124" t="n">
        <x:v>33</x:v>
      </x:c>
      <x:c r="N124" t="n">
        <x:v>164</x:v>
      </x:c>
      <x:c r="O124" t="n">
        <x:v>0.22</x:v>
      </x:c>
      <x:c r="P124" t="n">
        <x:v>0.15</x:v>
      </x:c>
      <x:c r="Q124" t="n">
        <x:v>0.15</x:v>
      </x:c>
      <x:c r="R124" t="n">
        <x:v>1.68</x:v>
      </x:c>
      <x:c r="S124" t="n">
        <x:v>75</x:v>
      </x:c>
      <x:c r="T124" t="n">
        <x:v>75</x:v>
      </x:c>
      <x:c r="U124" t="n">
        <x:v>3</x:v>
      </x:c>
      <x:c r="V124" t="n">
        <x:v>0.25</x:v>
      </x:c>
      <x:c r="W124" t="n">
        <x:v>8</x:v>
      </x:c>
      <x:c r="X124" t="n">
        <x:v>81</x:v>
      </x:c>
      <x:c r="Y124" t="n">
        <x:v>90</x:v>
      </x:c>
      <x:c r="Z124" t="n">
        <x:v>0</x:v>
      </x:c>
      <x:c r="AA124" t="n">
        <x:v>21</x:v>
      </x:c>
      <x:c r="AB124" t="n">
        <x:v>22</x:v>
      </x:c>
      <x:c r="AC124" t="n">
        <x:v>1.5</x:v>
      </x:c>
      <x:c r="AD124" t="n">
        <x:v>11.9</x:v>
      </x:c>
      <x:c r="AE124" t="n">
        <x:v>0.12</x:v>
      </x:c>
      <x:c r="AF124" t="n">
        <x:v>12</x:v>
      </x:c>
      <x:c r="AG124" t="n">
        <x:v>12</x:v>
      </x:c>
      <x:c r="AH124" t="n">
        <x:v>24</x:v>
      </x:c>
      <x:c r="AI124" t="n">
        <x:v>8</x:v>
      </x:c>
      <x:c r="AJ124" t="n">
        <x:v>11</x:v>
      </x:c>
      <x:c r="AK124" t="n">
        <x:v>250</x:v>
      </x:c>
      <x:c r="AL124" t="str">
        <x:v>Direkte elektrisk;</x:v>
      </x:c>
      <x:c r="AM124"/>
      <x:c r="AN124"/>
      <x:c r="AO124"/>
      <x:c r="AP124"/>
      <x:c r="AQ124"/>
      <x:c r="AR124"/>
      <x:c r="AS124"/>
      <x:c r="AT124"/>
      <x:c r="AU124" t="str">
        <x:v>energiattester_export_2025-08-14.json | PDF vedlegg side 5-7</x:v>
      </x:c>
      <x:c r="AV124" s="12" t="n">
        <x:f>IF(COUNT(O124,P124,Q124,R124,K124,L124,M124,N124)=8,O124*K124+P124*L124+Q124*M124+R124*N124,"")</x:f>
        <x:v>384.22999999999996</x:v>
      </x:c>
      <x:c r="AW124" s="12" t="n">
        <x:f>IF(AND(ISNUMBER(AV124),H124&gt;0),AV124/H124,"")</x:f>
        <x:v>0.5743348281016442</x:v>
      </x:c>
      <x:c r="AX124" s="12" t="n">
        <x:f>IF(AND(ISNUMBER(AD124),H124&gt;0),AD124*H124*3600,"")</x:f>
        <x:v>28659960</x:v>
      </x:c>
      <x:c r="AY124" s="12" t="n">
        <x:f>IF(AND(ISNUMBER(Y124),H124&gt;0),Y124*H124,"")</x:f>
        <x:v>60210</x:v>
      </x:c>
      <x:c r="AZ124" t="str">
        <x:v>Høy</x:v>
      </x:c>
    </x:row>
    <x:row r="125" ht="22" customHeight="1">
      <x:c r="A125" t="str">
        <x:v>OT-195d4c69d027</x:v>
      </x:c>
      <x:c r="B125" t="n">
        <x:v>2015</x:v>
      </x:c>
      <x:c r="C125" t="str">
        <x:v>Kontorbygg</x:v>
      </x:c>
      <x:c r="D125" t="str">
        <x:v>KONTORER, MED VENTILASJON OG KJØLEANLEGG</x:v>
      </x:c>
      <x:c r="E125" t="str">
        <x:v>F</x:v>
      </x:c>
      <x:c r="F125" t="str">
        <x:v>RED</x:v>
      </x:c>
      <x:c r="G125" t="n">
        <x:v>1947</x:v>
      </x:c>
      <x:c r="H125" t="n">
        <x:v>257</x:v>
      </x:c>
      <x:c r="I125" t="n">
        <x:v>226</x:v>
      </x:c>
      <x:c r="J125" t="str">
        <x:v>PDF/avansert</x:v>
      </x:c>
      <x:c r="K125" t="n">
        <x:v>124</x:v>
      </x:c>
      <x:c r="L125" t="n">
        <x:v>0</x:v>
      </x:c>
      <x:c r="M125" t="n">
        <x:v>0</x:v>
      </x:c>
      <x:c r="N125" t="n">
        <x:v>37</x:v>
      </x:c>
      <x:c r="O125" t="n">
        <x:v>0.36</x:v>
      </x:c>
      <x:c r="P125" t="n">
        <x:v>0</x:v>
      </x:c>
      <x:c r="Q125" t="n">
        <x:v>0</x:v>
      </x:c>
      <x:c r="R125" t="n">
        <x:v>2.6</x:v>
      </x:c>
      <x:c r="S125" t="n">
        <x:v>60</x:v>
      </x:c>
      <x:c r="T125" t="n">
        <x:v>60</x:v>
      </x:c>
      <x:c r="U125" t="n">
        <x:v>3.5</x:v>
      </x:c>
      <x:c r="V125" t="n">
        <x:v>0.71</x:v>
      </x:c>
      <x:c r="W125" t="n">
        <x:v>7</x:v>
      </x:c>
      <x:c r="X125" t="n">
        <x:v>92</x:v>
      </x:c>
      <x:c r="Y125" t="n">
        <x:v>150</x:v>
      </x:c>
      <x:c r="Z125" t="n">
        <x:v>150</x:v>
      </x:c>
      <x:c r="AA125" t="n">
        <x:v>21</x:v>
      </x:c>
      <x:c r="AB125" t="n">
        <x:v>22</x:v>
      </x:c>
      <x:c r="AC125" t="n">
        <x:v>4.5</x:v>
      </x:c>
      <x:c r="AD125" t="n">
        <x:v>8.2</x:v>
      </x:c>
      <x:c r="AE125" t="n">
        <x:v>0.12</x:v>
      </x:c>
      <x:c r="AF125" t="n">
        <x:v>12</x:v>
      </x:c>
      <x:c r="AG125" t="n">
        <x:v>12</x:v>
      </x:c>
      <x:c r="AH125" t="n">
        <x:v>24</x:v>
      </x:c>
      <x:c r="AI125" t="n">
        <x:v>8</x:v>
      </x:c>
      <x:c r="AJ125" t="n">
        <x:v>11</x:v>
      </x:c>
      <x:c r="AK125" t="n">
        <x:v>270</x:v>
      </x:c>
      <x:c r="AL125" t="str">
        <x:v>Direkte elektrisk;</x:v>
      </x:c>
      <x:c r="AM125" t="n">
        <x:v>1</x:v>
      </x:c>
      <x:c r="AN125" t="n">
        <x:v>0</x:v>
      </x:c>
      <x:c r="AO125" t="n">
        <x:v>1</x:v>
      </x:c>
      <x:c r="AP125" t="n">
        <x:v>1</x:v>
      </x:c>
      <x:c r="AQ125" t="n">
        <x:v>0</x:v>
      </x:c>
      <x:c r="AR125" t="n">
        <x:v>1</x:v>
      </x:c>
      <x:c r="AS125" t="n">
        <x:v>1</x:v>
      </x:c>
      <x:c r="AT125" t="n">
        <x:v>1</x:v>
      </x:c>
      <x:c r="AU125" t="str">
        <x:v>energiattester_export_2025-08-14.json | PDF vedlegg side 5-7</x:v>
      </x:c>
      <x:c r="AV125" s="12" t="n">
        <x:f>IF(COUNT(O125,P125,Q125,R125,K125,L125,M125,N125)=8,O125*K125+P125*L125+Q125*M125+R125*N125,"")</x:f>
        <x:v>140.84</x:v>
      </x:c>
      <x:c r="AW125" s="12" t="n">
        <x:f>IF(AND(ISNUMBER(AV125),H125&gt;0),AV125/H125,"")</x:f>
        <x:v>0.5480155642023347</x:v>
      </x:c>
      <x:c r="AX125" s="12" t="n">
        <x:f>IF(AND(ISNUMBER(AD125),H125&gt;0),AD125*H125*3600,"")</x:f>
        <x:v>7586639.999999999</x:v>
      </x:c>
      <x:c r="AY125" s="12" t="n">
        <x:f>IF(AND(ISNUMBER(Y125),H125&gt;0),Y125*H125,"")</x:f>
        <x:v>38550</x:v>
      </x:c>
      <x:c r="AZ125" t="str">
        <x:v>Høy</x:v>
      </x:c>
    </x:row>
    <x:row r="126" ht="22" customHeight="1">
      <x:c r="A126" t="str">
        <x:v>OT-e75300f44463</x:v>
      </x:c>
      <x:c r="B126" t="n">
        <x:v>2015</x:v>
      </x:c>
      <x:c r="C126" t="str">
        <x:v>Forretningsbygg</x:v>
      </x:c>
      <x:c r="D126" t="str">
        <x:v>BUTIKK</x:v>
      </x:c>
      <x:c r="E126" t="str">
        <x:v>F</x:v>
      </x:c>
      <x:c r="F126" t="str">
        <x:v>RED</x:v>
      </x:c>
      <x:c r="G126" t="n">
        <x:v>1947</x:v>
      </x:c>
      <x:c r="H126" t="n">
        <x:v>250</x:v>
      </x:c>
      <x:c r="I126" t="n">
        <x:v>345.9</x:v>
      </x:c>
      <x:c r="J126" t="str">
        <x:v>PDF/avansert</x:v>
      </x:c>
      <x:c r="K126" t="n">
        <x:v>149</x:v>
      </x:c>
      <x:c r="L126" t="n">
        <x:v>0</x:v>
      </x:c>
      <x:c r="M126" t="n">
        <x:v>250</x:v>
      </x:c>
      <x:c r="N126" t="n">
        <x:v>67</x:v>
      </x:c>
      <x:c r="O126" t="n">
        <x:v>0.36</x:v>
      </x:c>
      <x:c r="P126" t="n">
        <x:v>0</x:v>
      </x:c>
      <x:c r="Q126" t="n">
        <x:v>0.23</x:v>
      </x:c>
      <x:c r="R126" t="n">
        <x:v>2.59</x:v>
      </x:c>
      <x:c r="S126" t="n">
        <x:v>60</x:v>
      </x:c>
      <x:c r="T126" t="n">
        <x:v>60</x:v>
      </x:c>
      <x:c r="U126" t="n">
        <x:v>3.5</x:v>
      </x:c>
      <x:c r="V126" t="n">
        <x:v>0.38</x:v>
      </x:c>
      <x:c r="W126" t="n">
        <x:v>13</x:v>
      </x:c>
      <x:c r="X126" t="n">
        <x:v>89</x:v>
      </x:c>
      <x:c r="Y126" t="n">
        <x:v>150</x:v>
      </x:c>
      <x:c r="Z126" t="n">
        <x:v>150</x:v>
      </x:c>
      <x:c r="AA126" t="n">
        <x:v>21</x:v>
      </x:c>
      <x:c r="AB126" t="n">
        <x:v>22</x:v>
      </x:c>
      <x:c r="AC126" t="n">
        <x:v>4.5</x:v>
      </x:c>
      <x:c r="AD126" t="n">
        <x:v>73.9</x:v>
      </x:c>
      <x:c r="AE126" t="n">
        <x:v>0.12</x:v>
      </x:c>
      <x:c r="AF126" t="n">
        <x:v>12</x:v>
      </x:c>
      <x:c r="AG126" t="n">
        <x:v>12</x:v>
      </x:c>
      <x:c r="AH126" t="n">
        <x:v>24</x:v>
      </x:c>
      <x:c r="AI126" t="n">
        <x:v>15</x:v>
      </x:c>
      <x:c r="AJ126" t="n">
        <x:v>1</x:v>
      </x:c>
      <x:c r="AK126" t="n">
        <x:v>270</x:v>
      </x:c>
      <x:c r="AL126" t="str">
        <x:v>Direkte elektrisk;</x:v>
      </x:c>
      <x:c r="AM126" t="n">
        <x:v>1</x:v>
      </x:c>
      <x:c r="AN126" t="n">
        <x:v>0</x:v>
      </x:c>
      <x:c r="AO126" t="n">
        <x:v>1</x:v>
      </x:c>
      <x:c r="AP126" t="n">
        <x:v>1</x:v>
      </x:c>
      <x:c r="AQ126" t="n">
        <x:v>0</x:v>
      </x:c>
      <x:c r="AR126" t="n">
        <x:v>1</x:v>
      </x:c>
      <x:c r="AS126" t="n">
        <x:v>1</x:v>
      </x:c>
      <x:c r="AT126" t="n">
        <x:v>1</x:v>
      </x:c>
      <x:c r="AU126" t="str">
        <x:v>energiattester_export_2025-08-14.json | PDF vedlegg side 5-7</x:v>
      </x:c>
      <x:c r="AV126" s="12" t="n">
        <x:f>IF(COUNT(O126,P126,Q126,R126,K126,L126,M126,N126)=8,O126*K126+P126*L126+Q126*M126+R126*N126,"")</x:f>
        <x:v>284.67</x:v>
      </x:c>
      <x:c r="AW126" s="12" t="n">
        <x:f>IF(AND(ISNUMBER(AV126),H126&gt;0),AV126/H126,"")</x:f>
        <x:v>1.1386800000000001</x:v>
      </x:c>
      <x:c r="AX126" s="12" t="n">
        <x:f>IF(AND(ISNUMBER(AD126),H126&gt;0),AD126*H126*3600,"")</x:f>
        <x:v>66510000</x:v>
      </x:c>
      <x:c r="AY126" s="12" t="n">
        <x:f>IF(AND(ISNUMBER(Y126),H126&gt;0),Y126*H126,"")</x:f>
        <x:v>37500</x:v>
      </x:c>
      <x:c r="AZ126" t="str">
        <x:v>Høy</x:v>
      </x:c>
    </x:row>
    <x:row r="127" ht="22" customHeight="1">
      <x:c r="A127" t="str">
        <x:v>OT-ca18407f1dd3</x:v>
      </x:c>
      <x:c r="B127" t="n">
        <x:v>2015</x:v>
      </x:c>
      <x:c r="C127" t="str">
        <x:v>Kontorbygg</x:v>
      </x:c>
      <x:c r="D127" t="str">
        <x:v>KONTORER, MED VENTILASJON OG KJØLEANLEGG</x:v>
      </x:c>
      <x:c r="E127" t="str">
        <x:v>G</x:v>
      </x:c>
      <x:c r="F127" t="str">
        <x:v>GREEN</x:v>
      </x:c>
      <x:c r="G127" t="n">
        <x:v>1967</x:v>
      </x:c>
      <x:c r="H127" t="n">
        <x:v>5090</x:v>
      </x:c>
      <x:c r="I127" t="n">
        <x:v>1</x:v>
      </x:c>
      <x:c r="J127" t="str">
        <x:v>PDF/avansert</x:v>
      </x:c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 t="n">
        <x:v>1</x:v>
      </x:c>
      <x:c r="AN127" t="n">
        <x:v>0</x:v>
      </x:c>
      <x:c r="AO127" t="n">
        <x:v>1</x:v>
      </x:c>
      <x:c r="AP127" t="n">
        <x:v>1</x:v>
      </x:c>
      <x:c r="AQ127" t="n">
        <x:v>1</x:v>
      </x:c>
      <x:c r="AR127" t="n">
        <x:v>1</x:v>
      </x:c>
      <x:c r="AS127" t="n">
        <x:v>1</x:v>
      </x:c>
      <x:c r="AT127" t="n">
        <x:v>1</x:v>
      </x:c>
      <x:c r="AU127" t="str">
        <x:v>energiattester_export_2025-08-14.json | PDF vedlegg side 5-7</x:v>
      </x:c>
      <x:c r="AV127" s="12" t="str">
        <x:f>IF(COUNT(O127,P127,Q127,R127,K127,L127,M127,N127)=8,O127*K127+P127*L127+Q127*M127+R127*N127,"")</x:f>
      </x:c>
      <x:c r="AW127" s="12" t="str">
        <x:f>IF(AND(ISNUMBER(AV127),H127&gt;0),AV127/H127,"")</x:f>
      </x:c>
      <x:c r="AX127" s="12" t="str">
        <x:f>IF(AND(ISNUMBER(AD127),H127&gt;0),AD127*H127*3600,"")</x:f>
      </x:c>
      <x:c r="AY127" s="12" t="str">
        <x:f>IF(AND(ISNUMBER(Y127),H127&gt;0),Y127*H127,"")</x:f>
      </x:c>
      <x:c r="AZ127" t="str">
        <x:v>Mangler data</x:v>
      </x:c>
    </x:row>
    <x:row r="128" ht="22" customHeight="1">
      <x:c r="A128" t="str">
        <x:v>OT-6e842ed23641</x:v>
      </x:c>
      <x:c r="B128" t="n">
        <x:v>2015</x:v>
      </x:c>
      <x:c r="C128" t="str">
        <x:v>Forretningsbygg</x:v>
      </x:c>
      <x:c r="D128" t="str">
        <x:v>BUTIKK</x:v>
      </x:c>
      <x:c r="E128" t="str">
        <x:v>G</x:v>
      </x:c>
      <x:c r="F128" t="str">
        <x:v>GREEN</x:v>
      </x:c>
      <x:c r="G128" t="n">
        <x:v>1967</x:v>
      </x:c>
      <x:c r="H128" t="n">
        <x:v>1192</x:v>
      </x:c>
      <x:c r="I128" t="n">
        <x:v>567.7</x:v>
      </x:c>
      <x:c r="J128" t="str">
        <x:v>PDF/avansert</x:v>
      </x:c>
      <x:c r="K128" t="n">
        <x:v>491</x:v>
      </x:c>
      <x:c r="L128" t="n">
        <x:v>383</x:v>
      </x:c>
      <x:c r="M128" t="n">
        <x:v>461</x:v>
      </x:c>
      <x:c r="N128" t="n">
        <x:v>243</x:v>
      </x:c>
      <x:c r="O128" t="n">
        <x:v>0.87</x:v>
      </x:c>
      <x:c r="P128" t="n">
        <x:v>0.93</x:v>
      </x:c>
      <x:c r="Q128" t="n">
        <x:v>0.16</x:v>
      </x:c>
      <x:c r="R128" t="n">
        <x:v>2.4</x:v>
      </x:c>
      <x:c r="S128" t="n">
        <x:v>0</x:v>
      </x:c>
      <x:c r="T128" t="n">
        <x:v>0</x:v>
      </x:c>
      <x:c r="U128" t="n">
        <x:v>3.5</x:v>
      </x:c>
      <x:c r="V128" t="n">
        <x:v>0.23</x:v>
      </x:c>
      <x:c r="W128" t="n">
        <x:v>13</x:v>
      </x:c>
      <x:c r="X128" t="n">
        <x:v>81</x:v>
      </x:c>
      <x:c r="Y128" t="n">
        <x:v>137</x:v>
      </x:c>
      <x:c r="Z128" t="n">
        <x:v>30</x:v>
      </x:c>
      <x:c r="AA128" t="n">
        <x:v>21</x:v>
      </x:c>
      <x:c r="AB128" t="n">
        <x:v>22</x:v>
      </x:c>
      <x:c r="AC128" t="n">
        <x:v>9</x:v>
      </x:c>
      <x:c r="AD128" t="n">
        <x:v>76.1</x:v>
      </x:c>
      <x:c r="AE128" t="n">
        <x:v>0.12</x:v>
      </x:c>
      <x:c r="AF128" t="n">
        <x:v>12</x:v>
      </x:c>
      <x:c r="AG128" t="n">
        <x:v>12</x:v>
      </x:c>
      <x:c r="AH128" t="n">
        <x:v>24</x:v>
      </x:c>
      <x:c r="AI128" t="n">
        <x:v>15</x:v>
      </x:c>
      <x:c r="AJ128" t="n">
        <x:v>1</x:v>
      </x:c>
      <x:c r="AK128" t="n">
        <x:v>250</x:v>
      </x:c>
      <x:c r="AL128" t="str">
        <x:v>Direkte elektrisk; Olje; Fjernvarme;</x:v>
      </x:c>
      <x:c r="AM128"/>
      <x:c r="AN128"/>
      <x:c r="AO128"/>
      <x:c r="AP128"/>
      <x:c r="AQ128"/>
      <x:c r="AR128"/>
      <x:c r="AS128"/>
      <x:c r="AT128"/>
      <x:c r="AU128" t="str">
        <x:v>energiattester_export_2025-08-14.json | PDF vedlegg side 5-7</x:v>
      </x:c>
      <x:c r="AV128" s="12" t="n">
        <x:f>IF(COUNT(O128,P128,Q128,R128,K128,L128,M128,N128)=8,O128*K128+P128*L128+Q128*M128+R128*N128,"")</x:f>
        <x:v>1440.32</x:v>
      </x:c>
      <x:c r="AW128" s="12" t="n">
        <x:f>IF(AND(ISNUMBER(AV128),H128&gt;0),AV128/H128,"")</x:f>
        <x:v>1.2083221476510067</x:v>
      </x:c>
      <x:c r="AX128" s="12" t="n">
        <x:f>IF(AND(ISNUMBER(AD128),H128&gt;0),AD128*H128*3600,"")</x:f>
        <x:v>326560320</x:v>
      </x:c>
      <x:c r="AY128" s="12" t="n">
        <x:f>IF(AND(ISNUMBER(Y128),H128&gt;0),Y128*H128,"")</x:f>
        <x:v>163304</x:v>
      </x:c>
      <x:c r="AZ128" t="str">
        <x:v>Høy</x:v>
      </x:c>
    </x:row>
    <x:row r="129" ht="22" customHeight="1">
      <x:c r="A129" t="str">
        <x:v>OT-682e36626e00</x:v>
      </x:c>
      <x:c r="B129" t="n">
        <x:v>2015</x:v>
      </x:c>
      <x:c r="C129" t="str">
        <x:v>Kontorbygg</x:v>
      </x:c>
      <x:c r="D129" t="str">
        <x:v>KONTORER, MED VENTILASJON OG KJØLEANLEGG</x:v>
      </x:c>
      <x:c r="E129" t="str">
        <x:v>G</x:v>
      </x:c>
      <x:c r="F129" t="str">
        <x:v>GREEN</x:v>
      </x:c>
      <x:c r="G129" t="n">
        <x:v>1926</x:v>
      </x:c>
      <x:c r="H129" t="n">
        <x:v>3450</x:v>
      </x:c>
      <x:c r="I129" t="n">
        <x:v>391.4</x:v>
      </x:c>
      <x:c r="J129" t="str">
        <x:v>PDF/avansert</x:v>
      </x:c>
      <x:c r="K129" t="n">
        <x:v>2187</x:v>
      </x:c>
      <x:c r="L129" t="n">
        <x:v>1150</x:v>
      </x:c>
      <x:c r="M129" t="n">
        <x:v>0</x:v>
      </x:c>
      <x:c r="N129" t="n">
        <x:v>709</x:v>
      </x:c>
      <x:c r="O129" t="n">
        <x:v>1.1</x:v>
      </x:c>
      <x:c r="P129" t="n">
        <x:v>0.15</x:v>
      </x:c>
      <x:c r="Q129" t="n">
        <x:v>0</x:v>
      </x:c>
      <x:c r="R129" t="n">
        <x:v>1.13</x:v>
      </x:c>
      <x:c r="S129" t="n">
        <x:v>50</x:v>
      </x:c>
      <x:c r="T129" t="n">
        <x:v>49</x:v>
      </x:c>
      <x:c r="U129" t="n">
        <x:v>3</x:v>
      </x:c>
      <x:c r="V129" t="n">
        <x:v>0.25</x:v>
      </x:c>
      <x:c r="W129" t="n">
        <x:v>12</x:v>
      </x:c>
      <x:c r="X129" t="n">
        <x:v>81</x:v>
      </x:c>
      <x:c r="Y129" t="n">
        <x:v>80</x:v>
      </x:c>
      <x:c r="Z129" t="n">
        <x:v>30</x:v>
      </x:c>
      <x:c r="AA129" t="n">
        <x:v>21</x:v>
      </x:c>
      <x:c r="AB129" t="n">
        <x:v>22</x:v>
      </x:c>
      <x:c r="AC129" t="n">
        <x:v>7</x:v>
      </x:c>
      <x:c r="AD129" t="n">
        <x:v>130.8</x:v>
      </x:c>
      <x:c r="AE129" t="n">
        <x:v>0.04</x:v>
      </x:c>
      <x:c r="AF129" t="n">
        <x:v>12</x:v>
      </x:c>
      <x:c r="AG129" t="n">
        <x:v>12</x:v>
      </x:c>
      <x:c r="AH129" t="n">
        <x:v>24</x:v>
      </x:c>
      <x:c r="AI129" t="n">
        <x:v>8</x:v>
      </x:c>
      <x:c r="AJ129" t="n">
        <x:v>11</x:v>
      </x:c>
      <x:c r="AK129" t="n">
        <x:v>240</x:v>
      </x:c>
      <x:c r="AL129" t="str">
        <x:v>Fjernvarme;</x:v>
      </x:c>
      <x:c r="AM129" t="n">
        <x:v>1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str">
        <x:v>energiattester_export_2025-08-14.json | PDF vedlegg side 5-7</x:v>
      </x:c>
      <x:c r="AV129" s="12" t="n">
        <x:f>IF(COUNT(O129,P129,Q129,R129,K129,L129,M129,N129)=8,O129*K129+P129*L129+Q129*M129+R129*N129,"")</x:f>
        <x:v>3379.3700000000003</x:v>
      </x:c>
      <x:c r="AW129" s="12" t="n">
        <x:f>IF(AND(ISNUMBER(AV129),H129&gt;0),AV129/H129,"")</x:f>
        <x:v>0.9795275362318842</x:v>
      </x:c>
      <x:c r="AX129" s="12" t="n">
        <x:f>IF(AND(ISNUMBER(AD129),H129&gt;0),AD129*H129*3600,"")</x:f>
        <x:v>1624536000.0000002</x:v>
      </x:c>
      <x:c r="AY129" s="12" t="n">
        <x:f>IF(AND(ISNUMBER(Y129),H129&gt;0),Y129*H129,"")</x:f>
        <x:v>276000</x:v>
      </x:c>
      <x:c r="AZ129" t="str">
        <x:v>Høy</x:v>
      </x:c>
    </x:row>
    <x:row r="130" ht="22" customHeight="1">
      <x:c r="A130" t="str">
        <x:v>OT-5ed275dbd009</x:v>
      </x:c>
      <x:c r="B130" t="n">
        <x:v>2015</x:v>
      </x:c>
      <x:c r="C130" t="str">
        <x:v>Kontorbygg</x:v>
      </x:c>
      <x:c r="D130" t="str">
        <x:v>KONTORER, MED VENTILASJON OG KJØLEANLEGG</x:v>
      </x:c>
      <x:c r="E130" t="str">
        <x:v>E</x:v>
      </x:c>
      <x:c r="F130" t="str">
        <x:v>RED</x:v>
      </x:c>
      <x:c r="G130" t="n">
        <x:v>1949</x:v>
      </x:c>
      <x:c r="H130" t="n">
        <x:v>964</x:v>
      </x:c>
      <x:c r="I130" t="n">
        <x:v>191.2</x:v>
      </x:c>
      <x:c r="J130" t="str">
        <x:v>PDF/avansert</x:v>
      </x:c>
      <x:c r="K130" t="n">
        <x:v>587</x:v>
      </x:c>
      <x:c r="L130" t="n">
        <x:v>320</x:v>
      </x:c>
      <x:c r="M130" t="n">
        <x:v>320</x:v>
      </x:c>
      <x:c r="N130" t="n">
        <x:v>120</x:v>
      </x:c>
      <x:c r="O130" t="n">
        <x:v>0.41</x:v>
      </x:c>
      <x:c r="P130" t="n">
        <x:v>0.2</x:v>
      </x:c>
      <x:c r="Q130" t="n">
        <x:v>0.12</x:v>
      </x:c>
      <x:c r="R130" t="n">
        <x:v>2.32</x:v>
      </x:c>
      <x:c r="S130" t="n">
        <x:v>70</x:v>
      </x:c>
      <x:c r="T130" t="n">
        <x:v>70</x:v>
      </x:c>
      <x:c r="U130" t="n">
        <x:v>2</x:v>
      </x:c>
      <x:c r="V130" t="n">
        <x:v>0.45</x:v>
      </x:c>
      <x:c r="W130" t="n">
        <x:v>10</x:v>
      </x:c>
      <x:c r="X130" t="n">
        <x:v>89</x:v>
      </x:c>
      <x:c r="Y130" t="n">
        <x:v>80</x:v>
      </x:c>
      <x:c r="Z130" t="n">
        <x:v>0</x:v>
      </x:c>
      <x:c r="AA130" t="n">
        <x:v>21</x:v>
      </x:c>
      <x:c r="AB130" t="n">
        <x:v>22</x:v>
      </x:c>
      <x:c r="AC130" t="n">
        <x:v>1.5</x:v>
      </x:c>
      <x:c r="AD130" t="n">
        <x:v>121.2</x:v>
      </x:c>
      <x:c r="AE130" t="n">
        <x:v>0.06</x:v>
      </x:c>
      <x:c r="AF130" t="n">
        <x:v>12</x:v>
      </x:c>
      <x:c r="AG130" t="n">
        <x:v>12</x:v>
      </x:c>
      <x:c r="AH130" t="n">
        <x:v>24</x:v>
      </x:c>
      <x:c r="AI130" t="n">
        <x:v>8</x:v>
      </x:c>
      <x:c r="AJ130" t="n">
        <x:v>11</x:v>
      </x:c>
      <x:c r="AK130" t="n">
        <x:v>250</x:v>
      </x:c>
      <x:c r="AL130" t="str">
        <x:v>Direkte elektrisk;</x:v>
      </x:c>
      <x:c r="AM130" t="n">
        <x:v>0</x:v>
      </x:c>
      <x:c r="AN130" t="n">
        <x:v>0</x:v>
      </x:c>
      <x:c r="AO130" t="n">
        <x:v>0</x:v>
      </x:c>
      <x:c r="AP130" t="n">
        <x:v>1</x:v>
      </x:c>
      <x:c r="AQ130" t="n">
        <x:v>0</x:v>
      </x:c>
      <x:c r="AR130" t="n">
        <x:v>0</x:v>
      </x:c>
      <x:c r="AS130" t="n">
        <x:v>1</x:v>
      </x:c>
      <x:c r="AT130" t="n">
        <x:v>1</x:v>
      </x:c>
      <x:c r="AU130" t="str">
        <x:v>energiattester_export_2025-08-14.json | PDF vedlegg side 5-7</x:v>
      </x:c>
      <x:c r="AV130" s="12" t="n">
        <x:f>IF(COUNT(O130,P130,Q130,R130,K130,L130,M130,N130)=8,O130*K130+P130*L130+Q130*M130+R130*N130,"")</x:f>
        <x:v>621.4699999999999</x:v>
      </x:c>
      <x:c r="AW130" s="12" t="n">
        <x:f>IF(AND(ISNUMBER(AV130),H130&gt;0),AV130/H130,"")</x:f>
        <x:v>0.6446784232365145</x:v>
      </x:c>
      <x:c r="AX130" s="12" t="n">
        <x:f>IF(AND(ISNUMBER(AD130),H130&gt;0),AD130*H130*3600,"")</x:f>
        <x:v>420612480</x:v>
      </x:c>
      <x:c r="AY130" s="12" t="n">
        <x:f>IF(AND(ISNUMBER(Y130),H130&gt;0),Y130*H130,"")</x:f>
        <x:v>77120</x:v>
      </x:c>
      <x:c r="AZ130" t="str">
        <x:v>Høy</x:v>
      </x:c>
    </x:row>
    <x:row r="131" ht="22" customHeight="1">
      <x:c r="A131" t="str">
        <x:v>OT-1e2297a2f5bd</x:v>
      </x:c>
      <x:c r="B131" t="n">
        <x:v>2015</x:v>
      </x:c>
      <x:c r="C131" t="str">
        <x:v>Kontorbygg</x:v>
      </x:c>
      <x:c r="D131" t="str">
        <x:v>KONTORER, MED VENTILASJON OG KJØLEANLEGG</x:v>
      </x:c>
      <x:c r="E131" t="str">
        <x:v>E</x:v>
      </x:c>
      <x:c r="F131" t="str">
        <x:v>ORANGE</x:v>
      </x:c>
      <x:c r="G131" t="n">
        <x:v>1946</x:v>
      </x:c>
      <x:c r="H131" t="n">
        <x:v>1681</x:v>
      </x:c>
      <x:c r="I131" t="n">
        <x:v>207.2</x:v>
      </x:c>
      <x:c r="J131" t="str">
        <x:v>PDF/avansert</x:v>
      </x:c>
      <x:c r="K131" t="n">
        <x:v>871</x:v>
      </x:c>
      <x:c r="L131" t="n">
        <x:v>650</x:v>
      </x:c>
      <x:c r="M131" t="n">
        <x:v>758</x:v>
      </x:c>
      <x:c r="N131" t="n">
        <x:v>252</x:v>
      </x:c>
      <x:c r="O131" t="n">
        <x:v>0.19</x:v>
      </x:c>
      <x:c r="P131" t="n">
        <x:v>0.21</x:v>
      </x:c>
      <x:c r="Q131" t="n">
        <x:v>1.44</x:v>
      </x:c>
      <x:c r="R131" t="n">
        <x:v>1.01</x:v>
      </x:c>
      <x:c r="S131" t="n">
        <x:v>82</x:v>
      </x:c>
      <x:c r="T131" t="n">
        <x:v>82</x:v>
      </x:c>
      <x:c r="U131" t="n">
        <x:v>2.02</x:v>
      </x:c>
      <x:c r="V131" t="n">
        <x:v>0.3</x:v>
      </x:c>
      <x:c r="W131" t="n">
        <x:v>10.12</x:v>
      </x:c>
      <x:c r="X131" t="n">
        <x:v>160</x:v>
      </x:c>
      <x:c r="Y131" t="n">
        <x:v>80</x:v>
      </x:c>
      <x:c r="Z131" t="n">
        <x:v>70</x:v>
      </x:c>
      <x:c r="AA131" t="n">
        <x:v>21</x:v>
      </x:c>
      <x:c r="AB131" t="n">
        <x:v>22</x:v>
      </x:c>
      <x:c r="AC131" t="n">
        <x:v>1.5</x:v>
      </x:c>
      <x:c r="AD131" t="n">
        <x:v>78.2</x:v>
      </x:c>
      <x:c r="AE131" t="n">
        <x:v>0.06</x:v>
      </x:c>
      <x:c r="AF131" t="n">
        <x:v>12</x:v>
      </x:c>
      <x:c r="AG131" t="n">
        <x:v>12</x:v>
      </x:c>
      <x:c r="AH131" t="n">
        <x:v>24</x:v>
      </x:c>
      <x:c r="AI131" t="n">
        <x:v>8</x:v>
      </x:c>
      <x:c r="AJ131" t="n">
        <x:v>11</x:v>
      </x:c>
      <x:c r="AK131" t="n">
        <x:v>250</x:v>
      </x:c>
      <x:c r="AL131" t="str">
        <x:v>Direkte elektrisk; Varmepumpe;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str">
        <x:v>energiattester_export_2025-08-14.json | PDF vedlegg side 5-7</x:v>
      </x:c>
      <x:c r="AV131" s="12" t="n">
        <x:f>IF(COUNT(O131,P131,Q131,R131,K131,L131,M131,N131)=8,O131*K131+P131*L131+Q131*M131+R131*N131,"")</x:f>
        <x:v>1648.03</x:v>
      </x:c>
      <x:c r="AW131" s="12" t="n">
        <x:f>IF(AND(ISNUMBER(AV131),H131&gt;0),AV131/H131,"")</x:f>
        <x:v>0.9803866745984533</x:v>
      </x:c>
      <x:c r="AX131" s="12" t="n">
        <x:f>IF(AND(ISNUMBER(AD131),H131&gt;0),AD131*H131*3600,"")</x:f>
        <x:v>473235120.00000006</x:v>
      </x:c>
      <x:c r="AY131" s="12" t="n">
        <x:f>IF(AND(ISNUMBER(Y131),H131&gt;0),Y131*H131,"")</x:f>
        <x:v>134480</x:v>
      </x:c>
      <x:c r="AZ131" t="str">
        <x:v>Høy</x:v>
      </x:c>
    </x:row>
    <x:row r="132" ht="22" customHeight="1">
      <x:c r="A132" t="str">
        <x:v>OT-b8a305777269</x:v>
      </x:c>
      <x:c r="B132" t="n">
        <x:v>2015</x:v>
      </x:c>
      <x:c r="C132" t="str">
        <x:v>Kontorbygg</x:v>
      </x:c>
      <x:c r="D132" t="str">
        <x:v>KONTORER, MED VENTILASJON OG KJØLEANLEGG</x:v>
      </x:c>
      <x:c r="E132" t="str">
        <x:v>D</x:v>
      </x:c>
      <x:c r="F132" t="str">
        <x:v>RED</x:v>
      </x:c>
      <x:c r="G132" t="n">
        <x:v>1960</x:v>
      </x:c>
      <x:c r="H132" t="n">
        <x:v>1741</x:v>
      </x:c>
      <x:c r="I132" t="n">
        <x:v>175.4</x:v>
      </x:c>
      <x:c r="J132" t="str">
        <x:v>PDF/avansert</x:v>
      </x:c>
      <x:c r="K132" t="n">
        <x:v>1113</x:v>
      </x:c>
      <x:c r="L132" t="n">
        <x:v>510</x:v>
      </x:c>
      <x:c r="M132" t="n">
        <x:v>697</x:v>
      </x:c>
      <x:c r="N132" t="n">
        <x:v>276</x:v>
      </x:c>
      <x:c r="O132" t="n">
        <x:v>0.21</x:v>
      </x:c>
      <x:c r="P132" t="n">
        <x:v>0.2</x:v>
      </x:c>
      <x:c r="Q132" t="n">
        <x:v>0.17</x:v>
      </x:c>
      <x:c r="R132" t="n">
        <x:v>1.46</x:v>
      </x:c>
      <x:c r="S132" t="n">
        <x:v>60</x:v>
      </x:c>
      <x:c r="T132" t="n">
        <x:v>60</x:v>
      </x:c>
      <x:c r="U132" t="n">
        <x:v>2.5</x:v>
      </x:c>
      <x:c r="V132" t="n">
        <x:v>0</x:v>
      </x:c>
      <x:c r="W132" t="n">
        <x:v>7</x:v>
      </x:c>
      <x:c r="X132" t="n">
        <x:v>89</x:v>
      </x:c>
      <x:c r="Y132" t="n">
        <x:v>80</x:v>
      </x:c>
      <x:c r="Z132" t="n">
        <x:v>40</x:v>
      </x:c>
      <x:c r="AA132" t="n">
        <x:v>21</x:v>
      </x:c>
      <x:c r="AB132" t="n">
        <x:v>22</x:v>
      </x:c>
      <x:c r="AC132" t="n">
        <x:v>1.5</x:v>
      </x:c>
      <x:c r="AD132" t="n">
        <x:v>56.4</x:v>
      </x:c>
      <x:c r="AE132" t="n">
        <x:v>0.09</x:v>
      </x:c>
      <x:c r="AF132" t="n">
        <x:v>12</x:v>
      </x:c>
      <x:c r="AG132" t="n">
        <x:v>12</x:v>
      </x:c>
      <x:c r="AH132" t="n">
        <x:v>24</x:v>
      </x:c>
      <x:c r="AI132" t="n">
        <x:v>8</x:v>
      </x:c>
      <x:c r="AJ132" t="n">
        <x:v>11</x:v>
      </x:c>
      <x:c r="AK132" t="n">
        <x:v>240</x:v>
      </x:c>
      <x:c r="AL132" t="str">
        <x:v>Direkte elektrisk;</x:v>
      </x:c>
      <x:c r="AM132"/>
      <x:c r="AN132"/>
      <x:c r="AO132"/>
      <x:c r="AP132"/>
      <x:c r="AQ132"/>
      <x:c r="AR132"/>
      <x:c r="AS132"/>
      <x:c r="AT132"/>
      <x:c r="AU132" t="str">
        <x:v>energiattester_export_2025-08-14.json | PDF vedlegg side 5-7</x:v>
      </x:c>
      <x:c r="AV132" s="12" t="n">
        <x:f>IF(COUNT(O132,P132,Q132,R132,K132,L132,M132,N132)=8,O132*K132+P132*L132+Q132*M132+R132*N132,"")</x:f>
        <x:v>857.1800000000001</x:v>
      </x:c>
      <x:c r="AW132" s="12" t="n">
        <x:f>IF(AND(ISNUMBER(AV132),H132&gt;0),AV132/H132,"")</x:f>
        <x:v>0.4923492245835727</x:v>
      </x:c>
      <x:c r="AX132" s="12" t="n">
        <x:f>IF(AND(ISNUMBER(AD132),H132&gt;0),AD132*H132*3600,"")</x:f>
        <x:v>353492640</x:v>
      </x:c>
      <x:c r="AY132" s="12" t="n">
        <x:f>IF(AND(ISNUMBER(Y132),H132&gt;0),Y132*H132,"")</x:f>
        <x:v>139280</x:v>
      </x:c>
      <x:c r="AZ132" t="str">
        <x:v>Høy</x:v>
      </x:c>
    </x:row>
    <x:row r="133" ht="22" customHeight="1">
      <x:c r="A133" t="str">
        <x:v>OT-dd8e7f9347b8</x:v>
      </x:c>
      <x:c r="B133" t="n">
        <x:v>2015</x:v>
      </x:c>
      <x:c r="C133" t="str">
        <x:v>Kontorbygg</x:v>
      </x:c>
      <x:c r="D133" t="str">
        <x:v>Annet kontorbygg</x:v>
      </x:c>
      <x:c r="E133" t="str">
        <x:v>D</x:v>
      </x:c>
      <x:c r="F133" t="str">
        <x:v>RED</x:v>
      </x:c>
      <x:c r="G133" t="n">
        <x:v>2005</x:v>
      </x:c>
      <x:c r="H133" t="n">
        <x:v>4706</x:v>
      </x:c>
      <x:c r="I133" t="n">
        <x:v>150.91</x:v>
      </x:c>
      <x:c r="J133" t="str">
        <x:v>PDF/avansert</x:v>
      </x:c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1</x:v>
      </x:c>
      <x:c r="AS133" t="n">
        <x:v>1</x:v>
      </x:c>
      <x:c r="AT133" t="n">
        <x:v>0</x:v>
      </x:c>
      <x:c r="AU133" t="str">
        <x:v>energiattester_export_2025-08-14.json | PDF vedlegg side 5-7</x:v>
      </x:c>
      <x:c r="AV133" s="12" t="str">
        <x:f>IF(COUNT(O133,P133,Q133,R133,K133,L133,M133,N133)=8,O133*K133+P133*L133+Q133*M133+R133*N133,"")</x:f>
      </x:c>
      <x:c r="AW133" s="12" t="str">
        <x:f>IF(AND(ISNUMBER(AV133),H133&gt;0),AV133/H133,"")</x:f>
      </x:c>
      <x:c r="AX133" s="12" t="str">
        <x:f>IF(AND(ISNUMBER(AD133),H133&gt;0),AD133*H133*3600,"")</x:f>
      </x:c>
      <x:c r="AY133" s="12" t="str">
        <x:f>IF(AND(ISNUMBER(Y133),H133&gt;0),Y133*H133,"")</x:f>
      </x:c>
      <x:c r="AZ133" t="str">
        <x:v>Mangler data</x:v>
      </x:c>
    </x:row>
    <x:row r="134" ht="22" customHeight="1">
      <x:c r="A134" t="str">
        <x:v>OT-9bf9698caa11</x:v>
      </x:c>
      <x:c r="B134" t="n">
        <x:v>2015</x:v>
      </x:c>
      <x:c r="C134" t="str">
        <x:v>Forretningsbygg</x:v>
      </x:c>
      <x:c r="D134" t="str">
        <x:v>BUTIKK</x:v>
      </x:c>
      <x:c r="E134" t="str">
        <x:v>B</x:v>
      </x:c>
      <x:c r="F134" t="str">
        <x:v>ORANGE</x:v>
      </x:c>
      <x:c r="G134" t="n">
        <x:v>2015</x:v>
      </x:c>
      <x:c r="H134" t="n">
        <x:v>6050</x:v>
      </x:c>
      <x:c r="I134" t="n">
        <x:v>115.8</x:v>
      </x:c>
      <x:c r="J134" t="str">
        <x:v>PDF/avansert</x:v>
      </x:c>
      <x:c r="K134" t="n">
        <x:v>2167</x:v>
      </x:c>
      <x:c r="L134" t="n">
        <x:v>3025</x:v>
      </x:c>
      <x:c r="M134" t="n">
        <x:v>3025</x:v>
      </x:c>
      <x:c r="N134" t="n">
        <x:v>518</x:v>
      </x:c>
      <x:c r="O134" t="n">
        <x:v>0.17</x:v>
      </x:c>
      <x:c r="P134" t="n">
        <x:v>0.13</x:v>
      </x:c>
      <x:c r="Q134" t="n">
        <x:v>0.06</x:v>
      </x:c>
      <x:c r="R134" t="n">
        <x:v>1.02</x:v>
      </x:c>
      <x:c r="S134" t="n">
        <x:v>82</x:v>
      </x:c>
      <x:c r="T134" t="n">
        <x:v>82</x:v>
      </x:c>
      <x:c r="U134" t="n">
        <x:v>2</x:v>
      </x:c>
      <x:c r="V134" t="n">
        <x:v>0.15</x:v>
      </x:c>
      <x:c r="W134" t="n">
        <x:v>13</x:v>
      </x:c>
      <x:c r="X134" t="n">
        <x:v>200</x:v>
      </x:c>
      <x:c r="Y134" t="n">
        <x:v>50</x:v>
      </x:c>
      <x:c r="Z134" t="n">
        <x:v>0</x:v>
      </x:c>
      <x:c r="AA134" t="n">
        <x:v>21</x:v>
      </x:c>
      <x:c r="AB134" t="n">
        <x:v>22</x:v>
      </x:c>
      <x:c r="AC134" t="n">
        <x:v>1.5</x:v>
      </x:c>
      <x:c r="AD134" t="n">
        <x:v>71.8</x:v>
      </x:c>
      <x:c r="AE134" t="n">
        <x:v>0.06</x:v>
      </x:c>
      <x:c r="AF134" t="n">
        <x:v>12</x:v>
      </x:c>
      <x:c r="AG134" t="n">
        <x:v>12</x:v>
      </x:c>
      <x:c r="AH134" t="n">
        <x:v>24</x:v>
      </x:c>
      <x:c r="AI134" t="n">
        <x:v>15</x:v>
      </x:c>
      <x:c r="AJ134" t="n">
        <x:v>1</x:v>
      </x:c>
      <x:c r="AK134" t="n">
        <x:v>250</x:v>
      </x:c>
      <x:c r="AL134" t="str">
        <x:v>Direkte elektrisk; Varmepumpe;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1</x:v>
      </x:c>
      <x:c r="AS134" t="n">
        <x:v>1</x:v>
      </x:c>
      <x:c r="AT134" t="n">
        <x:v>0</x:v>
      </x:c>
      <x:c r="AU134" t="str">
        <x:v>energiattester_export_2025-08-14.json | PDF vedlegg side 5-7</x:v>
      </x:c>
      <x:c r="AV134" s="12" t="n">
        <x:f>IF(COUNT(O134,P134,Q134,R134,K134,L134,M134,N134)=8,O134*K134+P134*L134+Q134*M134+R134*N134,"")</x:f>
        <x:v>1471.5</x:v>
      </x:c>
      <x:c r="AW134" s="12" t="n">
        <x:f>IF(AND(ISNUMBER(AV134),H134&gt;0),AV134/H134,"")</x:f>
        <x:v>0.24322314049586777</x:v>
      </x:c>
      <x:c r="AX134" s="12" t="n">
        <x:f>IF(AND(ISNUMBER(AD134),H134&gt;0),AD134*H134*3600,"")</x:f>
        <x:v>1563804000</x:v>
      </x:c>
      <x:c r="AY134" s="12" t="n">
        <x:f>IF(AND(ISNUMBER(Y134),H134&gt;0),Y134*H134,"")</x:f>
        <x:v>302500</x:v>
      </x:c>
      <x:c r="AZ134" t="str">
        <x:v>Høy</x:v>
      </x:c>
    </x:row>
    <x:row r="135" ht="22" customHeight="1">
      <x:c r="A135" t="str">
        <x:v>OT-b4a61cc70963</x:v>
      </x:c>
      <x:c r="B135" t="n">
        <x:v>2015</x:v>
      </x:c>
      <x:c r="C135" t="str">
        <x:v>Kontorbygg</x:v>
      </x:c>
      <x:c r="D135" t="str">
        <x:v>KONTORER, ENKLE</x:v>
      </x:c>
      <x:c r="E135" t="str">
        <x:v>E</x:v>
      </x:c>
      <x:c r="F135" t="str">
        <x:v>RED</x:v>
      </x:c>
      <x:c r="G135" t="n">
        <x:v>1964</x:v>
      </x:c>
      <x:c r="H135" t="n">
        <x:v>1295</x:v>
      </x:c>
      <x:c r="I135" t="n">
        <x:v>214</x:v>
      </x:c>
      <x:c r="J135" t="str">
        <x:v>PDF/avansert</x:v>
      </x:c>
      <x:c r="K135" t="n">
        <x:v>536</x:v>
      </x:c>
      <x:c r="L135" t="n">
        <x:v>553</x:v>
      </x:c>
      <x:c r="M135" t="n">
        <x:v>527</x:v>
      </x:c>
      <x:c r="N135" t="n">
        <x:v>210</x:v>
      </x:c>
      <x:c r="O135" t="n">
        <x:v>0.39</x:v>
      </x:c>
      <x:c r="P135" t="n">
        <x:v>0.2</x:v>
      </x:c>
      <x:c r="Q135" t="n">
        <x:v>0.2</x:v>
      </x:c>
      <x:c r="R135" t="n">
        <x:v>1.92</x:v>
      </x:c>
      <x:c r="S135" t="n">
        <x:v>78</x:v>
      </x:c>
      <x:c r="T135" t="n">
        <x:v>78</x:v>
      </x:c>
      <x:c r="U135" t="n">
        <x:v>1.99</x:v>
      </x:c>
      <x:c r="V135" t="n">
        <x:v>0.52</x:v>
      </x:c>
      <x:c r="W135" t="n">
        <x:v>8.6</x:v>
      </x:c>
      <x:c r="X135" t="n">
        <x:v>75</x:v>
      </x:c>
      <x:c r="Y135" t="n">
        <x:v>290</x:v>
      </x:c>
      <x:c r="Z135" t="n">
        <x:v>64</x:v>
      </x:c>
      <x:c r="AA135" t="n">
        <x:v>21</x:v>
      </x:c>
      <x:c r="AB135" t="n">
        <x:v>22</x:v>
      </x:c>
      <x:c r="AC135" t="n">
        <x:v>5</x:v>
      </x:c>
      <x:c r="AD135" t="n">
        <x:v>99.2</x:v>
      </x:c>
      <x:c r="AE135" t="n">
        <x:v>0.08</x:v>
      </x:c>
      <x:c r="AF135" t="n">
        <x:v>12</x:v>
      </x:c>
      <x:c r="AG135" t="n">
        <x:v>12</x:v>
      </x:c>
      <x:c r="AH135" t="n">
        <x:v>24</x:v>
      </x:c>
      <x:c r="AI135" t="n">
        <x:v>8</x:v>
      </x:c>
      <x:c r="AJ135" t="n">
        <x:v>11</x:v>
      </x:c>
      <x:c r="AK135" t="n">
        <x:v>250</x:v>
      </x:c>
      <x:c r="AL135" t="str">
        <x:v>Direkte elektrisk; Olje;</x:v>
      </x:c>
      <x:c r="AM135" t="n">
        <x:v>0</x:v>
      </x:c>
      <x:c r="AN135" t="n">
        <x:v>0</x:v>
      </x:c>
      <x:c r="AO135" t="n">
        <x:v>1</x:v>
      </x:c>
      <x:c r="AP135" t="n">
        <x:v>0</x:v>
      </x:c>
      <x:c r="AQ135" t="n">
        <x:v>0</x:v>
      </x:c>
      <x:c r="AR135" t="n">
        <x:v>1</x:v>
      </x:c>
      <x:c r="AS135" t="n">
        <x:v>1</x:v>
      </x:c>
      <x:c r="AT135" t="n">
        <x:v>1</x:v>
      </x:c>
      <x:c r="AU135" t="str">
        <x:v>energiattester_export_2025-08-14.json | PDF vedlegg side 5-7</x:v>
      </x:c>
      <x:c r="AV135" s="12" t="n">
        <x:f>IF(COUNT(O135,P135,Q135,R135,K135,L135,M135,N135)=8,O135*K135+P135*L135+Q135*M135+R135*N135,"")</x:f>
        <x:v>828.24</x:v>
      </x:c>
      <x:c r="AW135" s="12" t="n">
        <x:f>IF(AND(ISNUMBER(AV135),H135&gt;0),AV135/H135,"")</x:f>
        <x:v>0.6395675675675676</x:v>
      </x:c>
      <x:c r="AX135" s="12" t="n">
        <x:f>IF(AND(ISNUMBER(AD135),H135&gt;0),AD135*H135*3600,"")</x:f>
        <x:v>462470400</x:v>
      </x:c>
      <x:c r="AY135" s="12" t="n">
        <x:f>IF(AND(ISNUMBER(Y135),H135&gt;0),Y135*H135,"")</x:f>
        <x:v>375550</x:v>
      </x:c>
      <x:c r="AZ135" t="str">
        <x:v>Høy</x:v>
      </x:c>
    </x:row>
    <x:row r="136" ht="22" customHeight="1">
      <x:c r="A136" t="str">
        <x:v>OT-24134e66db05</x:v>
      </x:c>
      <x:c r="B136" t="n">
        <x:v>2015</x:v>
      </x:c>
      <x:c r="C136" t="str">
        <x:v>Kontorbygg</x:v>
      </x:c>
      <x:c r="D136" t="str">
        <x:v>KONTORER, ENKLE</x:v>
      </x:c>
      <x:c r="E136" t="str">
        <x:v>F</x:v>
      </x:c>
      <x:c r="F136" t="str">
        <x:v>RED</x:v>
      </x:c>
      <x:c r="G136" t="n">
        <x:v>1956</x:v>
      </x:c>
      <x:c r="H136" t="n">
        <x:v>2159</x:v>
      </x:c>
      <x:c r="I136" t="n">
        <x:v>252.1</x:v>
      </x:c>
      <x:c r="J136" t="str">
        <x:v>PDF/avansert</x:v>
      </x:c>
      <x:c r="K136" t="n">
        <x:v>763</x:v>
      </x:c>
      <x:c r="L136" t="n">
        <x:v>1006</x:v>
      </x:c>
      <x:c r="M136" t="n">
        <x:v>686</x:v>
      </x:c>
      <x:c r="N136" t="n">
        <x:v>286</x:v>
      </x:c>
      <x:c r="O136" t="n">
        <x:v>0.53</x:v>
      </x:c>
      <x:c r="P136" t="n">
        <x:v>0.36</x:v>
      </x:c>
      <x:c r="Q136" t="n">
        <x:v>0.25</x:v>
      </x:c>
      <x:c r="R136" t="n">
        <x:v>1.99</x:v>
      </x:c>
      <x:c r="S136" t="n">
        <x:v>75</x:v>
      </x:c>
      <x:c r="T136" t="n">
        <x:v>75</x:v>
      </x:c>
      <x:c r="U136" t="n">
        <x:v>2.4</x:v>
      </x:c>
      <x:c r="V136" t="n">
        <x:v>0.64</x:v>
      </x:c>
      <x:c r="W136" t="n">
        <x:v>7</x:v>
      </x:c>
      <x:c r="X136" t="n">
        <x:v>69</x:v>
      </x:c>
      <x:c r="Y136" t="n">
        <x:v>165</x:v>
      </x:c>
      <x:c r="Z136" t="n">
        <x:v>33</x:v>
      </x:c>
      <x:c r="AA136" t="n">
        <x:v>21</x:v>
      </x:c>
      <x:c r="AB136" t="n">
        <x:v>22</x:v>
      </x:c>
      <x:c r="AC136" t="n">
        <x:v>7</x:v>
      </x:c>
      <x:c r="AD136" t="n">
        <x:v>95.2</x:v>
      </x:c>
      <x:c r="AE136" t="n">
        <x:v>0.08</x:v>
      </x:c>
      <x:c r="AF136" t="n">
        <x:v>12</x:v>
      </x:c>
      <x:c r="AG136" t="n">
        <x:v>12</x:v>
      </x:c>
      <x:c r="AH136" t="n">
        <x:v>24</x:v>
      </x:c>
      <x:c r="AI136" t="n">
        <x:v>8</x:v>
      </x:c>
      <x:c r="AJ136" t="n">
        <x:v>11</x:v>
      </x:c>
      <x:c r="AK136" t="n">
        <x:v>250</x:v>
      </x:c>
      <x:c r="AL136" t="str">
        <x:v>Direkte elektrisk; Olje;</x:v>
      </x:c>
      <x:c r="AM136" t="n">
        <x:v>0</x:v>
      </x:c>
      <x:c r="AN136" t="n">
        <x:v>0</x:v>
      </x:c>
      <x:c r="AO136" t="n">
        <x:v>1</x:v>
      </x:c>
      <x:c r="AP136" t="n">
        <x:v>0</x:v>
      </x:c>
      <x:c r="AQ136" t="n">
        <x:v>0</x:v>
      </x:c>
      <x:c r="AR136" t="n">
        <x:v>1</x:v>
      </x:c>
      <x:c r="AS136" t="n">
        <x:v>1</x:v>
      </x:c>
      <x:c r="AT136" t="n">
        <x:v>1</x:v>
      </x:c>
      <x:c r="AU136" t="str">
        <x:v>energiattester_export_2025-08-14.json | PDF vedlegg side 5-7</x:v>
      </x:c>
      <x:c r="AV136" s="12" t="n">
        <x:f>IF(COUNT(O136,P136,Q136,R136,K136,L136,M136,N136)=8,O136*K136+P136*L136+Q136*M136+R136*N136,"")</x:f>
        <x:v>1507.19</x:v>
      </x:c>
      <x:c r="AW136" s="12" t="n">
        <x:f>IF(AND(ISNUMBER(AV136),H136&gt;0),AV136/H136,"")</x:f>
        <x:v>0.6980963408985642</x:v>
      </x:c>
      <x:c r="AX136" s="12" t="n">
        <x:f>IF(AND(ISNUMBER(AD136),H136&gt;0),AD136*H136*3600,"")</x:f>
        <x:v>739932480.0000001</x:v>
      </x:c>
      <x:c r="AY136" s="12" t="n">
        <x:f>IF(AND(ISNUMBER(Y136),H136&gt;0),Y136*H136,"")</x:f>
        <x:v>356235</x:v>
      </x:c>
      <x:c r="AZ136" t="str">
        <x:v>Høy</x:v>
      </x:c>
    </x:row>
    <x:row r="137" ht="22" customHeight="1">
      <x:c r="A137" t="str">
        <x:v>OT-3d74ea22ea3e</x:v>
      </x:c>
      <x:c r="B137" t="n">
        <x:v>2015</x:v>
      </x:c>
      <x:c r="C137" t="str">
        <x:v>Kontorbygg</x:v>
      </x:c>
      <x:c r="D137" t="str">
        <x:v>KONTORER, ENKLE</x:v>
      </x:c>
      <x:c r="E137" t="str">
        <x:v>F</x:v>
      </x:c>
      <x:c r="F137" t="str">
        <x:v>RED</x:v>
      </x:c>
      <x:c r="G137" t="n">
        <x:v>1956</x:v>
      </x:c>
      <x:c r="H137" t="n">
        <x:v>2159</x:v>
      </x:c>
      <x:c r="I137" t="n">
        <x:v>252.1</x:v>
      </x:c>
      <x:c r="J137" t="str">
        <x:v>PDF/avansert</x:v>
      </x:c>
      <x:c r="K137" t="n">
        <x:v>763</x:v>
      </x:c>
      <x:c r="L137" t="n">
        <x:v>1006</x:v>
      </x:c>
      <x:c r="M137" t="n">
        <x:v>686</x:v>
      </x:c>
      <x:c r="N137" t="n">
        <x:v>286</x:v>
      </x:c>
      <x:c r="O137" t="n">
        <x:v>0.53</x:v>
      </x:c>
      <x:c r="P137" t="n">
        <x:v>0.36</x:v>
      </x:c>
      <x:c r="Q137" t="n">
        <x:v>0.25</x:v>
      </x:c>
      <x:c r="R137" t="n">
        <x:v>1.99</x:v>
      </x:c>
      <x:c r="S137" t="n">
        <x:v>75</x:v>
      </x:c>
      <x:c r="T137" t="n">
        <x:v>75</x:v>
      </x:c>
      <x:c r="U137" t="n">
        <x:v>2.4</x:v>
      </x:c>
      <x:c r="V137" t="n">
        <x:v>0.64</x:v>
      </x:c>
      <x:c r="W137" t="n">
        <x:v>7</x:v>
      </x:c>
      <x:c r="X137" t="n">
        <x:v>69</x:v>
      </x:c>
      <x:c r="Y137" t="n">
        <x:v>165</x:v>
      </x:c>
      <x:c r="Z137" t="n">
        <x:v>33</x:v>
      </x:c>
      <x:c r="AA137" t="n">
        <x:v>21</x:v>
      </x:c>
      <x:c r="AB137" t="n">
        <x:v>22</x:v>
      </x:c>
      <x:c r="AC137" t="n">
        <x:v>7</x:v>
      </x:c>
      <x:c r="AD137" t="n">
        <x:v>95.2</x:v>
      </x:c>
      <x:c r="AE137" t="n">
        <x:v>0.08</x:v>
      </x:c>
      <x:c r="AF137" t="n">
        <x:v>12</x:v>
      </x:c>
      <x:c r="AG137" t="n">
        <x:v>12</x:v>
      </x:c>
      <x:c r="AH137" t="n">
        <x:v>24</x:v>
      </x:c>
      <x:c r="AI137" t="n">
        <x:v>8</x:v>
      </x:c>
      <x:c r="AJ137" t="n">
        <x:v>11</x:v>
      </x:c>
      <x:c r="AK137" t="n">
        <x:v>250</x:v>
      </x:c>
      <x:c r="AL137" t="str">
        <x:v>Direkte elektrisk; Olje;</x:v>
      </x:c>
      <x:c r="AM137" t="n">
        <x:v>0</x:v>
      </x:c>
      <x:c r="AN137" t="n">
        <x:v>0</x:v>
      </x:c>
      <x:c r="AO137" t="n">
        <x:v>1</x:v>
      </x:c>
      <x:c r="AP137" t="n">
        <x:v>0</x:v>
      </x:c>
      <x:c r="AQ137" t="n">
        <x:v>0</x:v>
      </x:c>
      <x:c r="AR137" t="n">
        <x:v>1</x:v>
      </x:c>
      <x:c r="AS137" t="n">
        <x:v>1</x:v>
      </x:c>
      <x:c r="AT137" t="n">
        <x:v>1</x:v>
      </x:c>
      <x:c r="AU137" t="str">
        <x:v>energiattester_export_2025-08-14.json | PDF vedlegg side 5-7</x:v>
      </x:c>
      <x:c r="AV137" s="12" t="n">
        <x:f>IF(COUNT(O137,P137,Q137,R137,K137,L137,M137,N137)=8,O137*K137+P137*L137+Q137*M137+R137*N137,"")</x:f>
        <x:v>1507.19</x:v>
      </x:c>
      <x:c r="AW137" s="12" t="n">
        <x:f>IF(AND(ISNUMBER(AV137),H137&gt;0),AV137/H137,"")</x:f>
        <x:v>0.6980963408985642</x:v>
      </x:c>
      <x:c r="AX137" s="12" t="n">
        <x:f>IF(AND(ISNUMBER(AD137),H137&gt;0),AD137*H137*3600,"")</x:f>
        <x:v>739932480.0000001</x:v>
      </x:c>
      <x:c r="AY137" s="12" t="n">
        <x:f>IF(AND(ISNUMBER(Y137),H137&gt;0),Y137*H137,"")</x:f>
        <x:v>356235</x:v>
      </x:c>
      <x:c r="AZ137" t="str">
        <x:v>Høy</x:v>
      </x:c>
    </x:row>
    <x:row r="138" ht="22" customHeight="1">
      <x:c r="A138" t="str">
        <x:v>OT-96a1b25fc79a</x:v>
      </x:c>
      <x:c r="B138" t="n">
        <x:v>2015</x:v>
      </x:c>
      <x:c r="C138" t="str">
        <x:v>Kontorbygg</x:v>
      </x:c>
      <x:c r="D138" t="str">
        <x:v>KONTORER, MED VENTILASJON OG KJØLEANLEGG</x:v>
      </x:c>
      <x:c r="E138" t="str">
        <x:v>D</x:v>
      </x:c>
      <x:c r="F138" t="str">
        <x:v>RED</x:v>
      </x:c>
      <x:c r="G138" t="n">
        <x:v>1980</x:v>
      </x:c>
      <x:c r="H138" t="n">
        <x:v>3123</x:v>
      </x:c>
      <x:c r="I138" t="n">
        <x:v>171.3</x:v>
      </x:c>
      <x:c r="J138" t="str">
        <x:v>PDF/avansert</x:v>
      </x:c>
      <x:c r="K138" t="n">
        <x:v>756</x:v>
      </x:c>
      <x:c r="L138" t="n">
        <x:v>1575</x:v>
      </x:c>
      <x:c r="M138" t="n">
        <x:v>1548</x:v>
      </x:c>
      <x:c r="N138" t="n">
        <x:v>141</x:v>
      </x:c>
      <x:c r="O138" t="n">
        <x:v>0.3</x:v>
      </x:c>
      <x:c r="P138" t="n">
        <x:v>0.2</x:v>
      </x:c>
      <x:c r="Q138" t="n">
        <x:v>0.18</x:v>
      </x:c>
      <x:c r="R138" t="n">
        <x:v>2.4</x:v>
      </x:c>
      <x:c r="S138" t="n">
        <x:v>70</x:v>
      </x:c>
      <x:c r="T138" t="n">
        <x:v>70</x:v>
      </x:c>
      <x:c r="U138" t="n">
        <x:v>2</x:v>
      </x:c>
      <x:c r="V138" t="n">
        <x:v>0.33</x:v>
      </x:c>
      <x:c r="W138" t="n">
        <x:v>9</x:v>
      </x:c>
      <x:c r="X138" t="n">
        <x:v>89</x:v>
      </x:c>
      <x:c r="Y138" t="n">
        <x:v>90</x:v>
      </x:c>
      <x:c r="Z138" t="n">
        <x:v>50</x:v>
      </x:c>
      <x:c r="AA138" t="n">
        <x:v>21</x:v>
      </x:c>
      <x:c r="AB138" t="n">
        <x:v>22</x:v>
      </x:c>
      <x:c r="AC138" t="n">
        <x:v>3</x:v>
      </x:c>
      <x:c r="AD138" t="n">
        <x:v>41.5</x:v>
      </x:c>
      <x:c r="AE138" t="n">
        <x:v>0.12</x:v>
      </x:c>
      <x:c r="AF138" t="n">
        <x:v>12</x:v>
      </x:c>
      <x:c r="AG138" t="n">
        <x:v>12</x:v>
      </x:c>
      <x:c r="AH138" t="n">
        <x:v>24</x:v>
      </x:c>
      <x:c r="AI138" t="n">
        <x:v>8</x:v>
      </x:c>
      <x:c r="AJ138" t="n">
        <x:v>11</x:v>
      </x:c>
      <x:c r="AK138" t="n">
        <x:v>250</x:v>
      </x:c>
      <x:c r="AL138" t="str">
        <x:v>Direkte elektrisk;</x:v>
      </x:c>
      <x:c r="AM138"/>
      <x:c r="AN138"/>
      <x:c r="AO138"/>
      <x:c r="AP138"/>
      <x:c r="AQ138"/>
      <x:c r="AR138"/>
      <x:c r="AS138"/>
      <x:c r="AT138"/>
      <x:c r="AU138" t="str">
        <x:v>energiattester_export_2025-08-14.json | PDF vedlegg side 5-7</x:v>
      </x:c>
      <x:c r="AV138" s="12" t="n">
        <x:f>IF(COUNT(O138,P138,Q138,R138,K138,L138,M138,N138)=8,O138*K138+P138*L138+Q138*M138+R138*N138,"")</x:f>
        <x:v>1158.84</x:v>
      </x:c>
      <x:c r="AW138" s="12" t="n">
        <x:f>IF(AND(ISNUMBER(AV138),H138&gt;0),AV138/H138,"")</x:f>
        <x:v>0.37106628242074924</x:v>
      </x:c>
      <x:c r="AX138" s="12" t="n">
        <x:f>IF(AND(ISNUMBER(AD138),H138&gt;0),AD138*H138*3600,"")</x:f>
        <x:v>466576200</x:v>
      </x:c>
      <x:c r="AY138" s="12" t="n">
        <x:f>IF(AND(ISNUMBER(Y138),H138&gt;0),Y138*H138,"")</x:f>
        <x:v>281070</x:v>
      </x:c>
      <x:c r="AZ138" t="str">
        <x:v>Høy</x:v>
      </x:c>
    </x:row>
    <x:row r="139" ht="22" customHeight="1">
      <x:c r="A139" t="str">
        <x:v>OT-f74e12964349</x:v>
      </x:c>
      <x:c r="B139" t="n">
        <x:v>2015</x:v>
      </x:c>
      <x:c r="C139" t="str">
        <x:v>Kontorbygg</x:v>
      </x:c>
      <x:c r="D139" t="str">
        <x:v>KONTORER, MED VENTILASJON OG KJØLEANLEGG</x:v>
      </x:c>
      <x:c r="E139" t="str">
        <x:v>D</x:v>
      </x:c>
      <x:c r="F139" t="str">
        <x:v>RED</x:v>
      </x:c>
      <x:c r="G139" t="n">
        <x:v>2007</x:v>
      </x:c>
      <x:c r="H139" t="n">
        <x:v>1529</x:v>
      </x:c>
      <x:c r="I139" t="n">
        <x:v>151</x:v>
      </x:c>
      <x:c r="J139" t="str">
        <x:v>PDF/avansert</x:v>
      </x:c>
      <x:c r="K139" t="n">
        <x:v>460</x:v>
      </x:c>
      <x:c r="L139" t="n">
        <x:v>509</x:v>
      </x:c>
      <x:c r="M139" t="n">
        <x:v>510</x:v>
      </x:c>
      <x:c r="N139" t="n">
        <x:v>234</x:v>
      </x:c>
      <x:c r="O139" t="n">
        <x:v>0.22</x:v>
      </x:c>
      <x:c r="P139" t="n">
        <x:v>0.17</x:v>
      </x:c>
      <x:c r="Q139" t="n">
        <x:v>0.15</x:v>
      </x:c>
      <x:c r="R139" t="n">
        <x:v>1.4</x:v>
      </x:c>
      <x:c r="S139" t="n">
        <x:v>85</x:v>
      </x:c>
      <x:c r="T139" t="n">
        <x:v>85</x:v>
      </x:c>
      <x:c r="U139" t="n">
        <x:v>2.5</x:v>
      </x:c>
      <x:c r="V139" t="n">
        <x:v>0.33</x:v>
      </x:c>
      <x:c r="W139" t="n">
        <x:v>10</x:v>
      </x:c>
      <x:c r="X139" t="n">
        <x:v>98</x:v>
      </x:c>
      <x:c r="Y139" t="n">
        <x:v>80</x:v>
      </x:c>
      <x:c r="Z139" t="n">
        <x:v>30</x:v>
      </x:c>
      <x:c r="AA139" t="n">
        <x:v>21</x:v>
      </x:c>
      <x:c r="AB139" t="n">
        <x:v>22</x:v>
      </x:c>
      <x:c r="AC139" t="n">
        <x:v>4</x:v>
      </x:c>
      <x:c r="AD139" t="n">
        <x:v>18</x:v>
      </x:c>
      <x:c r="AE139" t="n">
        <x:v>0.06</x:v>
      </x:c>
      <x:c r="AF139" t="n">
        <x:v>12</x:v>
      </x:c>
      <x:c r="AG139" t="n">
        <x:v>12</x:v>
      </x:c>
      <x:c r="AH139" t="n">
        <x:v>24</x:v>
      </x:c>
      <x:c r="AI139" t="n">
        <x:v>8</x:v>
      </x:c>
      <x:c r="AJ139" t="n">
        <x:v>11</x:v>
      </x:c>
      <x:c r="AK139" t="n">
        <x:v>250</x:v>
      </x:c>
      <x:c r="AL139" t="str">
        <x:v>Direkte elektrisk;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1</x:v>
      </x:c>
      <x:c r="AT139" t="n">
        <x:v>1</x:v>
      </x:c>
      <x:c r="AU139" t="str">
        <x:v>energiattester_export_2025-08-14.json | PDF vedlegg side 5-7</x:v>
      </x:c>
      <x:c r="AV139" s="12" t="n">
        <x:f>IF(COUNT(O139,P139,Q139,R139,K139,L139,M139,N139)=8,O139*K139+P139*L139+Q139*M139+R139*N139,"")</x:f>
        <x:v>591.8299999999999</x:v>
      </x:c>
      <x:c r="AW139" s="12" t="n">
        <x:f>IF(AND(ISNUMBER(AV139),H139&gt;0),AV139/H139,"")</x:f>
        <x:v>0.3870699803793328</x:v>
      </x:c>
      <x:c r="AX139" s="12" t="n">
        <x:f>IF(AND(ISNUMBER(AD139),H139&gt;0),AD139*H139*3600,"")</x:f>
        <x:v>99079200</x:v>
      </x:c>
      <x:c r="AY139" s="12" t="n">
        <x:f>IF(AND(ISNUMBER(Y139),H139&gt;0),Y139*H139,"")</x:f>
        <x:v>122320</x:v>
      </x:c>
      <x:c r="AZ139" t="str">
        <x:v>Høy</x:v>
      </x:c>
    </x:row>
    <x:row r="140" ht="22" customHeight="1">
      <x:c r="A140" t="str">
        <x:v>OT-f8dad38360c6</x:v>
      </x:c>
      <x:c r="B140" t="n">
        <x:v>2015</x:v>
      </x:c>
      <x:c r="C140" t="str">
        <x:v>Kontorbygg</x:v>
      </x:c>
      <x:c r="D140" t="str">
        <x:v>KONTORER, ENKLE</x:v>
      </x:c>
      <x:c r="E140" t="str">
        <x:v>D</x:v>
      </x:c>
      <x:c r="F140" t="str">
        <x:v>RED</x:v>
      </x:c>
      <x:c r="G140" t="n">
        <x:v>1983</x:v>
      </x:c>
      <x:c r="H140" t="n">
        <x:v>1400</x:v>
      </x:c>
      <x:c r="I140" t="n">
        <x:v>177</x:v>
      </x:c>
      <x:c r="J140" t="str">
        <x:v>PDF/avansert</x:v>
      </x:c>
      <x:c r="K140" t="n">
        <x:v>563</x:v>
      </x:c>
      <x:c r="L140" t="n">
        <x:v>1508</x:v>
      </x:c>
      <x:c r="M140" t="n">
        <x:v>278</x:v>
      </x:c>
      <x:c r="N140" t="n">
        <x:v>123</x:v>
      </x:c>
      <x:c r="O140" t="n">
        <x:v>0.24</x:v>
      </x:c>
      <x:c r="P140" t="n">
        <x:v>0.2</x:v>
      </x:c>
      <x:c r="Q140" t="n">
        <x:v>0.14</x:v>
      </x:c>
      <x:c r="R140" t="n">
        <x:v>2.45</x:v>
      </x:c>
      <x:c r="S140" t="n">
        <x:v>70</x:v>
      </x:c>
      <x:c r="T140" t="n">
        <x:v>70</x:v>
      </x:c>
      <x:c r="U140" t="n">
        <x:v>2.77</x:v>
      </x:c>
      <x:c r="V140" t="n">
        <x:v>0.24</x:v>
      </x:c>
      <x:c r="W140" t="n">
        <x:v>9.4</x:v>
      </x:c>
      <x:c r="X140" t="n">
        <x:v>122</x:v>
      </x:c>
      <x:c r="Y140" t="n">
        <x:v>140</x:v>
      </x:c>
      <x:c r="Z140" t="n">
        <x:v>60</x:v>
      </x:c>
      <x:c r="AA140" t="n">
        <x:v>21</x:v>
      </x:c>
      <x:c r="AB140" t="n">
        <x:v>22</x:v>
      </x:c>
      <x:c r="AC140" t="n">
        <x:v>2.5</x:v>
      </x:c>
      <x:c r="AD140" t="n">
        <x:v>93.7</x:v>
      </x:c>
      <x:c r="AE140" t="n">
        <x:v>0.06</x:v>
      </x:c>
      <x:c r="AF140" t="n">
        <x:v>12</x:v>
      </x:c>
      <x:c r="AG140" t="n">
        <x:v>12</x:v>
      </x:c>
      <x:c r="AH140" t="n">
        <x:v>24</x:v>
      </x:c>
      <x:c r="AI140" t="n">
        <x:v>8</x:v>
      </x:c>
      <x:c r="AJ140" t="n">
        <x:v>11</x:v>
      </x:c>
      <x:c r="AK140" t="n">
        <x:v>250</x:v>
      </x:c>
      <x:c r="AL140" t="str">
        <x:v>Direkte elektrisk; Varmepumpe;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str">
        <x:v>energiattester_export_2025-08-14.json | PDF vedlegg side 5-7</x:v>
      </x:c>
      <x:c r="AV140" s="12" t="n">
        <x:f>IF(COUNT(O140,P140,Q140,R140,K140,L140,M140,N140)=8,O140*K140+P140*L140+Q140*M140+R140*N140,"")</x:f>
        <x:v>776.99</x:v>
      </x:c>
      <x:c r="AW140" s="12" t="n">
        <x:f>IF(AND(ISNUMBER(AV140),H140&gt;0),AV140/H140,"")</x:f>
        <x:v>0.5549928571428572</x:v>
      </x:c>
      <x:c r="AX140" s="12" t="n">
        <x:f>IF(AND(ISNUMBER(AD140),H140&gt;0),AD140*H140*3600,"")</x:f>
        <x:v>472248000</x:v>
      </x:c>
      <x:c r="AY140" s="12" t="n">
        <x:f>IF(AND(ISNUMBER(Y140),H140&gt;0),Y140*H140,"")</x:f>
        <x:v>196000</x:v>
      </x:c>
      <x:c r="AZ140" t="str">
        <x:v>Høy</x:v>
      </x:c>
    </x:row>
    <x:row r="141" ht="22" customHeight="1">
      <x:c r="A141" t="str">
        <x:v>OT-26dc0fc8713a</x:v>
      </x:c>
      <x:c r="B141" t="n">
        <x:v>2015</x:v>
      </x:c>
      <x:c r="C141" t="str">
        <x:v>Forretningsbygg</x:v>
      </x:c>
      <x:c r="D141" t="str">
        <x:v>BUTIKK</x:v>
      </x:c>
      <x:c r="E141" t="str">
        <x:v>F</x:v>
      </x:c>
      <x:c r="F141" t="str">
        <x:v>RED</x:v>
      </x:c>
      <x:c r="G141" t="n">
        <x:v>1978</x:v>
      </x:c>
      <x:c r="H141" t="n">
        <x:v>600</x:v>
      </x:c>
      <x:c r="I141" t="n">
        <x:v>351.7</x:v>
      </x:c>
      <x:c r="J141" t="str">
        <x:v>PDF/avansert</x:v>
      </x:c>
      <x:c r="K141" t="n">
        <x:v>38</x:v>
      </x:c>
      <x:c r="L141" t="n">
        <x:v>289</x:v>
      </x:c>
      <x:c r="M141" t="n">
        <x:v>600</x:v>
      </x:c>
      <x:c r="N141" t="n">
        <x:v>42</x:v>
      </x:c>
      <x:c r="O141" t="n">
        <x:v>0.54</x:v>
      </x:c>
      <x:c r="P141" t="n">
        <x:v>0.36</x:v>
      </x:c>
      <x:c r="Q141" t="n">
        <x:v>0.32</x:v>
      </x:c>
      <x:c r="R141" t="n">
        <x:v>2.59</x:v>
      </x:c>
      <x:c r="S141" t="n">
        <x:v>65</x:v>
      </x:c>
      <x:c r="T141" t="n">
        <x:v>65</x:v>
      </x:c>
      <x:c r="U141" t="n">
        <x:v>3.5</x:v>
      </x:c>
      <x:c r="V141" t="n">
        <x:v>0.38</x:v>
      </x:c>
      <x:c r="W141" t="n">
        <x:v>13</x:v>
      </x:c>
      <x:c r="X141" t="n">
        <x:v>81</x:v>
      </x:c>
      <x:c r="Y141" t="n">
        <x:v>121</x:v>
      </x:c>
      <x:c r="Z141" t="n">
        <x:v>30</x:v>
      </x:c>
      <x:c r="AA141" t="n">
        <x:v>21</x:v>
      </x:c>
      <x:c r="AB141" t="n">
        <x:v>22</x:v>
      </x:c>
      <x:c r="AC141" t="n">
        <x:v>7.34</x:v>
      </x:c>
      <x:c r="AD141" t="n">
        <x:v>64.3</x:v>
      </x:c>
      <x:c r="AE141" t="n">
        <x:v>0.06</x:v>
      </x:c>
      <x:c r="AF141" t="n">
        <x:v>12</x:v>
      </x:c>
      <x:c r="AG141" t="n">
        <x:v>12</x:v>
      </x:c>
      <x:c r="AH141" t="n">
        <x:v>24</x:v>
      </x:c>
      <x:c r="AI141" t="n">
        <x:v>15</x:v>
      </x:c>
      <x:c r="AJ141" t="n">
        <x:v>1</x:v>
      </x:c>
      <x:c r="AK141" t="n">
        <x:v>250</x:v>
      </x:c>
      <x:c r="AL141" t="str">
        <x:v>Direkte elektrisk; Fjernvarme;</x:v>
      </x:c>
      <x:c r="AM141" t="n">
        <x:v>1</x:v>
      </x:c>
      <x:c r="AN141" t="n">
        <x:v>0</x:v>
      </x:c>
      <x:c r="AO141" t="n">
        <x:v>0</x:v>
      </x:c>
      <x:c r="AP141" t="n">
        <x:v>1</x:v>
      </x:c>
      <x:c r="AQ141" t="n">
        <x:v>0</x:v>
      </x:c>
      <x:c r="AR141" t="n">
        <x:v>1</x:v>
      </x:c>
      <x:c r="AS141" t="n">
        <x:v>1</x:v>
      </x:c>
      <x:c r="AT141" t="n">
        <x:v>1</x:v>
      </x:c>
      <x:c r="AU141" t="str">
        <x:v>energiattester_export_2025-08-14.json | PDF vedlegg side 5-7</x:v>
      </x:c>
      <x:c r="AV141" s="12" t="n">
        <x:f>IF(COUNT(O141,P141,Q141,R141,K141,L141,M141,N141)=8,O141*K141+P141*L141+Q141*M141+R141*N141,"")</x:f>
        <x:v>425.34000000000003</x:v>
      </x:c>
      <x:c r="AW141" s="12" t="n">
        <x:f>IF(AND(ISNUMBER(AV141),H141&gt;0),AV141/H141,"")</x:f>
        <x:v>0.7089000000000001</x:v>
      </x:c>
      <x:c r="AX141" s="12" t="n">
        <x:f>IF(AND(ISNUMBER(AD141),H141&gt;0),AD141*H141*3600,"")</x:f>
        <x:v>138888000</x:v>
      </x:c>
      <x:c r="AY141" s="12" t="n">
        <x:f>IF(AND(ISNUMBER(Y141),H141&gt;0),Y141*H141,"")</x:f>
        <x:v>72600</x:v>
      </x:c>
      <x:c r="AZ141" t="str">
        <x:v>Høy</x:v>
      </x:c>
    </x:row>
    <x:row r="142" ht="22" customHeight="1">
      <x:c r="A142" t="str">
        <x:v>OT-7d81a7fd1e92</x:v>
      </x:c>
      <x:c r="B142" t="n">
        <x:v>2015</x:v>
      </x:c>
      <x:c r="C142" t="str">
        <x:v>Kontorbygg</x:v>
      </x:c>
      <x:c r="D142" t="str">
        <x:v>KONTORER, MED VENTILASJON OG KJØLEANLEGG</x:v>
      </x:c>
      <x:c r="E142" t="str">
        <x:v>F</x:v>
      </x:c>
      <x:c r="F142" t="str">
        <x:v>RED</x:v>
      </x:c>
      <x:c r="G142" t="n">
        <x:v>1978</x:v>
      </x:c>
      <x:c r="H142" t="n">
        <x:v>1389</x:v>
      </x:c>
      <x:c r="I142" t="n">
        <x:v>227.1</x:v>
      </x:c>
      <x:c r="J142" t="str">
        <x:v>PDF/avansert</x:v>
      </x:c>
      <x:c r="K142" t="n">
        <x:v>443</x:v>
      </x:c>
      <x:c r="L142" t="n">
        <x:v>139</x:v>
      </x:c>
      <x:c r="M142" t="n">
        <x:v>55</x:v>
      </x:c>
      <x:c r="N142" t="n">
        <x:v>197</x:v>
      </x:c>
      <x:c r="O142" t="n">
        <x:v>0.42</x:v>
      </x:c>
      <x:c r="P142" t="n">
        <x:v>0.4</x:v>
      </x:c>
      <x:c r="Q142" t="n">
        <x:v>2.57</x:v>
      </x:c>
      <x:c r="R142" t="n">
        <x:v>2.6</x:v>
      </x:c>
      <x:c r="S142" t="n">
        <x:v>60</x:v>
      </x:c>
      <x:c r="T142" t="n">
        <x:v>60</x:v>
      </x:c>
      <x:c r="U142" t="n">
        <x:v>3.5</x:v>
      </x:c>
      <x:c r="V142" t="n">
        <x:v>0.71</x:v>
      </x:c>
      <x:c r="W142" t="n">
        <x:v>7</x:v>
      </x:c>
      <x:c r="X142" t="n">
        <x:v>86</x:v>
      </x:c>
      <x:c r="Y142" t="n">
        <x:v>80</x:v>
      </x:c>
      <x:c r="Z142" t="n">
        <x:v>30</x:v>
      </x:c>
      <x:c r="AA142" t="n">
        <x:v>21</x:v>
      </x:c>
      <x:c r="AB142" t="n">
        <x:v>22</x:v>
      </x:c>
      <x:c r="AC142" t="n">
        <x:v>7</x:v>
      </x:c>
      <x:c r="AD142" t="n">
        <x:v>84.1</x:v>
      </x:c>
      <x:c r="AE142" t="n">
        <x:v>0.09</x:v>
      </x:c>
      <x:c r="AF142" t="n">
        <x:v>12</x:v>
      </x:c>
      <x:c r="AG142" t="n">
        <x:v>12</x:v>
      </x:c>
      <x:c r="AH142" t="n">
        <x:v>24</x:v>
      </x:c>
      <x:c r="AI142" t="n">
        <x:v>8</x:v>
      </x:c>
      <x:c r="AJ142" t="n">
        <x:v>11</x:v>
      </x:c>
      <x:c r="AK142" t="n">
        <x:v>250</x:v>
      </x:c>
      <x:c r="AL142" t="str">
        <x:v>Direkte elektrisk;</x:v>
      </x:c>
      <x:c r="AM142" t="n">
        <x:v>1</x:v>
      </x:c>
      <x:c r="AN142" t="n">
        <x:v>0</x:v>
      </x:c>
      <x:c r="AO142" t="n">
        <x:v>0</x:v>
      </x:c>
      <x:c r="AP142" t="n">
        <x:v>1</x:v>
      </x:c>
      <x:c r="AQ142" t="n">
        <x:v>0</x:v>
      </x:c>
      <x:c r="AR142" t="n">
        <x:v>1</x:v>
      </x:c>
      <x:c r="AS142" t="n">
        <x:v>1</x:v>
      </x:c>
      <x:c r="AT142" t="n">
        <x:v>1</x:v>
      </x:c>
      <x:c r="AU142" t="str">
        <x:v>energiattester_export_2025-08-14.json | PDF vedlegg side 5-7</x:v>
      </x:c>
      <x:c r="AV142" s="12" t="n">
        <x:f>IF(COUNT(O142,P142,Q142,R142,K142,L142,M142,N142)=8,O142*K142+P142*L142+Q142*M142+R142*N142,"")</x:f>
        <x:v>895.21</x:v>
      </x:c>
      <x:c r="AW142" s="12" t="n">
        <x:f>IF(AND(ISNUMBER(AV142),H142&gt;0),AV142/H142,"")</x:f>
        <x:v>0.6444996400287977</x:v>
      </x:c>
      <x:c r="AX142" s="12" t="n">
        <x:f>IF(AND(ISNUMBER(AD142),H142&gt;0),AD142*H142*3600,"")</x:f>
        <x:v>420533640</x:v>
      </x:c>
      <x:c r="AY142" s="12" t="n">
        <x:f>IF(AND(ISNUMBER(Y142),H142&gt;0),Y142*H142,"")</x:f>
        <x:v>111120</x:v>
      </x:c>
      <x:c r="AZ142" t="str">
        <x:v>Høy</x:v>
      </x:c>
    </x:row>
    <x:row r="143" ht="22" customHeight="1">
      <x:c r="A143" t="str">
        <x:v>OT-9961247067f6</x:v>
      </x:c>
      <x:c r="B143" t="n">
        <x:v>2015</x:v>
      </x:c>
      <x:c r="C143" t="str">
        <x:v>Kontorbygg</x:v>
      </x:c>
      <x:c r="D143" t="str">
        <x:v>KONTORER, MED VENTILASJON OG KJØLEANLEGG</x:v>
      </x:c>
      <x:c r="E143" t="str">
        <x:v>D</x:v>
      </x:c>
      <x:c r="F143" t="str">
        <x:v>RED</x:v>
      </x:c>
      <x:c r="G143" t="n">
        <x:v>1985</x:v>
      </x:c>
      <x:c r="H143" t="n">
        <x:v>2208</x:v>
      </x:c>
      <x:c r="I143" t="n">
        <x:v>158.8</x:v>
      </x:c>
      <x:c r="J143" t="str">
        <x:v>PDF/avansert</x:v>
      </x:c>
      <x:c r="K143" t="n">
        <x:v>442</x:v>
      </x:c>
      <x:c r="L143" t="n">
        <x:v>467</x:v>
      </x:c>
      <x:c r="M143" t="n">
        <x:v>0</x:v>
      </x:c>
      <x:c r="N143" t="n">
        <x:v>174</x:v>
      </x:c>
      <x:c r="O143" t="n">
        <x:v>0.32</x:v>
      </x:c>
      <x:c r="P143" t="n">
        <x:v>0.28</x:v>
      </x:c>
      <x:c r="Q143" t="n">
        <x:v>0</x:v>
      </x:c>
      <x:c r="R143" t="n">
        <x:v>2.4</x:v>
      </x:c>
      <x:c r="S143" t="n">
        <x:v>65</x:v>
      </x:c>
      <x:c r="T143" t="n">
        <x:v>65</x:v>
      </x:c>
      <x:c r="U143" t="n">
        <x:v>3</x:v>
      </x:c>
      <x:c r="V143" t="n">
        <x:v>0.43</x:v>
      </x:c>
      <x:c r="W143" t="n">
        <x:v>7</x:v>
      </x:c>
      <x:c r="X143" t="n">
        <x:v>89</x:v>
      </x:c>
      <x:c r="Y143" t="n">
        <x:v>85</x:v>
      </x:c>
      <x:c r="Z143" t="n">
        <x:v>30</x:v>
      </x:c>
      <x:c r="AA143" t="n">
        <x:v>21</x:v>
      </x:c>
      <x:c r="AB143" t="n">
        <x:v>22</x:v>
      </x:c>
      <x:c r="AC143" t="n">
        <x:v>4</x:v>
      </x:c>
      <x:c r="AD143" t="n">
        <x:v>73.8</x:v>
      </x:c>
      <x:c r="AE143" t="n">
        <x:v>0.06</x:v>
      </x:c>
      <x:c r="AF143"/>
      <x:c r="AG143"/>
      <x:c r="AH143"/>
      <x:c r="AI143"/>
      <x:c r="AJ143"/>
      <x:c r="AK143" t="n">
        <x:v>240</x:v>
      </x:c>
      <x:c r="AL143"/>
      <x:c r="AM143" t="n">
        <x:v>1</x:v>
      </x:c>
      <x:c r="AN143" t="n">
        <x:v>0</x:v>
      </x:c>
      <x:c r="AO143" t="n">
        <x:v>0</x:v>
      </x:c>
      <x:c r="AP143" t="n">
        <x:v>1</x:v>
      </x:c>
      <x:c r="AQ143" t="n">
        <x:v>0</x:v>
      </x:c>
      <x:c r="AR143" t="n">
        <x:v>1</x:v>
      </x:c>
      <x:c r="AS143" t="n">
        <x:v>1</x:v>
      </x:c>
      <x:c r="AT143" t="n">
        <x:v>1</x:v>
      </x:c>
      <x:c r="AU143" t="str">
        <x:v>energiattester_export_2025-08-14.json | PDF vedlegg side 5-7</x:v>
      </x:c>
      <x:c r="AV143" s="12" t="n">
        <x:f>IF(COUNT(O143,P143,Q143,R143,K143,L143,M143,N143)=8,O143*K143+P143*L143+Q143*M143+R143*N143,"")</x:f>
        <x:v>689.8</x:v>
      </x:c>
      <x:c r="AW143" s="12" t="n">
        <x:f>IF(AND(ISNUMBER(AV143),H143&gt;0),AV143/H143,"")</x:f>
        <x:v>0.3124094202898551</x:v>
      </x:c>
      <x:c r="AX143" s="12" t="n">
        <x:f>IF(AND(ISNUMBER(AD143),H143&gt;0),AD143*H143*3600,"")</x:f>
        <x:v>586621440</x:v>
      </x:c>
      <x:c r="AY143" s="12" t="n">
        <x:f>IF(AND(ISNUMBER(Y143),H143&gt;0),Y143*H143,"")</x:f>
        <x:v>187680</x:v>
      </x:c>
      <x:c r="AZ143" t="str">
        <x:v>Høy</x:v>
      </x:c>
    </x:row>
    <x:row r="144" ht="22" customHeight="1">
      <x:c r="A144" t="str">
        <x:v>OT-ee06b62b9239</x:v>
      </x:c>
      <x:c r="B144" t="n">
        <x:v>2015</x:v>
      </x:c>
      <x:c r="C144" t="str">
        <x:v>Forretningsbygg</x:v>
      </x:c>
      <x:c r="D144" t="str">
        <x:v>BUTIKK</x:v>
      </x:c>
      <x:c r="E144" t="str">
        <x:v>E</x:v>
      </x:c>
      <x:c r="F144" t="str">
        <x:v>RED</x:v>
      </x:c>
      <x:c r="G144" t="n">
        <x:v>1985</x:v>
      </x:c>
      <x:c r="H144" t="n">
        <x:v>616</x:v>
      </x:c>
      <x:c r="I144" t="n">
        <x:v>258.4</x:v>
      </x:c>
      <x:c r="J144" t="str">
        <x:v>PDF/avansert</x:v>
      </x:c>
      <x:c r="K144" t="n">
        <x:v>101</x:v>
      </x:c>
      <x:c r="L144" t="n">
        <x:v>48</x:v>
      </x:c>
      <x:c r="M144" t="n">
        <x:v>88</x:v>
      </x:c>
      <x:c r="N144" t="n">
        <x:v>87</x:v>
      </x:c>
      <x:c r="O144" t="n">
        <x:v>0.32</x:v>
      </x:c>
      <x:c r="P144" t="n">
        <x:v>0.28</x:v>
      </x:c>
      <x:c r="Q144" t="n">
        <x:v>0.35</x:v>
      </x:c>
      <x:c r="R144" t="n">
        <x:v>2.49</x:v>
      </x:c>
      <x:c r="S144" t="n">
        <x:v>65</x:v>
      </x:c>
      <x:c r="T144" t="n">
        <x:v>65</x:v>
      </x:c>
      <x:c r="U144" t="n">
        <x:v>3</x:v>
      </x:c>
      <x:c r="V144" t="n">
        <x:v>0.23</x:v>
      </x:c>
      <x:c r="W144" t="n">
        <x:v>13</x:v>
      </x:c>
      <x:c r="X144" t="n">
        <x:v>81</x:v>
      </x:c>
      <x:c r="Y144" t="n">
        <x:v>93</x:v>
      </x:c>
      <x:c r="Z144" t="n">
        <x:v>30</x:v>
      </x:c>
      <x:c r="AA144" t="n">
        <x:v>21</x:v>
      </x:c>
      <x:c r="AB144" t="n">
        <x:v>22</x:v>
      </x:c>
      <x:c r="AC144" t="n">
        <x:v>4</x:v>
      </x:c>
      <x:c r="AD144" t="n">
        <x:v>78.2</x:v>
      </x:c>
      <x:c r="AE144" t="n">
        <x:v>0.06</x:v>
      </x:c>
      <x:c r="AF144" t="n">
        <x:v>12</x:v>
      </x:c>
      <x:c r="AG144" t="n">
        <x:v>12</x:v>
      </x:c>
      <x:c r="AH144" t="n">
        <x:v>24</x:v>
      </x:c>
      <x:c r="AI144" t="n">
        <x:v>15</x:v>
      </x:c>
      <x:c r="AJ144" t="n">
        <x:v>1</x:v>
      </x:c>
      <x:c r="AK144" t="n">
        <x:v>250</x:v>
      </x:c>
      <x:c r="AL144" t="str">
        <x:v>Direkte elektrisk;</x:v>
      </x:c>
      <x:c r="AM144" t="n">
        <x:v>1</x:v>
      </x:c>
      <x:c r="AN144" t="n">
        <x:v>0</x:v>
      </x:c>
      <x:c r="AO144" t="n">
        <x:v>0</x:v>
      </x:c>
      <x:c r="AP144" t="n">
        <x:v>1</x:v>
      </x:c>
      <x:c r="AQ144" t="n">
        <x:v>0</x:v>
      </x:c>
      <x:c r="AR144" t="n">
        <x:v>1</x:v>
      </x:c>
      <x:c r="AS144" t="n">
        <x:v>1</x:v>
      </x:c>
      <x:c r="AT144" t="n">
        <x:v>1</x:v>
      </x:c>
      <x:c r="AU144" t="str">
        <x:v>energiattester_export_2025-08-14.json | PDF vedlegg side 5-7</x:v>
      </x:c>
      <x:c r="AV144" s="12" t="n">
        <x:f>IF(COUNT(O144,P144,Q144,R144,K144,L144,M144,N144)=8,O144*K144+P144*L144+Q144*M144+R144*N144,"")</x:f>
        <x:v>293.19000000000005</x:v>
      </x:c>
      <x:c r="AW144" s="12" t="n">
        <x:f>IF(AND(ISNUMBER(AV144),H144&gt;0),AV144/H144,"")</x:f>
        <x:v>0.4759577922077923</x:v>
      </x:c>
      <x:c r="AX144" s="12" t="n">
        <x:f>IF(AND(ISNUMBER(AD144),H144&gt;0),AD144*H144*3600,"")</x:f>
        <x:v>173416320.00000003</x:v>
      </x:c>
      <x:c r="AY144" s="12" t="n">
        <x:f>IF(AND(ISNUMBER(Y144),H144&gt;0),Y144*H144,"")</x:f>
        <x:v>57288</x:v>
      </x:c>
      <x:c r="AZ144" t="str">
        <x:v>Høy</x:v>
      </x:c>
    </x:row>
    <x:row r="145" ht="22" customHeight="1">
      <x:c r="A145" t="str">
        <x:v>OT-2902f78475b4</x:v>
      </x:c>
      <x:c r="B145" t="n">
        <x:v>2015</x:v>
      </x:c>
      <x:c r="C145" t="str">
        <x:v>Kontorbygg</x:v>
      </x:c>
      <x:c r="D145" t="str">
        <x:v>KONTORER, MED VENTILASJON OG KJØLEANLEGG</x:v>
      </x:c>
      <x:c r="E145" t="str">
        <x:v>E</x:v>
      </x:c>
      <x:c r="F145" t="str">
        <x:v>RED</x:v>
      </x:c>
      <x:c r="G145" t="n">
        <x:v>1969</x:v>
      </x:c>
      <x:c r="H145" t="n">
        <x:v>3360</x:v>
      </x:c>
      <x:c r="I145" t="n">
        <x:v>215.2</x:v>
      </x:c>
      <x:c r="J145" t="str">
        <x:v>PDF/avansert</x:v>
      </x:c>
      <x:c r="K145" t="n">
        <x:v>895</x:v>
      </x:c>
      <x:c r="L145" t="n">
        <x:v>689</x:v>
      </x:c>
      <x:c r="M145" t="n">
        <x:v>834</x:v>
      </x:c>
      <x:c r="N145" t="n">
        <x:v>611</x:v>
      </x:c>
      <x:c r="O145" t="n">
        <x:v>0.43</x:v>
      </x:c>
      <x:c r="P145" t="n">
        <x:v>0.5</x:v>
      </x:c>
      <x:c r="Q145" t="n">
        <x:v>0.17</x:v>
      </x:c>
      <x:c r="R145" t="n">
        <x:v>1.21</x:v>
      </x:c>
      <x:c r="S145" t="n">
        <x:v>79</x:v>
      </x:c>
      <x:c r="T145" t="n">
        <x:v>79</x:v>
      </x:c>
      <x:c r="U145" t="n">
        <x:v>2.45</x:v>
      </x:c>
      <x:c r="V145" t="n">
        <x:v>0.7</x:v>
      </x:c>
      <x:c r="W145" t="n">
        <x:v>10</x:v>
      </x:c>
      <x:c r="X145" t="n">
        <x:v>67</x:v>
      </x:c>
      <x:c r="Y145" t="n">
        <x:v>240</x:v>
      </x:c>
      <x:c r="Z145" t="n">
        <x:v>70</x:v>
      </x:c>
      <x:c r="AA145" t="n">
        <x:v>21</x:v>
      </x:c>
      <x:c r="AB145" t="n">
        <x:v>22</x:v>
      </x:c>
      <x:c r="AC145" t="n">
        <x:v>3</x:v>
      </x:c>
      <x:c r="AD145" t="n">
        <x:v>25.4</x:v>
      </x:c>
      <x:c r="AE145" t="n">
        <x:v>0.12</x:v>
      </x:c>
      <x:c r="AF145" t="n">
        <x:v>12</x:v>
      </x:c>
      <x:c r="AG145" t="n">
        <x:v>12</x:v>
      </x:c>
      <x:c r="AH145" t="n">
        <x:v>24</x:v>
      </x:c>
      <x:c r="AI145" t="n">
        <x:v>8</x:v>
      </x:c>
      <x:c r="AJ145" t="n">
        <x:v>11</x:v>
      </x:c>
      <x:c r="AK145" t="n">
        <x:v>250</x:v>
      </x:c>
      <x:c r="AL145" t="str">
        <x:v>Direkte elektrisk; Olje;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str">
        <x:v>energiattester_export_2025-08-14.json | PDF vedlegg side 5-7</x:v>
      </x:c>
      <x:c r="AV145" s="12" t="n">
        <x:f>IF(COUNT(O145,P145,Q145,R145,K145,L145,M145,N145)=8,O145*K145+P145*L145+Q145*M145+R145*N145,"")</x:f>
        <x:v>1610.4399999999998</x:v>
      </x:c>
      <x:c r="AW145" s="12" t="n">
        <x:f>IF(AND(ISNUMBER(AV145),H145&gt;0),AV145/H145,"")</x:f>
        <x:v>0.479297619047619</x:v>
      </x:c>
      <x:c r="AX145" s="12" t="n">
        <x:f>IF(AND(ISNUMBER(AD145),H145&gt;0),AD145*H145*3600,"")</x:f>
        <x:v>307238400</x:v>
      </x:c>
      <x:c r="AY145" s="12" t="n">
        <x:f>IF(AND(ISNUMBER(Y145),H145&gt;0),Y145*H145,"")</x:f>
        <x:v>806400</x:v>
      </x:c>
      <x:c r="AZ145" t="str">
        <x:v>Høy</x:v>
      </x:c>
    </x:row>
    <x:row r="146" ht="22" customHeight="1">
      <x:c r="A146" t="str">
        <x:v>OT-b7de5730a942</x:v>
      </x:c>
      <x:c r="B146" t="n">
        <x:v>2015</x:v>
      </x:c>
      <x:c r="C146" t="str">
        <x:v>Forretningsbygg</x:v>
      </x:c>
      <x:c r="D146" t="str">
        <x:v>BUTIKK</x:v>
      </x:c>
      <x:c r="E146" t="str">
        <x:v>C</x:v>
      </x:c>
      <x:c r="F146" t="str">
        <x:v>GREEN</x:v>
      </x:c>
      <x:c r="G146" t="n">
        <x:v>2013</x:v>
      </x:c>
      <x:c r="H146" t="n">
        <x:v>10709</x:v>
      </x:c>
      <x:c r="I146" t="n">
        <x:v>161</x:v>
      </x:c>
      <x:c r="J146" t="str">
        <x:v>PDF/avansert</x:v>
      </x:c>
      <x:c r="K146" t="n">
        <x:v>1949</x:v>
      </x:c>
      <x:c r="L146" t="n">
        <x:v>9512</x:v>
      </x:c>
      <x:c r="M146" t="n">
        <x:v>10642</x:v>
      </x:c>
      <x:c r="N146" t="n">
        <x:v>869</x:v>
      </x:c>
      <x:c r="O146" t="n">
        <x:v>0.19</x:v>
      </x:c>
      <x:c r="P146" t="n">
        <x:v>0.16</x:v>
      </x:c>
      <x:c r="Q146" t="n">
        <x:v>0.08</x:v>
      </x:c>
      <x:c r="R146" t="n">
        <x:v>1.09</x:v>
      </x:c>
      <x:c r="S146" t="n">
        <x:v>78</x:v>
      </x:c>
      <x:c r="T146" t="n">
        <x:v>77</x:v>
      </x:c>
      <x:c r="U146" t="n">
        <x:v>2.4</x:v>
      </x:c>
      <x:c r="V146" t="n">
        <x:v>0.23</x:v>
      </x:c>
      <x:c r="W146" t="n">
        <x:v>13</x:v>
      </x:c>
      <x:c r="X146" t="n">
        <x:v>81</x:v>
      </x:c>
      <x:c r="Y146" t="n">
        <x:v>63</x:v>
      </x:c>
      <x:c r="Z146" t="n">
        <x:v>33</x:v>
      </x:c>
      <x:c r="AA146" t="n">
        <x:v>21</x:v>
      </x:c>
      <x:c r="AB146" t="n">
        <x:v>22</x:v>
      </x:c>
      <x:c r="AC146" t="n">
        <x:v>1.5</x:v>
      </x:c>
      <x:c r="AD146" t="n">
        <x:v>102</x:v>
      </x:c>
      <x:c r="AE146" t="n">
        <x:v>0.09</x:v>
      </x:c>
      <x:c r="AF146" t="n">
        <x:v>12</x:v>
      </x:c>
      <x:c r="AG146" t="n">
        <x:v>12</x:v>
      </x:c>
      <x:c r="AH146" t="n">
        <x:v>24</x:v>
      </x:c>
      <x:c r="AI146" t="n">
        <x:v>15</x:v>
      </x:c>
      <x:c r="AJ146" t="n">
        <x:v>1</x:v>
      </x:c>
      <x:c r="AK146" t="n">
        <x:v>250</x:v>
      </x:c>
      <x:c r="AL146" t="str">
        <x:v>Direkte elektrisk;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str">
        <x:v>energiattester_export_2025-08-14.json | PDF vedlegg side 5-7</x:v>
      </x:c>
      <x:c r="AV146" s="12" t="n">
        <x:f>IF(COUNT(O146,P146,Q146,R146,K146,L146,M146,N146)=8,O146*K146+P146*L146+Q146*M146+R146*N146,"")</x:f>
        <x:v>3690.8</x:v>
      </x:c>
      <x:c r="AW146" s="12" t="n">
        <x:f>IF(AND(ISNUMBER(AV146),H146&gt;0),AV146/H146,"")</x:f>
        <x:v>0.34464469138108134</x:v>
      </x:c>
      <x:c r="AX146" s="12" t="n">
        <x:f>IF(AND(ISNUMBER(AD146),H146&gt;0),AD146*H146*3600,"")</x:f>
        <x:v>3932344800</x:v>
      </x:c>
      <x:c r="AY146" s="12" t="n">
        <x:f>IF(AND(ISNUMBER(Y146),H146&gt;0),Y146*H146,"")</x:f>
        <x:v>674667</x:v>
      </x:c>
      <x:c r="AZ146" t="str">
        <x:v>Høy</x:v>
      </x:c>
    </x:row>
    <x:row r="147" ht="22" customHeight="1">
      <x:c r="A147" t="str">
        <x:v>OT-775965a4b957</x:v>
      </x:c>
      <x:c r="B147" t="n">
        <x:v>2015</x:v>
      </x:c>
      <x:c r="C147" t="str">
        <x:v>Kontorbygg</x:v>
      </x:c>
      <x:c r="D147" t="str">
        <x:v>KONTORER, MED VENTILASJON OG KJØLEANLEGG</x:v>
      </x:c>
      <x:c r="E147" t="str">
        <x:v>D</x:v>
      </x:c>
      <x:c r="F147" t="str">
        <x:v>RED</x:v>
      </x:c>
      <x:c r="G147" t="n">
        <x:v>2000</x:v>
      </x:c>
      <x:c r="H147" t="n">
        <x:v>669</x:v>
      </x:c>
      <x:c r="I147" t="n">
        <x:v>160.4</x:v>
      </x:c>
      <x:c r="J147" t="str">
        <x:v>PDF/avansert</x:v>
      </x:c>
      <x:c r="K147" t="n">
        <x:v>128</x:v>
      </x:c>
      <x:c r="L147" t="n">
        <x:v>504</x:v>
      </x:c>
      <x:c r="M147" t="n">
        <x:v>33</x:v>
      </x:c>
      <x:c r="N147" t="n">
        <x:v>164</x:v>
      </x:c>
      <x:c r="O147" t="n">
        <x:v>0.22</x:v>
      </x:c>
      <x:c r="P147" t="n">
        <x:v>0.15</x:v>
      </x:c>
      <x:c r="Q147" t="n">
        <x:v>0.15</x:v>
      </x:c>
      <x:c r="R147" t="n">
        <x:v>1.68</x:v>
      </x:c>
      <x:c r="S147" t="n">
        <x:v>75</x:v>
      </x:c>
      <x:c r="T147" t="n">
        <x:v>75</x:v>
      </x:c>
      <x:c r="U147" t="n">
        <x:v>3</x:v>
      </x:c>
      <x:c r="V147" t="n">
        <x:v>0.25</x:v>
      </x:c>
      <x:c r="W147" t="n">
        <x:v>8</x:v>
      </x:c>
      <x:c r="X147" t="n">
        <x:v>81</x:v>
      </x:c>
      <x:c r="Y147" t="n">
        <x:v>90</x:v>
      </x:c>
      <x:c r="Z147" t="n">
        <x:v>0</x:v>
      </x:c>
      <x:c r="AA147" t="n">
        <x:v>21</x:v>
      </x:c>
      <x:c r="AB147" t="n">
        <x:v>22</x:v>
      </x:c>
      <x:c r="AC147" t="n">
        <x:v>1.5</x:v>
      </x:c>
      <x:c r="AD147" t="n">
        <x:v>11.9</x:v>
      </x:c>
      <x:c r="AE147" t="n">
        <x:v>0.12</x:v>
      </x:c>
      <x:c r="AF147" t="n">
        <x:v>12</x:v>
      </x:c>
      <x:c r="AG147" t="n">
        <x:v>12</x:v>
      </x:c>
      <x:c r="AH147" t="n">
        <x:v>24</x:v>
      </x:c>
      <x:c r="AI147" t="n">
        <x:v>8</x:v>
      </x:c>
      <x:c r="AJ147" t="n">
        <x:v>11</x:v>
      </x:c>
      <x:c r="AK147" t="n">
        <x:v>250</x:v>
      </x:c>
      <x:c r="AL147" t="str">
        <x:v>Direkte elektrisk;</x:v>
      </x:c>
      <x:c r="AM147"/>
      <x:c r="AN147"/>
      <x:c r="AO147"/>
      <x:c r="AP147"/>
      <x:c r="AQ147"/>
      <x:c r="AR147"/>
      <x:c r="AS147"/>
      <x:c r="AT147"/>
      <x:c r="AU147" t="str">
        <x:v>energiattester_export_2025-08-14.json | PDF vedlegg side 5-7</x:v>
      </x:c>
      <x:c r="AV147" s="12" t="n">
        <x:f>IF(COUNT(O147,P147,Q147,R147,K147,L147,M147,N147)=8,O147*K147+P147*L147+Q147*M147+R147*N147,"")</x:f>
        <x:v>384.22999999999996</x:v>
      </x:c>
      <x:c r="AW147" s="12" t="n">
        <x:f>IF(AND(ISNUMBER(AV147),H147&gt;0),AV147/H147,"")</x:f>
        <x:v>0.5743348281016442</x:v>
      </x:c>
      <x:c r="AX147" s="12" t="n">
        <x:f>IF(AND(ISNUMBER(AD147),H147&gt;0),AD147*H147*3600,"")</x:f>
        <x:v>28659960</x:v>
      </x:c>
      <x:c r="AY147" s="12" t="n">
        <x:f>IF(AND(ISNUMBER(Y147),H147&gt;0),Y147*H147,"")</x:f>
        <x:v>60210</x:v>
      </x:c>
      <x:c r="AZ147" t="str">
        <x:v>Høy</x:v>
      </x:c>
    </x:row>
    <x:row r="148" ht="22" customHeight="1">
      <x:c r="A148" t="str">
        <x:v>OT-2bc273343049</x:v>
      </x:c>
      <x:c r="B148" t="n">
        <x:v>2015</x:v>
      </x:c>
      <x:c r="C148" t="str">
        <x:v>Forretningsbygg</x:v>
      </x:c>
      <x:c r="D148" t="str">
        <x:v>BUTIKK</x:v>
      </x:c>
      <x:c r="E148" t="str">
        <x:v>B</x:v>
      </x:c>
      <x:c r="F148" t="str">
        <x:v>ORANGE</x:v>
      </x:c>
      <x:c r="G148" t="n">
        <x:v>2000</x:v>
      </x:c>
      <x:c r="H148" t="n">
        <x:v>1227</x:v>
      </x:c>
      <x:c r="I148" t="n">
        <x:v>159.6</x:v>
      </x:c>
      <x:c r="J148" t="str">
        <x:v>PDF/avansert</x:v>
      </x:c>
      <x:c r="K148" t="n">
        <x:v>475</x:v>
      </x:c>
      <x:c r="L148" t="n">
        <x:v>763</x:v>
      </x:c>
      <x:c r="M148" t="n">
        <x:v>1267</x:v>
      </x:c>
      <x:c r="N148" t="n">
        <x:v>170</x:v>
      </x:c>
      <x:c r="O148" t="n">
        <x:v>0.22</x:v>
      </x:c>
      <x:c r="P148" t="n">
        <x:v>0.15</x:v>
      </x:c>
      <x:c r="Q148" t="n">
        <x:v>0.15</x:v>
      </x:c>
      <x:c r="R148" t="n">
        <x:v>1.6</x:v>
      </x:c>
      <x:c r="S148" t="n">
        <x:v>75</x:v>
      </x:c>
      <x:c r="T148" t="n">
        <x:v>75</x:v>
      </x:c>
      <x:c r="U148" t="n">
        <x:v>3</x:v>
      </x:c>
      <x:c r="V148" t="n">
        <x:v>0.15</x:v>
      </x:c>
      <x:c r="W148" t="n">
        <x:v>13</x:v>
      </x:c>
      <x:c r="X148" t="n">
        <x:v>220</x:v>
      </x:c>
      <x:c r="Y148" t="n">
        <x:v>90</x:v>
      </x:c>
      <x:c r="Z148" t="n">
        <x:v>0</x:v>
      </x:c>
      <x:c r="AA148" t="n">
        <x:v>21</x:v>
      </x:c>
      <x:c r="AB148" t="n">
        <x:v>22</x:v>
      </x:c>
      <x:c r="AC148" t="n">
        <x:v>1.5</x:v>
      </x:c>
      <x:c r="AD148" t="n">
        <x:v>82.2</x:v>
      </x:c>
      <x:c r="AE148" t="n">
        <x:v>0.12</x:v>
      </x:c>
      <x:c r="AF148" t="n">
        <x:v>12</x:v>
      </x:c>
      <x:c r="AG148" t="n">
        <x:v>12</x:v>
      </x:c>
      <x:c r="AH148" t="n">
        <x:v>24</x:v>
      </x:c>
      <x:c r="AI148" t="n">
        <x:v>15</x:v>
      </x:c>
      <x:c r="AJ148" t="n">
        <x:v>1</x:v>
      </x:c>
      <x:c r="AK148" t="n">
        <x:v>250</x:v>
      </x:c>
      <x:c r="AL148" t="str">
        <x:v>Varmepumpe;</x:v>
      </x:c>
      <x:c r="AM148"/>
      <x:c r="AN148"/>
      <x:c r="AO148"/>
      <x:c r="AP148"/>
      <x:c r="AQ148"/>
      <x:c r="AR148"/>
      <x:c r="AS148"/>
      <x:c r="AT148"/>
      <x:c r="AU148" t="str">
        <x:v>energiattester_export_2025-08-14.json | PDF vedlegg side 5-7</x:v>
      </x:c>
      <x:c r="AV148" s="12" t="n">
        <x:f>IF(COUNT(O148,P148,Q148,R148,K148,L148,M148,N148)=8,O148*K148+P148*L148+Q148*M148+R148*N148,"")</x:f>
        <x:v>681</x:v>
      </x:c>
      <x:c r="AW148" s="12" t="n">
        <x:f>IF(AND(ISNUMBER(AV148),H148&gt;0),AV148/H148,"")</x:f>
        <x:v>0.5550122249388753</x:v>
      </x:c>
      <x:c r="AX148" s="12" t="n">
        <x:f>IF(AND(ISNUMBER(AD148),H148&gt;0),AD148*H148*3600,"")</x:f>
        <x:v>363093840.00000006</x:v>
      </x:c>
      <x:c r="AY148" s="12" t="n">
        <x:f>IF(AND(ISNUMBER(Y148),H148&gt;0),Y148*H148,"")</x:f>
        <x:v>110430</x:v>
      </x:c>
      <x:c r="AZ148" t="str">
        <x:v>Høy</x:v>
      </x:c>
    </x:row>
    <x:row r="149" ht="22" customHeight="1">
      <x:c r="A149" t="str">
        <x:v>OT-3e14c0884b4c</x:v>
      </x:c>
      <x:c r="B149" t="n">
        <x:v>2015</x:v>
      </x:c>
      <x:c r="C149" t="str">
        <x:v>Kontorbygg</x:v>
      </x:c>
      <x:c r="D149" t="str">
        <x:v>KONTORER, ENKLE</x:v>
      </x:c>
      <x:c r="E149" t="str">
        <x:v>E</x:v>
      </x:c>
      <x:c r="F149" t="str">
        <x:v>RED</x:v>
      </x:c>
      <x:c r="G149" t="n">
        <x:v>1991</x:v>
      </x:c>
      <x:c r="H149" t="n">
        <x:v>525</x:v>
      </x:c>
      <x:c r="I149" t="n">
        <x:v>200.3</x:v>
      </x:c>
      <x:c r="J149" t="str">
        <x:v>PDF/avansert</x:v>
      </x:c>
      <x:c r="K149" t="n">
        <x:v>293</x:v>
      </x:c>
      <x:c r="L149" t="n">
        <x:v>525</x:v>
      </x:c>
      <x:c r="M149" t="n">
        <x:v>525</x:v>
      </x:c>
      <x:c r="N149" t="n">
        <x:v>58</x:v>
      </x:c>
      <x:c r="O149" t="n">
        <x:v>0.21</x:v>
      </x:c>
      <x:c r="P149" t="n">
        <x:v>0.17</x:v>
      </x:c>
      <x:c r="Q149" t="n">
        <x:v>0.14</x:v>
      </x:c>
      <x:c r="R149" t="n">
        <x:v>1.67</x:v>
      </x:c>
      <x:c r="S149" t="n">
        <x:v>70</x:v>
      </x:c>
      <x:c r="T149" t="n">
        <x:v>70</x:v>
      </x:c>
      <x:c r="U149" t="n">
        <x:v>2.5</x:v>
      </x:c>
      <x:c r="V149" t="n">
        <x:v>0.23</x:v>
      </x:c>
      <x:c r="W149" t="n">
        <x:v>10</x:v>
      </x:c>
      <x:c r="X149" t="n">
        <x:v>79</x:v>
      </x:c>
      <x:c r="Y149" t="n">
        <x:v>164</x:v>
      </x:c>
      <x:c r="Z149" t="n">
        <x:v>0</x:v>
      </x:c>
      <x:c r="AA149" t="n">
        <x:v>21</x:v>
      </x:c>
      <x:c r="AB149" t="n">
        <x:v>22</x:v>
      </x:c>
      <x:c r="AC149" t="n">
        <x:v>3</x:v>
      </x:c>
      <x:c r="AD149" t="n">
        <x:v>132.6</x:v>
      </x:c>
      <x:c r="AE149" t="n">
        <x:v>0.12</x:v>
      </x:c>
      <x:c r="AF149" t="n">
        <x:v>12</x:v>
      </x:c>
      <x:c r="AG149" t="n">
        <x:v>12</x:v>
      </x:c>
      <x:c r="AH149" t="n">
        <x:v>24</x:v>
      </x:c>
      <x:c r="AI149" t="n">
        <x:v>8</x:v>
      </x:c>
      <x:c r="AJ149" t="n">
        <x:v>11</x:v>
      </x:c>
      <x:c r="AK149" t="n">
        <x:v>250</x:v>
      </x:c>
      <x:c r="AL149" t="str">
        <x:v>Direkte elektrisk; Olje;</x:v>
      </x:c>
      <x:c r="AM149"/>
      <x:c r="AN149"/>
      <x:c r="AO149"/>
      <x:c r="AP149"/>
      <x:c r="AQ149"/>
      <x:c r="AR149"/>
      <x:c r="AS149"/>
      <x:c r="AT149"/>
      <x:c r="AU149" t="str">
        <x:v>energiattester_export_2025-08-14.json | PDF vedlegg side 5-7</x:v>
      </x:c>
      <x:c r="AV149" s="12" t="n">
        <x:f>IF(COUNT(O149,P149,Q149,R149,K149,L149,M149,N149)=8,O149*K149+P149*L149+Q149*M149+R149*N149,"")</x:f>
        <x:v>321.14</x:v>
      </x:c>
      <x:c r="AW149" s="12" t="n">
        <x:f>IF(AND(ISNUMBER(AV149),H149&gt;0),AV149/H149,"")</x:f>
        <x:v>0.6116952380952381</x:v>
      </x:c>
      <x:c r="AX149" s="12" t="n">
        <x:f>IF(AND(ISNUMBER(AD149),H149&gt;0),AD149*H149*3600,"")</x:f>
        <x:v>250614000</x:v>
      </x:c>
      <x:c r="AY149" s="12" t="n">
        <x:f>IF(AND(ISNUMBER(Y149),H149&gt;0),Y149*H149,"")</x:f>
        <x:v>86100</x:v>
      </x:c>
      <x:c r="AZ149" t="str">
        <x:v>Høy</x:v>
      </x:c>
    </x:row>
    <x:row r="150" ht="22" customHeight="1">
      <x:c r="A150" t="str">
        <x:v>OT-3e61ffff7f41</x:v>
      </x:c>
      <x:c r="B150" t="n">
        <x:v>2015</x:v>
      </x:c>
      <x:c r="C150" t="str">
        <x:v>Kontorbygg</x:v>
      </x:c>
      <x:c r="D150" t="str">
        <x:v>KONTORER, ENKLE</x:v>
      </x:c>
      <x:c r="E150" t="str">
        <x:v>D</x:v>
      </x:c>
      <x:c r="F150" t="str">
        <x:v>RED</x:v>
      </x:c>
      <x:c r="G150" t="n">
        <x:v>1980</x:v>
      </x:c>
      <x:c r="H150" t="n">
        <x:v>6672</x:v>
      </x:c>
      <x:c r="I150" t="n">
        <x:v>163.6</x:v>
      </x:c>
      <x:c r="J150" t="str">
        <x:v>PDF/avansert</x:v>
      </x:c>
      <x:c r="K150" t="n">
        <x:v>2038</x:v>
      </x:c>
      <x:c r="L150" t="n">
        <x:v>3148</x:v>
      </x:c>
      <x:c r="M150" t="n">
        <x:v>2956</x:v>
      </x:c>
      <x:c r="N150" t="n">
        <x:v>1024</x:v>
      </x:c>
      <x:c r="O150" t="n">
        <x:v>0.36</x:v>
      </x:c>
      <x:c r="P150" t="n">
        <x:v>0.21</x:v>
      </x:c>
      <x:c r="Q150" t="n">
        <x:v>0.13</x:v>
      </x:c>
      <x:c r="R150" t="n">
        <x:v>1.96</x:v>
      </x:c>
      <x:c r="S150" t="n">
        <x:v>72</x:v>
      </x:c>
      <x:c r="T150" t="n">
        <x:v>72</x:v>
      </x:c>
      <x:c r="U150" t="n">
        <x:v>1.57</x:v>
      </x:c>
      <x:c r="V150" t="n">
        <x:v>0.29</x:v>
      </x:c>
      <x:c r="W150" t="n">
        <x:v>7.47</x:v>
      </x:c>
      <x:c r="X150" t="n">
        <x:v>99</x:v>
      </x:c>
      <x:c r="Y150" t="n">
        <x:v>80</x:v>
      </x:c>
      <x:c r="Z150" t="n">
        <x:v>5</x:v>
      </x:c>
      <x:c r="AA150" t="n">
        <x:v>21</x:v>
      </x:c>
      <x:c r="AB150" t="n">
        <x:v>22</x:v>
      </x:c>
      <x:c r="AC150" t="n">
        <x:v>2.5</x:v>
      </x:c>
      <x:c r="AD150" t="n">
        <x:v>42.2</x:v>
      </x:c>
      <x:c r="AE150" t="n">
        <x:v>0.12</x:v>
      </x:c>
      <x:c r="AF150" t="n">
        <x:v>12</x:v>
      </x:c>
      <x:c r="AG150" t="n">
        <x:v>12</x:v>
      </x:c>
      <x:c r="AH150" t="n">
        <x:v>24</x:v>
      </x:c>
      <x:c r="AI150" t="n">
        <x:v>8</x:v>
      </x:c>
      <x:c r="AJ150" t="n">
        <x:v>11</x:v>
      </x:c>
      <x:c r="AK150" t="n">
        <x:v>250</x:v>
      </x:c>
      <x:c r="AL150" t="str">
        <x:v>Direkte elektrisk; Varmepumpe;</x:v>
      </x:c>
      <x:c r="AM150"/>
      <x:c r="AN150"/>
      <x:c r="AO150"/>
      <x:c r="AP150"/>
      <x:c r="AQ150"/>
      <x:c r="AR150"/>
      <x:c r="AS150"/>
      <x:c r="AT150"/>
      <x:c r="AU150" t="str">
        <x:v>energiattester_export_2025-08-14.json | PDF vedlegg side 5-7</x:v>
      </x:c>
      <x:c r="AV150" s="12" t="n">
        <x:f>IF(COUNT(O150,P150,Q150,R150,K150,L150,M150,N150)=8,O150*K150+P150*L150+Q150*M150+R150*N150,"")</x:f>
        <x:v>3786.08</x:v>
      </x:c>
      <x:c r="AW150" s="12" t="n">
        <x:f>IF(AND(ISNUMBER(AV150),H150&gt;0),AV150/H150,"")</x:f>
        <x:v>0.5674580335731415</x:v>
      </x:c>
      <x:c r="AX150" s="12" t="n">
        <x:f>IF(AND(ISNUMBER(AD150),H150&gt;0),AD150*H150*3600,"")</x:f>
        <x:v>1013610240.0000001</x:v>
      </x:c>
      <x:c r="AY150" s="12" t="n">
        <x:f>IF(AND(ISNUMBER(Y150),H150&gt;0),Y150*H150,"")</x:f>
        <x:v>533760</x:v>
      </x:c>
      <x:c r="AZ150" t="str">
        <x:v>Høy</x:v>
      </x:c>
    </x:row>
    <x:row r="151" ht="22" customHeight="1">
      <x:c r="A151" t="str">
        <x:v>OT-322f745c29ee</x:v>
      </x:c>
      <x:c r="B151" t="n">
        <x:v>2015</x:v>
      </x:c>
      <x:c r="C151" t="str">
        <x:v>Kontorbygg</x:v>
      </x:c>
      <x:c r="D151" t="str">
        <x:v>KONTORER, MED VENTILASJON OG KJØLEANLEGG</x:v>
      </x:c>
      <x:c r="E151" t="str">
        <x:v>D</x:v>
      </x:c>
      <x:c r="F151" t="str">
        <x:v>RED</x:v>
      </x:c>
      <x:c r="G151" t="n">
        <x:v>1966</x:v>
      </x:c>
      <x:c r="H151" t="n">
        <x:v>3672</x:v>
      </x:c>
      <x:c r="I151" t="n">
        <x:v>177</x:v>
      </x:c>
      <x:c r="J151" t="str">
        <x:v>PDF/avansert</x:v>
      </x:c>
      <x:c r="K151" t="n">
        <x:v>981</x:v>
      </x:c>
      <x:c r="L151" t="n">
        <x:v>1764</x:v>
      </x:c>
      <x:c r="M151" t="n">
        <x:v>60</x:v>
      </x:c>
      <x:c r="N151" t="n">
        <x:v>607</x:v>
      </x:c>
      <x:c r="O151" t="n">
        <x:v>0.46</x:v>
      </x:c>
      <x:c r="P151" t="n">
        <x:v>0.29</x:v>
      </x:c>
      <x:c r="Q151" t="n">
        <x:v>0.34</x:v>
      </x:c>
      <x:c r="R151" t="n">
        <x:v>2.25</x:v>
      </x:c>
      <x:c r="S151" t="n">
        <x:v>82</x:v>
      </x:c>
      <x:c r="T151" t="n">
        <x:v>82</x:v>
      </x:c>
      <x:c r="U151" t="n">
        <x:v>2.7</x:v>
      </x:c>
      <x:c r="V151" t="n">
        <x:v>0.25</x:v>
      </x:c>
      <x:c r="W151" t="n">
        <x:v>10</x:v>
      </x:c>
      <x:c r="X151" t="n">
        <x:v>98</x:v>
      </x:c>
      <x:c r="Y151" t="n">
        <x:v>78</x:v>
      </x:c>
      <x:c r="Z151" t="n">
        <x:v>49</x:v>
      </x:c>
      <x:c r="AA151" t="n">
        <x:v>21</x:v>
      </x:c>
      <x:c r="AB151" t="n">
        <x:v>22</x:v>
      </x:c>
      <x:c r="AC151" t="n">
        <x:v>3.5</x:v>
      </x:c>
      <x:c r="AD151" t="n">
        <x:v>72.6</x:v>
      </x:c>
      <x:c r="AE151" t="n">
        <x:v>0.12</x:v>
      </x:c>
      <x:c r="AF151" t="n">
        <x:v>12</x:v>
      </x:c>
      <x:c r="AG151" t="n">
        <x:v>12</x:v>
      </x:c>
      <x:c r="AH151" t="n">
        <x:v>24</x:v>
      </x:c>
      <x:c r="AI151" t="n">
        <x:v>8</x:v>
      </x:c>
      <x:c r="AJ151" t="n">
        <x:v>11</x:v>
      </x:c>
      <x:c r="AK151" t="n">
        <x:v>250</x:v>
      </x:c>
      <x:c r="AL151" t="str">
        <x:v>Direkte elektrisk;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1</x:v>
      </x:c>
      <x:c r="AU151" t="str">
        <x:v>energiattester_export_2025-08-14.json | PDF vedlegg side 5-7</x:v>
      </x:c>
      <x:c r="AV151" s="12" t="n">
        <x:f>IF(COUNT(O151,P151,Q151,R151,K151,L151,M151,N151)=8,O151*K151+P151*L151+Q151*M151+R151*N151,"")</x:f>
        <x:v>2348.97</x:v>
      </x:c>
      <x:c r="AW151" s="12" t="n">
        <x:f>IF(AND(ISNUMBER(AV151),H151&gt;0),AV151/H151,"")</x:f>
        <x:v>0.6396977124183006</x:v>
      </x:c>
      <x:c r="AX151" s="12" t="n">
        <x:f>IF(AND(ISNUMBER(AD151),H151&gt;0),AD151*H151*3600,"")</x:f>
        <x:v>959713919.9999999</x:v>
      </x:c>
      <x:c r="AY151" s="12" t="n">
        <x:f>IF(AND(ISNUMBER(Y151),H151&gt;0),Y151*H151,"")</x:f>
        <x:v>286416</x:v>
      </x:c>
      <x:c r="AZ151" t="str">
        <x:v>Høy</x:v>
      </x:c>
    </x:row>
    <x:row r="152" ht="22" customHeight="1">
      <x:c r="A152" t="str">
        <x:v>OT-bb93f9566cd0</x:v>
      </x:c>
      <x:c r="B152" t="n">
        <x:v>2015</x:v>
      </x:c>
      <x:c r="C152" t="str">
        <x:v>Kontorbygg</x:v>
      </x:c>
      <x:c r="D152" t="str">
        <x:v>KONTORER, ENKLE</x:v>
      </x:c>
      <x:c r="E152" t="str">
        <x:v>C</x:v>
      </x:c>
      <x:c r="F152" t="str">
        <x:v>RED</x:v>
      </x:c>
      <x:c r="G152" t="n">
        <x:v>2014</x:v>
      </x:c>
      <x:c r="H152" t="n">
        <x:v>620</x:v>
      </x:c>
      <x:c r="I152" t="n">
        <x:v>129.6</x:v>
      </x:c>
      <x:c r="J152" t="str">
        <x:v>PDF/avansert</x:v>
      </x:c>
      <x:c r="K152" t="n">
        <x:v>344</x:v>
      </x:c>
      <x:c r="L152" t="n">
        <x:v>436</x:v>
      </x:c>
      <x:c r="M152" t="n">
        <x:v>184</x:v>
      </x:c>
      <x:c r="N152" t="n">
        <x:v>61</x:v>
      </x:c>
      <x:c r="O152" t="n">
        <x:v>0.18</x:v>
      </x:c>
      <x:c r="P152" t="n">
        <x:v>0.13</x:v>
      </x:c>
      <x:c r="Q152" t="n">
        <x:v>0.09</x:v>
      </x:c>
      <x:c r="R152" t="n">
        <x:v>1.2</x:v>
      </x:c>
      <x:c r="S152" t="n">
        <x:v>85</x:v>
      </x:c>
      <x:c r="T152" t="n">
        <x:v>85</x:v>
      </x:c>
      <x:c r="U152" t="n">
        <x:v>1.5</x:v>
      </x:c>
      <x:c r="V152" t="n">
        <x:v>0.25</x:v>
      </x:c>
      <x:c r="W152" t="n">
        <x:v>8</x:v>
      </x:c>
      <x:c r="X152" t="n">
        <x:v>81</x:v>
      </x:c>
      <x:c r="Y152" t="n">
        <x:v>80</x:v>
      </x:c>
      <x:c r="Z152" t="n">
        <x:v>0</x:v>
      </x:c>
      <x:c r="AA152" t="n">
        <x:v>21</x:v>
      </x:c>
      <x:c r="AB152" t="n">
        <x:v>22</x:v>
      </x:c>
      <x:c r="AC152" t="n">
        <x:v>1.5</x:v>
      </x:c>
      <x:c r="AD152" t="n">
        <x:v>149.1</x:v>
      </x:c>
      <x:c r="AE152" t="n">
        <x:v>0.03</x:v>
      </x:c>
      <x:c r="AF152" t="n">
        <x:v>12</x:v>
      </x:c>
      <x:c r="AG152" t="n">
        <x:v>12</x:v>
      </x:c>
      <x:c r="AH152" t="n">
        <x:v>24</x:v>
      </x:c>
      <x:c r="AI152" t="n">
        <x:v>6.4</x:v>
      </x:c>
      <x:c r="AJ152" t="n">
        <x:v>11</x:v>
      </x:c>
      <x:c r="AK152" t="n">
        <x:v>250</x:v>
      </x:c>
      <x:c r="AL152" t="str">
        <x:v>Direkte elektrisk;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str">
        <x:v>energiattester_export_2025-08-14.json | PDF vedlegg side 5-7</x:v>
      </x:c>
      <x:c r="AV152" s="12" t="n">
        <x:f>IF(COUNT(O152,P152,Q152,R152,K152,L152,M152,N152)=8,O152*K152+P152*L152+Q152*M152+R152*N152,"")</x:f>
        <x:v>208.36</x:v>
      </x:c>
      <x:c r="AW152" s="12" t="n">
        <x:f>IF(AND(ISNUMBER(AV152),H152&gt;0),AV152/H152,"")</x:f>
        <x:v>0.33606451612903226</x:v>
      </x:c>
      <x:c r="AX152" s="12" t="n">
        <x:f>IF(AND(ISNUMBER(AD152),H152&gt;0),AD152*H152*3600,"")</x:f>
        <x:v>332791200</x:v>
      </x:c>
      <x:c r="AY152" s="12" t="n">
        <x:f>IF(AND(ISNUMBER(Y152),H152&gt;0),Y152*H152,"")</x:f>
        <x:v>49600</x:v>
      </x:c>
      <x:c r="AZ152" t="str">
        <x:v>Høy</x:v>
      </x:c>
    </x:row>
    <x:row r="153" ht="22" customHeight="1">
      <x:c r="A153" t="str">
        <x:v>OT-ec79a596f53b</x:v>
      </x:c>
      <x:c r="B153" t="n">
        <x:v>2015</x:v>
      </x:c>
      <x:c r="C153" t="str">
        <x:v>Kontorbygg</x:v>
      </x:c>
      <x:c r="D153" t="str">
        <x:v>KONTORER, ENKLE</x:v>
      </x:c>
      <x:c r="E153" t="str">
        <x:v>D</x:v>
      </x:c>
      <x:c r="F153" t="str">
        <x:v>ORANGE</x:v>
      </x:c>
      <x:c r="G153" t="n">
        <x:v>1983</x:v>
      </x:c>
      <x:c r="H153" t="n">
        <x:v>2128</x:v>
      </x:c>
      <x:c r="I153" t="n">
        <x:v>165.2</x:v>
      </x:c>
      <x:c r="J153" t="str">
        <x:v>PDF/avansert</x:v>
      </x:c>
      <x:c r="K153" t="n">
        <x:v>794</x:v>
      </x:c>
      <x:c r="L153" t="n">
        <x:v>2128</x:v>
      </x:c>
      <x:c r="M153" t="n">
        <x:v>2128</x:v>
      </x:c>
      <x:c r="N153" t="n">
        <x:v>265</x:v>
      </x:c>
      <x:c r="O153" t="n">
        <x:v>0.24</x:v>
      </x:c>
      <x:c r="P153" t="n">
        <x:v>0.19</x:v>
      </x:c>
      <x:c r="Q153" t="n">
        <x:v>0.08</x:v>
      </x:c>
      <x:c r="R153" t="n">
        <x:v>1.11</x:v>
      </x:c>
      <x:c r="S153" t="n">
        <x:v>77</x:v>
      </x:c>
      <x:c r="T153" t="n">
        <x:v>77</x:v>
      </x:c>
      <x:c r="U153" t="n">
        <x:v>3.07</x:v>
      </x:c>
      <x:c r="V153" t="n">
        <x:v>0.42</x:v>
      </x:c>
      <x:c r="W153" t="n">
        <x:v>8.72</x:v>
      </x:c>
      <x:c r="X153" t="n">
        <x:v>130</x:v>
      </x:c>
      <x:c r="Y153" t="n">
        <x:v>170</x:v>
      </x:c>
      <x:c r="Z153" t="n">
        <x:v>120</x:v>
      </x:c>
      <x:c r="AA153" t="n">
        <x:v>21</x:v>
      </x:c>
      <x:c r="AB153" t="n">
        <x:v>22</x:v>
      </x:c>
      <x:c r="AC153" t="n">
        <x:v>2.5</x:v>
      </x:c>
      <x:c r="AD153" t="n">
        <x:v>101.8</x:v>
      </x:c>
      <x:c r="AE153" t="n">
        <x:v>0.03</x:v>
      </x:c>
      <x:c r="AF153" t="n">
        <x:v>12</x:v>
      </x:c>
      <x:c r="AG153" t="n">
        <x:v>12</x:v>
      </x:c>
      <x:c r="AH153" t="n">
        <x:v>24</x:v>
      </x:c>
      <x:c r="AI153" t="n">
        <x:v>8</x:v>
      </x:c>
      <x:c r="AJ153" t="n">
        <x:v>11</x:v>
      </x:c>
      <x:c r="AK153" t="n">
        <x:v>250</x:v>
      </x:c>
      <x:c r="AL153" t="str">
        <x:v>Direkte elektrisk; Varmepumpe;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str">
        <x:v>energiattester_export_2025-08-14.json | PDF vedlegg side 5-7</x:v>
      </x:c>
      <x:c r="AV153" s="12" t="n">
        <x:f>IF(COUNT(O153,P153,Q153,R153,K153,L153,M153,N153)=8,O153*K153+P153*L153+Q153*M153+R153*N153,"")</x:f>
        <x:v>1059.27</x:v>
      </x:c>
      <x:c r="AW153" s="12" t="n">
        <x:f>IF(AND(ISNUMBER(AV153),H153&gt;0),AV153/H153,"")</x:f>
        <x:v>0.49777725563909775</x:v>
      </x:c>
      <x:c r="AX153" s="12" t="n">
        <x:f>IF(AND(ISNUMBER(AD153),H153&gt;0),AD153*H153*3600,"")</x:f>
        <x:v>779869440</x:v>
      </x:c>
      <x:c r="AY153" s="12" t="n">
        <x:f>IF(AND(ISNUMBER(Y153),H153&gt;0),Y153*H153,"")</x:f>
        <x:v>361760</x:v>
      </x:c>
      <x:c r="AZ153" t="str">
        <x:v>Høy</x:v>
      </x:c>
    </x:row>
    <x:row r="154" ht="22" customHeight="1">
      <x:c r="A154" t="str">
        <x:v>OT-2b8669b29822</x:v>
      </x:c>
      <x:c r="B154" t="n">
        <x:v>2015</x:v>
      </x:c>
      <x:c r="C154" t="str">
        <x:v>Kontorbygg</x:v>
      </x:c>
      <x:c r="D154" t="str">
        <x:v>KONTORER, MED VENTILASJON OG KJØLEANLEGG</x:v>
      </x:c>
      <x:c r="E154" t="str">
        <x:v>E</x:v>
      </x:c>
      <x:c r="F154" t="str">
        <x:v>RED</x:v>
      </x:c>
      <x:c r="G154" t="n">
        <x:v>1980</x:v>
      </x:c>
      <x:c r="H154" t="n">
        <x:v>5400</x:v>
      </x:c>
      <x:c r="I154" t="n">
        <x:v>199.2</x:v>
      </x:c>
      <x:c r="J154" t="str">
        <x:v>PDF/avansert</x:v>
      </x:c>
      <x:c r="K154" t="n">
        <x:v>1911</x:v>
      </x:c>
      <x:c r="L154" t="n">
        <x:v>810</x:v>
      </x:c>
      <x:c r="M154" t="n">
        <x:v>1500</x:v>
      </x:c>
      <x:c r="N154" t="n">
        <x:v>1089</x:v>
      </x:c>
      <x:c r="O154" t="n">
        <x:v>0.23</x:v>
      </x:c>
      <x:c r="P154" t="n">
        <x:v>0.2</x:v>
      </x:c>
      <x:c r="Q154" t="n">
        <x:v>0.11</x:v>
      </x:c>
      <x:c r="R154" t="n">
        <x:v>1.2</x:v>
      </x:c>
      <x:c r="S154" t="n">
        <x:v>70</x:v>
      </x:c>
      <x:c r="T154" t="n">
        <x:v>70</x:v>
      </x:c>
      <x:c r="U154" t="n">
        <x:v>3</x:v>
      </x:c>
      <x:c r="V154" t="n">
        <x:v>0.3</x:v>
      </x:c>
      <x:c r="W154" t="n">
        <x:v>10</x:v>
      </x:c>
      <x:c r="X154" t="n">
        <x:v>74</x:v>
      </x:c>
      <x:c r="Y154" t="n">
        <x:v>80</x:v>
      </x:c>
      <x:c r="Z154" t="n">
        <x:v>100</x:v>
      </x:c>
      <x:c r="AA154" t="n">
        <x:v>21</x:v>
      </x:c>
      <x:c r="AB154" t="n">
        <x:v>22</x:v>
      </x:c>
      <x:c r="AC154" t="n">
        <x:v>3</x:v>
      </x:c>
      <x:c r="AD154" t="n">
        <x:v>43.1</x:v>
      </x:c>
      <x:c r="AE154" t="n">
        <x:v>0.12</x:v>
      </x:c>
      <x:c r="AF154" t="n">
        <x:v>12</x:v>
      </x:c>
      <x:c r="AG154" t="n">
        <x:v>12</x:v>
      </x:c>
      <x:c r="AH154" t="n">
        <x:v>24</x:v>
      </x:c>
      <x:c r="AI154" t="n">
        <x:v>8</x:v>
      </x:c>
      <x:c r="AJ154" t="n">
        <x:v>11</x:v>
      </x:c>
      <x:c r="AK154" t="n">
        <x:v>250</x:v>
      </x:c>
      <x:c r="AL154" t="str">
        <x:v>Olje;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1</x:v>
      </x:c>
      <x:c r="AR154" t="n">
        <x:v>0</x:v>
      </x:c>
      <x:c r="AS154" t="n">
        <x:v>0</x:v>
      </x:c>
      <x:c r="AT154" t="n">
        <x:v>0</x:v>
      </x:c>
      <x:c r="AU154" t="str">
        <x:v>energiattester_export_2025-08-14.json | PDF vedlegg side 5-7</x:v>
      </x:c>
      <x:c r="AV154" s="12" t="n">
        <x:f>IF(COUNT(O154,P154,Q154,R154,K154,L154,M154,N154)=8,O154*K154+P154*L154+Q154*M154+R154*N154,"")</x:f>
        <x:v>2073.33</x:v>
      </x:c>
      <x:c r="AW154" s="12" t="n">
        <x:f>IF(AND(ISNUMBER(AV154),H154&gt;0),AV154/H154,"")</x:f>
        <x:v>0.38395</x:v>
      </x:c>
      <x:c r="AX154" s="12" t="n">
        <x:f>IF(AND(ISNUMBER(AD154),H154&gt;0),AD154*H154*3600,"")</x:f>
        <x:v>837864000</x:v>
      </x:c>
      <x:c r="AY154" s="12" t="n">
        <x:f>IF(AND(ISNUMBER(Y154),H154&gt;0),Y154*H154,"")</x:f>
        <x:v>432000</x:v>
      </x:c>
      <x:c r="AZ154" t="str">
        <x:v>Høy</x:v>
      </x:c>
    </x:row>
    <x:row r="155" ht="22" customHeight="1">
      <x:c r="A155" t="str">
        <x:v>OT-44077622ee4f</x:v>
      </x:c>
      <x:c r="B155" t="n">
        <x:v>2015</x:v>
      </x:c>
      <x:c r="C155" t="str">
        <x:v>Kontorbygg</x:v>
      </x:c>
      <x:c r="D155" t="str">
        <x:v>KONTORER, MED VENTILASJON OG KJØLEANLEGG</x:v>
      </x:c>
      <x:c r="E155" t="str">
        <x:v>E</x:v>
      </x:c>
      <x:c r="F155" t="str">
        <x:v>RED</x:v>
      </x:c>
      <x:c r="G155" t="n">
        <x:v>1985</x:v>
      </x:c>
      <x:c r="H155" t="n">
        <x:v>1900</x:v>
      </x:c>
      <x:c r="I155" t="n">
        <x:v>215.1</x:v>
      </x:c>
      <x:c r="J155" t="str">
        <x:v>PDF/avansert</x:v>
      </x:c>
      <x:c r="K155" t="n">
        <x:v>694</x:v>
      </x:c>
      <x:c r="L155" t="n">
        <x:v>1485</x:v>
      </x:c>
      <x:c r="M155" t="n">
        <x:v>0</x:v>
      </x:c>
      <x:c r="N155" t="n">
        <x:v>275</x:v>
      </x:c>
      <x:c r="O155" t="n">
        <x:v>0.45</x:v>
      </x:c>
      <x:c r="P155" t="n">
        <x:v>0.25</x:v>
      </x:c>
      <x:c r="Q155" t="n">
        <x:v>0</x:v>
      </x:c>
      <x:c r="R155" t="n">
        <x:v>1.58</x:v>
      </x:c>
      <x:c r="S155" t="n">
        <x:v>67</x:v>
      </x:c>
      <x:c r="T155" t="n">
        <x:v>67</x:v>
      </x:c>
      <x:c r="U155" t="n">
        <x:v>3.9</x:v>
      </x:c>
      <x:c r="V155" t="n">
        <x:v>0.33</x:v>
      </x:c>
      <x:c r="W155" t="n">
        <x:v>9</x:v>
      </x:c>
      <x:c r="X155" t="n">
        <x:v>89</x:v>
      </x:c>
      <x:c r="Y155" t="n">
        <x:v>92</x:v>
      </x:c>
      <x:c r="Z155" t="n">
        <x:v>71</x:v>
      </x:c>
      <x:c r="AA155" t="n">
        <x:v>21</x:v>
      </x:c>
      <x:c r="AB155" t="n">
        <x:v>22</x:v>
      </x:c>
      <x:c r="AC155" t="n">
        <x:v>3</x:v>
      </x:c>
      <x:c r="AD155" t="n">
        <x:v>21.6</x:v>
      </x:c>
      <x:c r="AE155" t="n">
        <x:v>0.12</x:v>
      </x:c>
      <x:c r="AF155" t="n">
        <x:v>12</x:v>
      </x:c>
      <x:c r="AG155" t="n">
        <x:v>12</x:v>
      </x:c>
      <x:c r="AH155" t="n">
        <x:v>24</x:v>
      </x:c>
      <x:c r="AI155" t="n">
        <x:v>8</x:v>
      </x:c>
      <x:c r="AJ155" t="n">
        <x:v>11</x:v>
      </x:c>
      <x:c r="AK155" t="n">
        <x:v>250</x:v>
      </x:c>
      <x:c r="AL155" t="str">
        <x:v>Direkte elektrisk;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str">
        <x:v>energiattester_export_2025-08-14.json | PDF vedlegg side 5-7</x:v>
      </x:c>
      <x:c r="AV155" s="12" t="n">
        <x:f>IF(COUNT(O155,P155,Q155,R155,K155,L155,M155,N155)=8,O155*K155+P155*L155+Q155*M155+R155*N155,"")</x:f>
        <x:v>1118.05</x:v>
      </x:c>
      <x:c r="AW155" s="12" t="n">
        <x:f>IF(AND(ISNUMBER(AV155),H155&gt;0),AV155/H155,"")</x:f>
        <x:v>0.5884473684210526</x:v>
      </x:c>
      <x:c r="AX155" s="12" t="n">
        <x:f>IF(AND(ISNUMBER(AD155),H155&gt;0),AD155*H155*3600,"")</x:f>
        <x:v>147744000</x:v>
      </x:c>
      <x:c r="AY155" s="12" t="n">
        <x:f>IF(AND(ISNUMBER(Y155),H155&gt;0),Y155*H155,"")</x:f>
        <x:v>174800</x:v>
      </x:c>
      <x:c r="AZ155" t="str">
        <x:v>Høy</x:v>
      </x:c>
    </x:row>
    <x:row r="156" ht="22" customHeight="1">
      <x:c r="A156" t="str">
        <x:v>OT-15e99589c210</x:v>
      </x:c>
      <x:c r="B156" t="n">
        <x:v>2015</x:v>
      </x:c>
      <x:c r="C156" t="str">
        <x:v>Forretningsbygg</x:v>
      </x:c>
      <x:c r="D156" t="str">
        <x:v>BUTIKK</x:v>
      </x:c>
      <x:c r="E156" t="str">
        <x:v>D</x:v>
      </x:c>
      <x:c r="F156" t="str">
        <x:v>RED</x:v>
      </x:c>
      <x:c r="G156" t="n">
        <x:v>1985</x:v>
      </x:c>
      <x:c r="H156" t="n">
        <x:v>1900</x:v>
      </x:c>
      <x:c r="I156" t="n">
        <x:v>219.2</x:v>
      </x:c>
      <x:c r="J156" t="str">
        <x:v>PDF/avansert</x:v>
      </x:c>
      <x:c r="K156" t="n">
        <x:v>596</x:v>
      </x:c>
      <x:c r="L156" t="n">
        <x:v>0</x:v>
      </x:c>
      <x:c r="M156" t="n">
        <x:v>1419</x:v>
      </x:c>
      <x:c r="N156" t="n">
        <x:v>237</x:v>
      </x:c>
      <x:c r="O156" t="n">
        <x:v>0.42</x:v>
      </x:c>
      <x:c r="P156" t="n">
        <x:v>0</x:v>
      </x:c>
      <x:c r="Q156" t="n">
        <x:v>0.04</x:v>
      </x:c>
      <x:c r="R156" t="n">
        <x:v>1.53</x:v>
      </x:c>
      <x:c r="S156" t="n">
        <x:v>67</x:v>
      </x:c>
      <x:c r="T156" t="n">
        <x:v>67</x:v>
      </x:c>
      <x:c r="U156" t="n">
        <x:v>3.9</x:v>
      </x:c>
      <x:c r="V156" t="n">
        <x:v>0.23</x:v>
      </x:c>
      <x:c r="W156" t="n">
        <x:v>13</x:v>
      </x:c>
      <x:c r="X156" t="n">
        <x:v>81</x:v>
      </x:c>
      <x:c r="Y156" t="n">
        <x:v>105</x:v>
      </x:c>
      <x:c r="Z156" t="n">
        <x:v>85</x:v>
      </x:c>
      <x:c r="AA156" t="n">
        <x:v>21</x:v>
      </x:c>
      <x:c r="AB156" t="n">
        <x:v>22</x:v>
      </x:c>
      <x:c r="AC156" t="n">
        <x:v>3</x:v>
      </x:c>
      <x:c r="AD156" t="n">
        <x:v>107.5</x:v>
      </x:c>
      <x:c r="AE156" t="n">
        <x:v>0.12</x:v>
      </x:c>
      <x:c r="AF156" t="n">
        <x:v>12</x:v>
      </x:c>
      <x:c r="AG156" t="n">
        <x:v>12</x:v>
      </x:c>
      <x:c r="AH156" t="n">
        <x:v>24</x:v>
      </x:c>
      <x:c r="AI156" t="n">
        <x:v>15</x:v>
      </x:c>
      <x:c r="AJ156" t="n">
        <x:v>1</x:v>
      </x:c>
      <x:c r="AK156" t="n">
        <x:v>250</x:v>
      </x:c>
      <x:c r="AL156" t="str">
        <x:v>Direkte elektrisk;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str">
        <x:v>energiattester_export_2025-08-14.json | PDF vedlegg side 5-7</x:v>
      </x:c>
      <x:c r="AV156" s="12" t="n">
        <x:f>IF(COUNT(O156,P156,Q156,R156,K156,L156,M156,N156)=8,O156*K156+P156*L156+Q156*M156+R156*N156,"")</x:f>
        <x:v>669.69</x:v>
      </x:c>
      <x:c r="AW156" s="12" t="n">
        <x:f>IF(AND(ISNUMBER(AV156),H156&gt;0),AV156/H156,"")</x:f>
        <x:v>0.3524684210526316</x:v>
      </x:c>
      <x:c r="AX156" s="12" t="n">
        <x:f>IF(AND(ISNUMBER(AD156),H156&gt;0),AD156*H156*3600,"")</x:f>
        <x:v>735300000</x:v>
      </x:c>
      <x:c r="AY156" s="12" t="n">
        <x:f>IF(AND(ISNUMBER(Y156),H156&gt;0),Y156*H156,"")</x:f>
        <x:v>199500</x:v>
      </x:c>
      <x:c r="AZ156" t="str">
        <x:v>Høy</x:v>
      </x:c>
    </x:row>
    <x:row r="157" ht="22" customHeight="1">
      <x:c r="A157" t="str">
        <x:v>OT-76d6afb23732</x:v>
      </x:c>
      <x:c r="B157" t="n">
        <x:v>2015</x:v>
      </x:c>
      <x:c r="C157" t="str">
        <x:v>Kontorbygg</x:v>
      </x:c>
      <x:c r="D157" t="str">
        <x:v>KONTORER, MED VENTILASJON OG KJØLEANLEGG</x:v>
      </x:c>
      <x:c r="E157" t="str">
        <x:v>C</x:v>
      </x:c>
      <x:c r="F157" t="str">
        <x:v>ORANGE</x:v>
      </x:c>
      <x:c r="G157" t="n">
        <x:v>2007</x:v>
      </x:c>
      <x:c r="H157" t="n">
        <x:v>900</x:v>
      </x:c>
      <x:c r="I157" t="n">
        <x:v>134</x:v>
      </x:c>
      <x:c r="J157" t="str">
        <x:v>PDF/avansert</x:v>
      </x:c>
      <x:c r="K157" t="n">
        <x:v>331</x:v>
      </x:c>
      <x:c r="L157" t="n">
        <x:v>900</x:v>
      </x:c>
      <x:c r="M157" t="n">
        <x:v>900</x:v>
      </x:c>
      <x:c r="N157" t="n">
        <x:v>193</x:v>
      </x:c>
      <x:c r="O157" t="n">
        <x:v>0.21</x:v>
      </x:c>
      <x:c r="P157" t="n">
        <x:v>0.18</x:v>
      </x:c>
      <x:c r="Q157" t="n">
        <x:v>0.01</x:v>
      </x:c>
      <x:c r="R157" t="n">
        <x:v>1.6</x:v>
      </x:c>
      <x:c r="S157" t="n">
        <x:v>75</x:v>
      </x:c>
      <x:c r="T157" t="n">
        <x:v>74</x:v>
      </x:c>
      <x:c r="U157" t="n">
        <x:v>1.12</x:v>
      </x:c>
      <x:c r="V157" t="n">
        <x:v>0.23</x:v>
      </x:c>
      <x:c r="W157" t="n">
        <x:v>7.6</x:v>
      </x:c>
      <x:c r="X157" t="n">
        <x:v>171</x:v>
      </x:c>
      <x:c r="Y157" t="n">
        <x:v>134</x:v>
      </x:c>
      <x:c r="Z157" t="n">
        <x:v>39</x:v>
      </x:c>
      <x:c r="AA157" t="n">
        <x:v>21</x:v>
      </x:c>
      <x:c r="AB157" t="n">
        <x:v>22</x:v>
      </x:c>
      <x:c r="AC157" t="n">
        <x:v>2.8</x:v>
      </x:c>
      <x:c r="AD157" t="n">
        <x:v>87.6</x:v>
      </x:c>
      <x:c r="AE157" t="n">
        <x:v>0.06</x:v>
      </x:c>
      <x:c r="AF157" t="n">
        <x:v>12</x:v>
      </x:c>
      <x:c r="AG157" t="n">
        <x:v>12</x:v>
      </x:c>
      <x:c r="AH157" t="n">
        <x:v>24</x:v>
      </x:c>
      <x:c r="AI157" t="n">
        <x:v>8</x:v>
      </x:c>
      <x:c r="AJ157" t="n">
        <x:v>11</x:v>
      </x:c>
      <x:c r="AK157" t="n">
        <x:v>250</x:v>
      </x:c>
      <x:c r="AL157" t="str">
        <x:v>Gass; Varmepumpe;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1</x:v>
      </x:c>
      <x:c r="AS157" t="n">
        <x:v>0</x:v>
      </x:c>
      <x:c r="AT157" t="n">
        <x:v>1</x:v>
      </x:c>
      <x:c r="AU157" t="str">
        <x:v>energiattester_export_2025-08-14.json | PDF vedlegg side 5-7</x:v>
      </x:c>
      <x:c r="AV157" s="12" t="n">
        <x:f>IF(COUNT(O157,P157,Q157,R157,K157,L157,M157,N157)=8,O157*K157+P157*L157+Q157*M157+R157*N157,"")</x:f>
        <x:v>549.31</x:v>
      </x:c>
      <x:c r="AW157" s="12" t="n">
        <x:f>IF(AND(ISNUMBER(AV157),H157&gt;0),AV157/H157,"")</x:f>
        <x:v>0.6103444444444444</x:v>
      </x:c>
      <x:c r="AX157" s="12" t="n">
        <x:f>IF(AND(ISNUMBER(AD157),H157&gt;0),AD157*H157*3600,"")</x:f>
        <x:v>283824000</x:v>
      </x:c>
      <x:c r="AY157" s="12" t="n">
        <x:f>IF(AND(ISNUMBER(Y157),H157&gt;0),Y157*H157,"")</x:f>
        <x:v>120600</x:v>
      </x:c>
      <x:c r="AZ157" t="str">
        <x:v>Høy</x:v>
      </x:c>
    </x:row>
    <x:row r="158" ht="22" customHeight="1">
      <x:c r="A158" t="str">
        <x:v>OT-1c113572eade</x:v>
      </x:c>
      <x:c r="B158" t="n">
        <x:v>2015</x:v>
      </x:c>
      <x:c r="C158" t="str">
        <x:v>Kontorbygg</x:v>
      </x:c>
      <x:c r="D158" t="str">
        <x:v>Kontorer, enkle</x:v>
      </x:c>
      <x:c r="E158" t="str">
        <x:v>G</x:v>
      </x:c>
      <x:c r="F158" t="str">
        <x:v>ORANGE</x:v>
      </x:c>
      <x:c r="G158" t="n">
        <x:v>1924</x:v>
      </x:c>
      <x:c r="H158" t="n">
        <x:v>1100</x:v>
      </x:c>
      <x:c r="I158" t="n">
        <x:v>352.65</x:v>
      </x:c>
      <x:c r="J158" t="str">
        <x:v>PDF/avansert</x:v>
      </x:c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 t="n">
        <x:v>1</x:v>
      </x:c>
      <x:c r="AN158" t="n">
        <x:v>0</x:v>
      </x:c>
      <x:c r="AO158" t="n">
        <x:v>0</x:v>
      </x:c>
      <x:c r="AP158" t="n">
        <x:v>0</x:v>
      </x:c>
      <x:c r="AQ158" t="n">
        <x:v>1</x:v>
      </x:c>
      <x:c r="AR158" t="n">
        <x:v>1</x:v>
      </x:c>
      <x:c r="AS158" t="n">
        <x:v>1</x:v>
      </x:c>
      <x:c r="AT158" t="n">
        <x:v>0</x:v>
      </x:c>
      <x:c r="AU158" t="str">
        <x:v>energiattester_export_2025-08-14.json | PDF vedlegg side 5-7</x:v>
      </x:c>
      <x:c r="AV158" s="12" t="str">
        <x:f>IF(COUNT(O158,P158,Q158,R158,K158,L158,M158,N158)=8,O158*K158+P158*L158+Q158*M158+R158*N158,"")</x:f>
      </x:c>
      <x:c r="AW158" s="12" t="str">
        <x:f>IF(AND(ISNUMBER(AV158),H158&gt;0),AV158/H158,"")</x:f>
      </x:c>
      <x:c r="AX158" s="12" t="str">
        <x:f>IF(AND(ISNUMBER(AD158),H158&gt;0),AD158*H158*3600,"")</x:f>
      </x:c>
      <x:c r="AY158" s="12" t="str">
        <x:f>IF(AND(ISNUMBER(Y158),H158&gt;0),Y158*H158,"")</x:f>
      </x:c>
      <x:c r="AZ158" t="str">
        <x:v>Mangler data</x:v>
      </x:c>
    </x:row>
    <x:row r="159" ht="22" customHeight="1">
      <x:c r="A159" t="str">
        <x:v>OT-6ccbcc0ac44a</x:v>
      </x:c>
      <x:c r="B159" t="n">
        <x:v>2015</x:v>
      </x:c>
      <x:c r="C159" t="str">
        <x:v>Kontorbygg</x:v>
      </x:c>
      <x:c r="D159" t="str">
        <x:v>ANNET KONTORBYGG</x:v>
      </x:c>
      <x:c r="E159" t="str">
        <x:v>C</x:v>
      </x:c>
      <x:c r="F159" t="str">
        <x:v>RED</x:v>
      </x:c>
      <x:c r="G159" t="n">
        <x:v>1996</x:v>
      </x:c>
      <x:c r="H159" t="n">
        <x:v>3975</x:v>
      </x:c>
      <x:c r="I159" t="n">
        <x:v>143.6</x:v>
      </x:c>
      <x:c r="J159" t="str">
        <x:v>PDF/avansert</x:v>
      </x:c>
      <x:c r="K159" t="n">
        <x:v>932</x:v>
      </x:c>
      <x:c r="L159" t="n">
        <x:v>541</x:v>
      </x:c>
      <x:c r="M159" t="n">
        <x:v>1039</x:v>
      </x:c>
      <x:c r="N159" t="n">
        <x:v>227</x:v>
      </x:c>
      <x:c r="O159" t="n">
        <x:v>0.31</x:v>
      </x:c>
      <x:c r="P159" t="n">
        <x:v>0.31</x:v>
      </x:c>
      <x:c r="Q159" t="n">
        <x:v>0.35</x:v>
      </x:c>
      <x:c r="R159" t="n">
        <x:v>2</x:v>
      </x:c>
      <x:c r="S159" t="n">
        <x:v>83</x:v>
      </x:c>
      <x:c r="T159" t="n">
        <x:v>83</x:v>
      </x:c>
      <x:c r="U159" t="n">
        <x:v>2.5</x:v>
      </x:c>
      <x:c r="V159" t="n">
        <x:v>0.24</x:v>
      </x:c>
      <x:c r="W159" t="n">
        <x:v>8.5</x:v>
      </x:c>
      <x:c r="X159" t="n">
        <x:v>81</x:v>
      </x:c>
      <x:c r="Y159" t="n">
        <x:v>80</x:v>
      </x:c>
      <x:c r="Z159" t="n">
        <x:v>0</x:v>
      </x:c>
      <x:c r="AA159" t="n">
        <x:v>21</x:v>
      </x:c>
      <x:c r="AB159" t="n">
        <x:v>22</x:v>
      </x:c>
      <x:c r="AC159" t="n">
        <x:v>1.5</x:v>
      </x:c>
      <x:c r="AD159" t="n">
        <x:v>38.4</x:v>
      </x:c>
      <x:c r="AE159" t="n">
        <x:v>0.12</x:v>
      </x:c>
      <x:c r="AF159" t="n">
        <x:v>12</x:v>
      </x:c>
      <x:c r="AG159" t="n">
        <x:v>12</x:v>
      </x:c>
      <x:c r="AH159" t="n">
        <x:v>24</x:v>
      </x:c>
      <x:c r="AI159" t="n">
        <x:v>8</x:v>
      </x:c>
      <x:c r="AJ159" t="n">
        <x:v>11</x:v>
      </x:c>
      <x:c r="AK159" t="n">
        <x:v>250</x:v>
      </x:c>
      <x:c r="AL159" t="str">
        <x:v>Direkte elektrisk;</x:v>
      </x:c>
      <x:c r="AM159" t="n">
        <x:v>0</x:v>
      </x:c>
      <x:c r="AN159" t="n">
        <x:v>0</x:v>
      </x:c>
      <x:c r="AO159" t="n">
        <x:v>1</x:v>
      </x:c>
      <x:c r="AP159" t="n">
        <x:v>0</x:v>
      </x:c>
      <x:c r="AQ159" t="n">
        <x:v>1</x:v>
      </x:c>
      <x:c r="AR159" t="n">
        <x:v>0</x:v>
      </x:c>
      <x:c r="AS159" t="n">
        <x:v>1</x:v>
      </x:c>
      <x:c r="AT159" t="n">
        <x:v>1</x:v>
      </x:c>
      <x:c r="AU159" t="str">
        <x:v>energiattester_export_2025-08-14.json | PDF vedlegg side 5-7</x:v>
      </x:c>
      <x:c r="AV159" s="12" t="n">
        <x:f>IF(COUNT(O159,P159,Q159,R159,K159,L159,M159,N159)=8,O159*K159+P159*L159+Q159*M159+R159*N159,"")</x:f>
        <x:v>1274.28</x:v>
      </x:c>
      <x:c r="AW159" s="12" t="n">
        <x:f>IF(AND(ISNUMBER(AV159),H159&gt;0),AV159/H159,"")</x:f>
        <x:v>0.32057358490566035</x:v>
      </x:c>
      <x:c r="AX159" s="12" t="n">
        <x:f>IF(AND(ISNUMBER(AD159),H159&gt;0),AD159*H159*3600,"")</x:f>
        <x:v>549504000</x:v>
      </x:c>
      <x:c r="AY159" s="12" t="n">
        <x:f>IF(AND(ISNUMBER(Y159),H159&gt;0),Y159*H159,"")</x:f>
        <x:v>318000</x:v>
      </x:c>
      <x:c r="AZ159" t="str">
        <x:v>Høy</x:v>
      </x:c>
    </x:row>
    <x:row r="160" ht="22" customHeight="1">
      <x:c r="A160" t="str">
        <x:v>OT-4b055a13645d</x:v>
      </x:c>
      <x:c r="B160" t="n">
        <x:v>2015</x:v>
      </x:c>
      <x:c r="C160" t="str">
        <x:v>Kontorbygg</x:v>
      </x:c>
      <x:c r="D160" t="str">
        <x:v>KONTORER, ENKLE</x:v>
      </x:c>
      <x:c r="E160" t="str">
        <x:v>G</x:v>
      </x:c>
      <x:c r="F160" t="str">
        <x:v>RED</x:v>
      </x:c>
      <x:c r="G160" t="n">
        <x:v>1890</x:v>
      </x:c>
      <x:c r="H160" t="n">
        <x:v>1075</x:v>
      </x:c>
      <x:c r="I160" t="n">
        <x:v>290.7</x:v>
      </x:c>
      <x:c r="J160" t="str">
        <x:v>PDF/avansert</x:v>
      </x:c>
      <x:c r="K160" t="n">
        <x:v>843</x:v>
      </x:c>
      <x:c r="L160" t="n">
        <x:v>328</x:v>
      </x:c>
      <x:c r="M160" t="n">
        <x:v>314</x:v>
      </x:c>
      <x:c r="N160" t="n">
        <x:v>203</x:v>
      </x:c>
      <x:c r="O160" t="n">
        <x:v>1.1</x:v>
      </x:c>
      <x:c r="P160" t="n">
        <x:v>0.21</x:v>
      </x:c>
      <x:c r="Q160" t="n">
        <x:v>0.57</x:v>
      </x:c>
      <x:c r="R160" t="n">
        <x:v>3</x:v>
      </x:c>
      <x:c r="S160" t="n">
        <x:v>82</x:v>
      </x:c>
      <x:c r="T160" t="n">
        <x:v>82</x:v>
      </x:c>
      <x:c r="U160" t="n">
        <x:v>2.02</x:v>
      </x:c>
      <x:c r="V160" t="n">
        <x:v>0.26</x:v>
      </x:c>
      <x:c r="W160" t="n">
        <x:v>7</x:v>
      </x:c>
      <x:c r="X160" t="n">
        <x:v>89</x:v>
      </x:c>
      <x:c r="Y160" t="n">
        <x:v>120</x:v>
      </x:c>
      <x:c r="Z160" t="n">
        <x:v>30</x:v>
      </x:c>
      <x:c r="AA160" t="n">
        <x:v>21</x:v>
      </x:c>
      <x:c r="AB160" t="n">
        <x:v>22</x:v>
      </x:c>
      <x:c r="AC160" t="n">
        <x:v>3</x:v>
      </x:c>
      <x:c r="AD160" t="n">
        <x:v>36.7</x:v>
      </x:c>
      <x:c r="AE160" t="n">
        <x:v>0.12</x:v>
      </x:c>
      <x:c r="AF160" t="n">
        <x:v>12</x:v>
      </x:c>
      <x:c r="AG160" t="n">
        <x:v>12</x:v>
      </x:c>
      <x:c r="AH160" t="n">
        <x:v>24</x:v>
      </x:c>
      <x:c r="AI160" t="n">
        <x:v>8</x:v>
      </x:c>
      <x:c r="AJ160" t="n">
        <x:v>11</x:v>
      </x:c>
      <x:c r="AK160" t="n">
        <x:v>250</x:v>
      </x:c>
      <x:c r="AL160" t="str">
        <x:v>Direkte elektrisk;</x:v>
      </x:c>
      <x:c r="AM160"/>
      <x:c r="AN160"/>
      <x:c r="AO160"/>
      <x:c r="AP160"/>
      <x:c r="AQ160"/>
      <x:c r="AR160"/>
      <x:c r="AS160"/>
      <x:c r="AT160"/>
      <x:c r="AU160" t="str">
        <x:v>energiattester_export_2025-08-14.json | PDF vedlegg side 5-7</x:v>
      </x:c>
      <x:c r="AV160" s="12" t="n">
        <x:f>IF(COUNT(O160,P160,Q160,R160,K160,L160,M160,N160)=8,O160*K160+P160*L160+Q160*M160+R160*N160,"")</x:f>
        <x:v>1784.16</x:v>
      </x:c>
      <x:c r="AW160" s="12" t="n">
        <x:f>IF(AND(ISNUMBER(AV160),H160&gt;0),AV160/H160,"")</x:f>
        <x:v>1.6596837209302326</x:v>
      </x:c>
      <x:c r="AX160" s="12" t="n">
        <x:f>IF(AND(ISNUMBER(AD160),H160&gt;0),AD160*H160*3600,"")</x:f>
        <x:v>142029000</x:v>
      </x:c>
      <x:c r="AY160" s="12" t="n">
        <x:f>IF(AND(ISNUMBER(Y160),H160&gt;0),Y160*H160,"")</x:f>
        <x:v>129000</x:v>
      </x:c>
      <x:c r="AZ160" t="str">
        <x:v>Høy</x:v>
      </x:c>
    </x:row>
    <x:row r="161" ht="22" customHeight="1">
      <x:c r="A161" t="str">
        <x:v>OT-f1140a78ae29</x:v>
      </x:c>
      <x:c r="B161" t="n">
        <x:v>2015</x:v>
      </x:c>
      <x:c r="C161" t="str">
        <x:v>Kontorbygg</x:v>
      </x:c>
      <x:c r="D161" t="str">
        <x:v>ANNET KONTORBYGG</x:v>
      </x:c>
      <x:c r="E161" t="str">
        <x:v>C</x:v>
      </x:c>
      <x:c r="F161" t="str">
        <x:v>RED</x:v>
      </x:c>
      <x:c r="G161" t="n">
        <x:v>1996</x:v>
      </x:c>
      <x:c r="H161" t="n">
        <x:v>3975</x:v>
      </x:c>
      <x:c r="I161" t="n">
        <x:v>143.6</x:v>
      </x:c>
      <x:c r="J161" t="str">
        <x:v>PDF/avansert</x:v>
      </x:c>
      <x:c r="K161" t="n">
        <x:v>932</x:v>
      </x:c>
      <x:c r="L161" t="n">
        <x:v>541</x:v>
      </x:c>
      <x:c r="M161" t="n">
        <x:v>1039</x:v>
      </x:c>
      <x:c r="N161" t="n">
        <x:v>227</x:v>
      </x:c>
      <x:c r="O161" t="n">
        <x:v>0.31</x:v>
      </x:c>
      <x:c r="P161" t="n">
        <x:v>0.31</x:v>
      </x:c>
      <x:c r="Q161" t="n">
        <x:v>0.35</x:v>
      </x:c>
      <x:c r="R161" t="n">
        <x:v>2</x:v>
      </x:c>
      <x:c r="S161" t="n">
        <x:v>83</x:v>
      </x:c>
      <x:c r="T161" t="n">
        <x:v>83</x:v>
      </x:c>
      <x:c r="U161" t="n">
        <x:v>2.5</x:v>
      </x:c>
      <x:c r="V161" t="n">
        <x:v>0.24</x:v>
      </x:c>
      <x:c r="W161" t="n">
        <x:v>8.5</x:v>
      </x:c>
      <x:c r="X161" t="n">
        <x:v>81</x:v>
      </x:c>
      <x:c r="Y161" t="n">
        <x:v>80</x:v>
      </x:c>
      <x:c r="Z161" t="n">
        <x:v>0</x:v>
      </x:c>
      <x:c r="AA161" t="n">
        <x:v>21</x:v>
      </x:c>
      <x:c r="AB161" t="n">
        <x:v>22</x:v>
      </x:c>
      <x:c r="AC161" t="n">
        <x:v>1.5</x:v>
      </x:c>
      <x:c r="AD161" t="n">
        <x:v>38.4</x:v>
      </x:c>
      <x:c r="AE161" t="n">
        <x:v>0.12</x:v>
      </x:c>
      <x:c r="AF161" t="n">
        <x:v>12</x:v>
      </x:c>
      <x:c r="AG161" t="n">
        <x:v>12</x:v>
      </x:c>
      <x:c r="AH161" t="n">
        <x:v>24</x:v>
      </x:c>
      <x:c r="AI161" t="n">
        <x:v>8</x:v>
      </x:c>
      <x:c r="AJ161" t="n">
        <x:v>11</x:v>
      </x:c>
      <x:c r="AK161" t="n">
        <x:v>250</x:v>
      </x:c>
      <x:c r="AL161" t="str">
        <x:v>Direkte elektrisk;</x:v>
      </x:c>
      <x:c r="AM161" t="n">
        <x:v>0</x:v>
      </x:c>
      <x:c r="AN161" t="n">
        <x:v>0</x:v>
      </x:c>
      <x:c r="AO161" t="n">
        <x:v>1</x:v>
      </x:c>
      <x:c r="AP161" t="n">
        <x:v>0</x:v>
      </x:c>
      <x:c r="AQ161" t="n">
        <x:v>0</x:v>
      </x:c>
      <x:c r="AR161" t="n">
        <x:v>0</x:v>
      </x:c>
      <x:c r="AS161" t="n">
        <x:v>1</x:v>
      </x:c>
      <x:c r="AT161" t="n">
        <x:v>1</x:v>
      </x:c>
      <x:c r="AU161" t="str">
        <x:v>energiattester_export_2025-08-14.json | PDF vedlegg side 5-7</x:v>
      </x:c>
      <x:c r="AV161" s="12" t="n">
        <x:f>IF(COUNT(O161,P161,Q161,R161,K161,L161,M161,N161)=8,O161*K161+P161*L161+Q161*M161+R161*N161,"")</x:f>
        <x:v>1274.28</x:v>
      </x:c>
      <x:c r="AW161" s="12" t="n">
        <x:f>IF(AND(ISNUMBER(AV161),H161&gt;0),AV161/H161,"")</x:f>
        <x:v>0.32057358490566035</x:v>
      </x:c>
      <x:c r="AX161" s="12" t="n">
        <x:f>IF(AND(ISNUMBER(AD161),H161&gt;0),AD161*H161*3600,"")</x:f>
        <x:v>549504000</x:v>
      </x:c>
      <x:c r="AY161" s="12" t="n">
        <x:f>IF(AND(ISNUMBER(Y161),H161&gt;0),Y161*H161,"")</x:f>
        <x:v>318000</x:v>
      </x:c>
      <x:c r="AZ161" t="str">
        <x:v>Høy</x:v>
      </x:c>
    </x:row>
    <x:row r="162" ht="22" customHeight="1">
      <x:c r="A162" t="str">
        <x:v>OT-2c439e178837</x:v>
      </x:c>
      <x:c r="B162" t="n">
        <x:v>2015</x:v>
      </x:c>
      <x:c r="C162" t="str">
        <x:v>Kontorbygg</x:v>
      </x:c>
      <x:c r="D162" t="str">
        <x:v>KONTORER, ENKLE</x:v>
      </x:c>
      <x:c r="E162" t="str">
        <x:v>B</x:v>
      </x:c>
      <x:c r="F162" t="str">
        <x:v>ORANGE</x:v>
      </x:c>
      <x:c r="G162" t="n">
        <x:v>2015</x:v>
      </x:c>
      <x:c r="H162" t="n">
        <x:v>1654</x:v>
      </x:c>
      <x:c r="I162" t="n">
        <x:v>114.4</x:v>
      </x:c>
      <x:c r="J162" t="str">
        <x:v>PDF/avansert</x:v>
      </x:c>
      <x:c r="K162" t="n">
        <x:v>289</x:v>
      </x:c>
      <x:c r="L162" t="n">
        <x:v>1447</x:v>
      </x:c>
      <x:c r="M162" t="n">
        <x:v>0</x:v>
      </x:c>
      <x:c r="N162" t="n">
        <x:v>366</x:v>
      </x:c>
      <x:c r="O162" t="n">
        <x:v>0.18</x:v>
      </x:c>
      <x:c r="P162" t="n">
        <x:v>0.13</x:v>
      </x:c>
      <x:c r="Q162" t="n">
        <x:v>0</x:v>
      </x:c>
      <x:c r="R162" t="n">
        <x:v>1</x:v>
      </x:c>
      <x:c r="S162" t="n">
        <x:v>80</x:v>
      </x:c>
      <x:c r="T162" t="n">
        <x:v>80</x:v>
      </x:c>
      <x:c r="U162" t="n">
        <x:v>2</x:v>
      </x:c>
      <x:c r="V162" t="n">
        <x:v>0.17</x:v>
      </x:c>
      <x:c r="W162" t="n">
        <x:v>11.49</x:v>
      </x:c>
      <x:c r="X162" t="n">
        <x:v>200</x:v>
      </x:c>
      <x:c r="Y162" t="n">
        <x:v>70</x:v>
      </x:c>
      <x:c r="Z162" t="n">
        <x:v>30</x:v>
      </x:c>
      <x:c r="AA162" t="n">
        <x:v>21</x:v>
      </x:c>
      <x:c r="AB162" t="n">
        <x:v>22</x:v>
      </x:c>
      <x:c r="AC162" t="n">
        <x:v>0.7</x:v>
      </x:c>
      <x:c r="AD162" t="n">
        <x:v>65</x:v>
      </x:c>
      <x:c r="AE162" t="n">
        <x:v>0.05</x:v>
      </x:c>
      <x:c r="AF162" t="n">
        <x:v>12</x:v>
      </x:c>
      <x:c r="AG162" t="n">
        <x:v>12</x:v>
      </x:c>
      <x:c r="AH162" t="n">
        <x:v>24</x:v>
      </x:c>
      <x:c r="AI162" t="n">
        <x:v>8</x:v>
      </x:c>
      <x:c r="AJ162" t="n">
        <x:v>11</x:v>
      </x:c>
      <x:c r="AK162" t="n">
        <x:v>250</x:v>
      </x:c>
      <x:c r="AL162" t="str">
        <x:v>Direkte elektrisk; Varmepumpe;</x:v>
      </x:c>
      <x:c r="AM162"/>
      <x:c r="AN162"/>
      <x:c r="AO162"/>
      <x:c r="AP162"/>
      <x:c r="AQ162"/>
      <x:c r="AR162"/>
      <x:c r="AS162"/>
      <x:c r="AT162"/>
      <x:c r="AU162" t="str">
        <x:v>energiattester_export_2025-08-14.json | PDF vedlegg side 5-7</x:v>
      </x:c>
      <x:c r="AV162" s="12" t="n">
        <x:f>IF(COUNT(O162,P162,Q162,R162,K162,L162,M162,N162)=8,O162*K162+P162*L162+Q162*M162+R162*N162,"")</x:f>
        <x:v>606.13</x:v>
      </x:c>
      <x:c r="AW162" s="12" t="n">
        <x:f>IF(AND(ISNUMBER(AV162),H162&gt;0),AV162/H162,"")</x:f>
        <x:v>0.36646311970979445</x:v>
      </x:c>
      <x:c r="AX162" s="12" t="n">
        <x:f>IF(AND(ISNUMBER(AD162),H162&gt;0),AD162*H162*3600,"")</x:f>
        <x:v>387036000</x:v>
      </x:c>
      <x:c r="AY162" s="12" t="n">
        <x:f>IF(AND(ISNUMBER(Y162),H162&gt;0),Y162*H162,"")</x:f>
        <x:v>115780</x:v>
      </x:c>
      <x:c r="AZ162" t="str">
        <x:v>Høy</x:v>
      </x:c>
    </x:row>
    <x:row r="163" ht="22" customHeight="1">
      <x:c r="A163" t="str">
        <x:v>OT-da00b64ee82f</x:v>
      </x:c>
      <x:c r="B163" t="n">
        <x:v>2015</x:v>
      </x:c>
      <x:c r="C163" t="str">
        <x:v>Forretningsbygg</x:v>
      </x:c>
      <x:c r="D163" t="str">
        <x:v>BUTIKK</x:v>
      </x:c>
      <x:c r="E163" t="str">
        <x:v>B</x:v>
      </x:c>
      <x:c r="F163" t="str">
        <x:v>ORANGE</x:v>
      </x:c>
      <x:c r="G163" t="n">
        <x:v>2015</x:v>
      </x:c>
      <x:c r="H163" t="n">
        <x:v>1805</x:v>
      </x:c>
      <x:c r="I163" t="n">
        <x:v>123.2</x:v>
      </x:c>
      <x:c r="J163" t="str">
        <x:v>PDF/avansert</x:v>
      </x:c>
      <x:c r="K163" t="n">
        <x:v>627</x:v>
      </x:c>
      <x:c r="L163" t="n">
        <x:v>0</x:v>
      </x:c>
      <x:c r="M163" t="n">
        <x:v>1475</x:v>
      </x:c>
      <x:c r="N163" t="n">
        <x:v>257</x:v>
      </x:c>
      <x:c r="O163" t="n">
        <x:v>0.19</x:v>
      </x:c>
      <x:c r="P163" t="n">
        <x:v>0</x:v>
      </x:c>
      <x:c r="Q163" t="n">
        <x:v>0.15</x:v>
      </x:c>
      <x:c r="R163" t="n">
        <x:v>1.14</x:v>
      </x:c>
      <x:c r="S163" t="n">
        <x:v>83</x:v>
      </x:c>
      <x:c r="T163" t="n">
        <x:v>83</x:v>
      </x:c>
      <x:c r="U163" t="n">
        <x:v>2</x:v>
      </x:c>
      <x:c r="V163" t="n">
        <x:v>0.15</x:v>
      </x:c>
      <x:c r="W163" t="n">
        <x:v>13</x:v>
      </x:c>
      <x:c r="X163" t="n">
        <x:v>207</x:v>
      </x:c>
      <x:c r="Y163" t="n">
        <x:v>70</x:v>
      </x:c>
      <x:c r="Z163" t="n">
        <x:v>30</x:v>
      </x:c>
      <x:c r="AA163" t="n">
        <x:v>21</x:v>
      </x:c>
      <x:c r="AB163" t="n">
        <x:v>22</x:v>
      </x:c>
      <x:c r="AC163" t="n">
        <x:v>0.7</x:v>
      </x:c>
      <x:c r="AD163" t="n">
        <x:v>65.1</x:v>
      </x:c>
      <x:c r="AE163" t="n">
        <x:v>0.06</x:v>
      </x:c>
      <x:c r="AF163" t="n">
        <x:v>12</x:v>
      </x:c>
      <x:c r="AG163" t="n">
        <x:v>12</x:v>
      </x:c>
      <x:c r="AH163" t="n">
        <x:v>24</x:v>
      </x:c>
      <x:c r="AI163" t="n">
        <x:v>15</x:v>
      </x:c>
      <x:c r="AJ163" t="n">
        <x:v>1</x:v>
      </x:c>
      <x:c r="AK163" t="n">
        <x:v>250</x:v>
      </x:c>
      <x:c r="AL163" t="str">
        <x:v>Direkte elektrisk; Varmepumpe;</x:v>
      </x:c>
      <x:c r="AM163"/>
      <x:c r="AN163"/>
      <x:c r="AO163"/>
      <x:c r="AP163"/>
      <x:c r="AQ163"/>
      <x:c r="AR163"/>
      <x:c r="AS163"/>
      <x:c r="AT163"/>
      <x:c r="AU163" t="str">
        <x:v>energiattester_export_2025-08-14.json | PDF vedlegg side 5-7</x:v>
      </x:c>
      <x:c r="AV163" s="12" t="n">
        <x:f>IF(COUNT(O163,P163,Q163,R163,K163,L163,M163,N163)=8,O163*K163+P163*L163+Q163*M163+R163*N163,"")</x:f>
        <x:v>633.3599999999999</x:v>
      </x:c>
      <x:c r="AW163" s="12" t="n">
        <x:f>IF(AND(ISNUMBER(AV163),H163&gt;0),AV163/H163,"")</x:f>
        <x:v>0.3508919667590027</x:v>
      </x:c>
      <x:c r="AX163" s="12" t="n">
        <x:f>IF(AND(ISNUMBER(AD163),H163&gt;0),AD163*H163*3600,"")</x:f>
        <x:v>423019799.99999994</x:v>
      </x:c>
      <x:c r="AY163" s="12" t="n">
        <x:f>IF(AND(ISNUMBER(Y163),H163&gt;0),Y163*H163,"")</x:f>
        <x:v>126350</x:v>
      </x:c>
      <x:c r="AZ163" t="str">
        <x:v>Høy</x:v>
      </x:c>
    </x:row>
    <x:row r="164" ht="22" customHeight="1">
      <x:c r="A164" t="str">
        <x:v>OT-7ebc06408b5c</x:v>
      </x:c>
      <x:c r="B164" t="n">
        <x:v>2015</x:v>
      </x:c>
      <x:c r="C164" t="str">
        <x:v>Forretningsbygg</x:v>
      </x:c>
      <x:c r="D164" t="str">
        <x:v>BUTIKK</x:v>
      </x:c>
      <x:c r="E164" t="str">
        <x:v>G</x:v>
      </x:c>
      <x:c r="F164" t="str">
        <x:v>RED</x:v>
      </x:c>
      <x:c r="G164" t="n">
        <x:v>1971</x:v>
      </x:c>
      <x:c r="H164" t="n">
        <x:v>896</x:v>
      </x:c>
      <x:c r="I164" t="n">
        <x:v>1</x:v>
      </x:c>
      <x:c r="J164" t="str">
        <x:v>PDF/avansert</x:v>
      </x:c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 t="n">
        <x:v>0</x:v>
      </x:c>
      <x:c r="AN164" t="n">
        <x:v>0</x:v>
      </x:c>
      <x:c r="AO164" t="n">
        <x:v>1</x:v>
      </x:c>
      <x:c r="AP164" t="n">
        <x:v>1</x:v>
      </x:c>
      <x:c r="AQ164" t="n">
        <x:v>1</x:v>
      </x:c>
      <x:c r="AR164" t="n">
        <x:v>1</x:v>
      </x:c>
      <x:c r="AS164" t="n">
        <x:v>1</x:v>
      </x:c>
      <x:c r="AT164" t="n">
        <x:v>1</x:v>
      </x:c>
      <x:c r="AU164" t="str">
        <x:v>energiattester_export_2025-08-14.json | PDF vedlegg side 5-7</x:v>
      </x:c>
      <x:c r="AV164" s="12" t="str">
        <x:f>IF(COUNT(O164,P164,Q164,R164,K164,L164,M164,N164)=8,O164*K164+P164*L164+Q164*M164+R164*N164,"")</x:f>
      </x:c>
      <x:c r="AW164" s="12" t="str">
        <x:f>IF(AND(ISNUMBER(AV164),H164&gt;0),AV164/H164,"")</x:f>
      </x:c>
      <x:c r="AX164" s="12" t="str">
        <x:f>IF(AND(ISNUMBER(AD164),H164&gt;0),AD164*H164*3600,"")</x:f>
      </x:c>
      <x:c r="AY164" s="12" t="str">
        <x:f>IF(AND(ISNUMBER(Y164),H164&gt;0),Y164*H164,"")</x:f>
      </x:c>
      <x:c r="AZ164" t="str">
        <x:v>Mangler data</x:v>
      </x:c>
    </x:row>
    <x:row r="165" ht="22" customHeight="1">
      <x:c r="A165" t="str">
        <x:v>OT-587782aa3a41</x:v>
      </x:c>
      <x:c r="B165" t="n">
        <x:v>2015</x:v>
      </x:c>
      <x:c r="C165" t="str">
        <x:v>Kontorbygg</x:v>
      </x:c>
      <x:c r="D165" t="str">
        <x:v>Kontorer, enkle</x:v>
      </x:c>
      <x:c r="E165" t="str">
        <x:v>G</x:v>
      </x:c>
      <x:c r="F165" t="str">
        <x:v>ORANGE</x:v>
      </x:c>
      <x:c r="G165" t="n">
        <x:v>1985</x:v>
      </x:c>
      <x:c r="H165" t="n">
        <x:v>108</x:v>
      </x:c>
      <x:c r="I165" t="n">
        <x:v>326.23</x:v>
      </x:c>
      <x:c r="J165" t="str">
        <x:v>PDF/avansert</x:v>
      </x:c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1</x:v>
      </x:c>
      <x:c r="AS165" t="n">
        <x:v>1</x:v>
      </x:c>
      <x:c r="AT165" t="n">
        <x:v>1</x:v>
      </x:c>
      <x:c r="AU165" t="str">
        <x:v>energiattester_export_2025-08-14.json | PDF vedlegg side 5-7</x:v>
      </x:c>
      <x:c r="AV165" s="12" t="str">
        <x:f>IF(COUNT(O165,P165,Q165,R165,K165,L165,M165,N165)=8,O165*K165+P165*L165+Q165*M165+R165*N165,"")</x:f>
      </x:c>
      <x:c r="AW165" s="12" t="str">
        <x:f>IF(AND(ISNUMBER(AV165),H165&gt;0),AV165/H165,"")</x:f>
      </x:c>
      <x:c r="AX165" s="12" t="str">
        <x:f>IF(AND(ISNUMBER(AD165),H165&gt;0),AD165*H165*3600,"")</x:f>
      </x:c>
      <x:c r="AY165" s="12" t="str">
        <x:f>IF(AND(ISNUMBER(Y165),H165&gt;0),Y165*H165,"")</x:f>
      </x:c>
      <x:c r="AZ165" t="str">
        <x:v>Mangler data</x:v>
      </x:c>
    </x:row>
    <x:row r="166" ht="22" customHeight="1">
      <x:c r="A166" t="str">
        <x:v>OT-4c8df61a1932</x:v>
      </x:c>
      <x:c r="B166" t="n">
        <x:v>2015</x:v>
      </x:c>
      <x:c r="C166" t="str">
        <x:v>Kontorbygg</x:v>
      </x:c>
      <x:c r="D166" t="str">
        <x:v>KONTORER, ENKLE</x:v>
      </x:c>
      <x:c r="E166" t="str">
        <x:v>D</x:v>
      </x:c>
      <x:c r="F166" t="str">
        <x:v>GREEN</x:v>
      </x:c>
      <x:c r="G166" t="n">
        <x:v>1974</x:v>
      </x:c>
      <x:c r="H166" t="n">
        <x:v>2358</x:v>
      </x:c>
      <x:c r="I166" t="n">
        <x:v>179.6</x:v>
      </x:c>
      <x:c r="J166" t="str">
        <x:v>PDF/avansert</x:v>
      </x:c>
      <x:c r="K166" t="n">
        <x:v>951</x:v>
      </x:c>
      <x:c r="L166" t="n">
        <x:v>945</x:v>
      </x:c>
      <x:c r="M166" t="n">
        <x:v>389</x:v>
      </x:c>
      <x:c r="N166" t="n">
        <x:v>495</x:v>
      </x:c>
      <x:c r="O166" t="n">
        <x:v>0.35</x:v>
      </x:c>
      <x:c r="P166" t="n">
        <x:v>0.14</x:v>
      </x:c>
      <x:c r="Q166" t="n">
        <x:v>0.21</x:v>
      </x:c>
      <x:c r="R166" t="n">
        <x:v>2.15</x:v>
      </x:c>
      <x:c r="S166" t="n">
        <x:v>75</x:v>
      </x:c>
      <x:c r="T166" t="n">
        <x:v>75</x:v>
      </x:c>
      <x:c r="U166" t="n">
        <x:v>2</x:v>
      </x:c>
      <x:c r="V166" t="n">
        <x:v>0.43</x:v>
      </x:c>
      <x:c r="W166" t="n">
        <x:v>7</x:v>
      </x:c>
      <x:c r="X166" t="n">
        <x:v>84</x:v>
      </x:c>
      <x:c r="Y166" t="n">
        <x:v>110</x:v>
      </x:c>
      <x:c r="Z166" t="n">
        <x:v>0</x:v>
      </x:c>
      <x:c r="AA166" t="n">
        <x:v>21</x:v>
      </x:c>
      <x:c r="AB166" t="n">
        <x:v>22</x:v>
      </x:c>
      <x:c r="AC166" t="n">
        <x:v>2.23</x:v>
      </x:c>
      <x:c r="AD166" t="n">
        <x:v>15.2</x:v>
      </x:c>
      <x:c r="AE166" t="n">
        <x:v>0.12</x:v>
      </x:c>
      <x:c r="AF166" t="n">
        <x:v>12</x:v>
      </x:c>
      <x:c r="AG166" t="n">
        <x:v>12</x:v>
      </x:c>
      <x:c r="AH166" t="n">
        <x:v>24</x:v>
      </x:c>
      <x:c r="AI166" t="n">
        <x:v>8</x:v>
      </x:c>
      <x:c r="AJ166" t="n">
        <x:v>11</x:v>
      </x:c>
      <x:c r="AK166" t="n">
        <x:v>250</x:v>
      </x:c>
      <x:c r="AL166" t="str">
        <x:v>Direkte elektrisk; Fjernvarme;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1</x:v>
      </x:c>
      <x:c r="AS166" t="n">
        <x:v>1</x:v>
      </x:c>
      <x:c r="AT166" t="n">
        <x:v>0</x:v>
      </x:c>
      <x:c r="AU166" t="str">
        <x:v>energiattester_export_2025-08-14.json | PDF vedlegg side 5-7</x:v>
      </x:c>
      <x:c r="AV166" s="12" t="n">
        <x:f>IF(COUNT(O166,P166,Q166,R166,K166,L166,M166,N166)=8,O166*K166+P166*L166+Q166*M166+R166*N166,"")</x:f>
        <x:v>1611.09</x:v>
      </x:c>
      <x:c r="AW166" s="12" t="n">
        <x:f>IF(AND(ISNUMBER(AV166),H166&gt;0),AV166/H166,"")</x:f>
        <x:v>0.6832442748091603</x:v>
      </x:c>
      <x:c r="AX166" s="12" t="n">
        <x:f>IF(AND(ISNUMBER(AD166),H166&gt;0),AD166*H166*3600,"")</x:f>
        <x:v>129029760</x:v>
      </x:c>
      <x:c r="AY166" s="12" t="n">
        <x:f>IF(AND(ISNUMBER(Y166),H166&gt;0),Y166*H166,"")</x:f>
        <x:v>259380</x:v>
      </x:c>
      <x:c r="AZ166" t="str">
        <x:v>Høy</x:v>
      </x:c>
    </x:row>
    <x:row r="167" ht="22" customHeight="1">
      <x:c r="A167" t="str">
        <x:v>OT-5df6780f8275</x:v>
      </x:c>
      <x:c r="B167" t="n">
        <x:v>2015</x:v>
      </x:c>
      <x:c r="C167" t="str">
        <x:v>Forretningsbygg</x:v>
      </x:c>
      <x:c r="D167" t="str">
        <x:v>BUTIKK</x:v>
      </x:c>
      <x:c r="E167" t="str">
        <x:v>C</x:v>
      </x:c>
      <x:c r="F167" t="str">
        <x:v>GREEN</x:v>
      </x:c>
      <x:c r="G167" t="n">
        <x:v>1974</x:v>
      </x:c>
      <x:c r="H167" t="n">
        <x:v>662</x:v>
      </x:c>
      <x:c r="I167" t="n">
        <x:v>198.3</x:v>
      </x:c>
      <x:c r="J167" t="str">
        <x:v>PDF/avansert</x:v>
      </x:c>
      <x:c r="K167" t="n">
        <x:v>162</x:v>
      </x:c>
      <x:c r="L167" t="n">
        <x:v>23</x:v>
      </x:c>
      <x:c r="M167" t="n">
        <x:v>662</x:v>
      </x:c>
      <x:c r="N167" t="n">
        <x:v>154</x:v>
      </x:c>
      <x:c r="O167" t="n">
        <x:v>0.25</x:v>
      </x:c>
      <x:c r="P167" t="n">
        <x:v>0.23</x:v>
      </x:c>
      <x:c r="Q167" t="n">
        <x:v>0.04</x:v>
      </x:c>
      <x:c r="R167" t="n">
        <x:v>2.22</x:v>
      </x:c>
      <x:c r="S167" t="n">
        <x:v>75</x:v>
      </x:c>
      <x:c r="T167" t="n">
        <x:v>75</x:v>
      </x:c>
      <x:c r="U167" t="n">
        <x:v>2</x:v>
      </x:c>
      <x:c r="V167" t="n">
        <x:v>0.23</x:v>
      </x:c>
      <x:c r="W167" t="n">
        <x:v>13</x:v>
      </x:c>
      <x:c r="X167" t="n">
        <x:v>79</x:v>
      </x:c>
      <x:c r="Y167" t="n">
        <x:v>80</x:v>
      </x:c>
      <x:c r="Z167" t="n">
        <x:v>0</x:v>
      </x:c>
      <x:c r="AA167" t="n">
        <x:v>21</x:v>
      </x:c>
      <x:c r="AB167" t="n">
        <x:v>22</x:v>
      </x:c>
      <x:c r="AC167" t="n">
        <x:v>3</x:v>
      </x:c>
      <x:c r="AD167" t="n">
        <x:v>32.7</x:v>
      </x:c>
      <x:c r="AE167" t="n">
        <x:v>0.12</x:v>
      </x:c>
      <x:c r="AF167" t="n">
        <x:v>12</x:v>
      </x:c>
      <x:c r="AG167" t="n">
        <x:v>12</x:v>
      </x:c>
      <x:c r="AH167" t="n">
        <x:v>24</x:v>
      </x:c>
      <x:c r="AI167" t="n">
        <x:v>15</x:v>
      </x:c>
      <x:c r="AJ167" t="n">
        <x:v>1</x:v>
      </x:c>
      <x:c r="AK167" t="n">
        <x:v>250</x:v>
      </x:c>
      <x:c r="AL167" t="str">
        <x:v>Fjernvarme;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1</x:v>
      </x:c>
      <x:c r="AS167" t="n">
        <x:v>1</x:v>
      </x:c>
      <x:c r="AT167" t="n">
        <x:v>0</x:v>
      </x:c>
      <x:c r="AU167" t="str">
        <x:v>energiattester_export_2025-08-14.json | PDF vedlegg side 5-7</x:v>
      </x:c>
      <x:c r="AV167" s="12" t="n">
        <x:f>IF(COUNT(O167,P167,Q167,R167,K167,L167,M167,N167)=8,O167*K167+P167*L167+Q167*M167+R167*N167,"")</x:f>
        <x:v>414.15000000000003</x:v>
      </x:c>
      <x:c r="AW167" s="12" t="n">
        <x:f>IF(AND(ISNUMBER(AV167),H167&gt;0),AV167/H167,"")</x:f>
        <x:v>0.6256042296072508</x:v>
      </x:c>
      <x:c r="AX167" s="12" t="n">
        <x:f>IF(AND(ISNUMBER(AD167),H167&gt;0),AD167*H167*3600,"")</x:f>
        <x:v>77930640</x:v>
      </x:c>
      <x:c r="AY167" s="12" t="n">
        <x:f>IF(AND(ISNUMBER(Y167),H167&gt;0),Y167*H167,"")</x:f>
        <x:v>52960</x:v>
      </x:c>
      <x:c r="AZ167" t="str">
        <x:v>Høy</x:v>
      </x:c>
    </x:row>
    <x:row r="168" ht="22" customHeight="1">
      <x:c r="A168" t="str">
        <x:v>OT-15a9c4ab2d13</x:v>
      </x:c>
      <x:c r="B168" t="n">
        <x:v>2015</x:v>
      </x:c>
      <x:c r="C168" t="str">
        <x:v>Forretningsbygg</x:v>
      </x:c>
      <x:c r="D168" t="str">
        <x:v>BUTIKK</x:v>
      </x:c>
      <x:c r="E168" t="str">
        <x:v>D</x:v>
      </x:c>
      <x:c r="F168" t="str">
        <x:v>GREEN</x:v>
      </x:c>
      <x:c r="G168" t="n">
        <x:v>1996</x:v>
      </x:c>
      <x:c r="H168" t="n">
        <x:v>1609</x:v>
      </x:c>
      <x:c r="I168" t="n">
        <x:v>237.9</x:v>
      </x:c>
      <x:c r="J168" t="str">
        <x:v>PDF/avansert</x:v>
      </x:c>
      <x:c r="K168" t="n">
        <x:v>525</x:v>
      </x:c>
      <x:c r="L168" t="n">
        <x:v>1540</x:v>
      </x:c>
      <x:c r="M168" t="n">
        <x:v>1540</x:v>
      </x:c>
      <x:c r="N168" t="n">
        <x:v>87</x:v>
      </x:c>
      <x:c r="O168" t="n">
        <x:v>0.25</x:v>
      </x:c>
      <x:c r="P168" t="n">
        <x:v>0.17</x:v>
      </x:c>
      <x:c r="Q168" t="n">
        <x:v>0.09</x:v>
      </x:c>
      <x:c r="R168" t="n">
        <x:v>2.3</x:v>
      </x:c>
      <x:c r="S168" t="n">
        <x:v>65</x:v>
      </x:c>
      <x:c r="T168" t="n">
        <x:v>65</x:v>
      </x:c>
      <x:c r="U168" t="n">
        <x:v>3.5</x:v>
      </x:c>
      <x:c r="V168" t="n">
        <x:v>0.23</x:v>
      </x:c>
      <x:c r="W168" t="n">
        <x:v>13</x:v>
      </x:c>
      <x:c r="X168" t="n">
        <x:v>85</x:v>
      </x:c>
      <x:c r="Y168" t="n">
        <x:v>80</x:v>
      </x:c>
      <x:c r="Z168" t="n">
        <x:v>0</x:v>
      </x:c>
      <x:c r="AA168" t="n">
        <x:v>21</x:v>
      </x:c>
      <x:c r="AB168" t="n">
        <x:v>22</x:v>
      </x:c>
      <x:c r="AC168" t="n">
        <x:v>2.5</x:v>
      </x:c>
      <x:c r="AD168" t="n">
        <x:v>82.9</x:v>
      </x:c>
      <x:c r="AE168" t="n">
        <x:v>0.12</x:v>
      </x:c>
      <x:c r="AF168" t="n">
        <x:v>12</x:v>
      </x:c>
      <x:c r="AG168" t="n">
        <x:v>12</x:v>
      </x:c>
      <x:c r="AH168" t="n">
        <x:v>24</x:v>
      </x:c>
      <x:c r="AI168" t="n">
        <x:v>15</x:v>
      </x:c>
      <x:c r="AJ168" t="n">
        <x:v>1</x:v>
      </x:c>
      <x:c r="AK168" t="n">
        <x:v>250</x:v>
      </x:c>
      <x:c r="AL168" t="str">
        <x:v>Direkte elektrisk; Fjernvarme;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1</x:v>
      </x:c>
      <x:c r="AT168" t="n">
        <x:v>0</x:v>
      </x:c>
      <x:c r="AU168" t="str">
        <x:v>energiattester_export_2025-08-14.json | PDF vedlegg side 5-7</x:v>
      </x:c>
      <x:c r="AV168" s="12" t="n">
        <x:f>IF(COUNT(O168,P168,Q168,R168,K168,L168,M168,N168)=8,O168*K168+P168*L168+Q168*M168+R168*N168,"")</x:f>
        <x:v>731.75</x:v>
      </x:c>
      <x:c r="AW168" s="12" t="n">
        <x:f>IF(AND(ISNUMBER(AV168),H168&gt;0),AV168/H168,"")</x:f>
        <x:v>0.4547855811062772</x:v>
      </x:c>
      <x:c r="AX168" s="12" t="n">
        <x:f>IF(AND(ISNUMBER(AD168),H168&gt;0),AD168*H168*3600,"")</x:f>
        <x:v>480189960</x:v>
      </x:c>
      <x:c r="AY168" s="12" t="n">
        <x:f>IF(AND(ISNUMBER(Y168),H168&gt;0),Y168*H168,"")</x:f>
        <x:v>128720</x:v>
      </x:c>
      <x:c r="AZ168" t="str">
        <x:v>Høy</x:v>
      </x:c>
    </x:row>
    <x:row r="169" ht="22" customHeight="1">
      <x:c r="A169" t="str">
        <x:v>OT-d14110b0de73</x:v>
      </x:c>
      <x:c r="B169" t="n">
        <x:v>2015</x:v>
      </x:c>
      <x:c r="C169" t="str">
        <x:v>Kontorbygg</x:v>
      </x:c>
      <x:c r="D169" t="str">
        <x:v>Kontorer, enkle</x:v>
      </x:c>
      <x:c r="E169" t="str">
        <x:v>G</x:v>
      </x:c>
      <x:c r="F169" t="str">
        <x:v>RED</x:v>
      </x:c>
      <x:c r="G169" t="n">
        <x:v>1959</x:v>
      </x:c>
      <x:c r="H169" t="n">
        <x:v>1098</x:v>
      </x:c>
      <x:c r="I169" t="n">
        <x:v>285.88</x:v>
      </x:c>
      <x:c r="J169" t="str">
        <x:v>PDF/avansert</x:v>
      </x:c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 t="n">
        <x:v>0</x:v>
      </x:c>
      <x:c r="AN169" t="n">
        <x:v>0</x:v>
      </x:c>
      <x:c r="AO169" t="n">
        <x:v>1</x:v>
      </x:c>
      <x:c r="AP169" t="n">
        <x:v>1</x:v>
      </x:c>
      <x:c r="AQ169" t="n">
        <x:v>0</x:v>
      </x:c>
      <x:c r="AR169" t="n">
        <x:v>1</x:v>
      </x:c>
      <x:c r="AS169" t="n">
        <x:v>1</x:v>
      </x:c>
      <x:c r="AT169" t="n">
        <x:v>1</x:v>
      </x:c>
      <x:c r="AU169" t="str">
        <x:v>energiattester_export_2025-08-14.json | PDF vedlegg side 5-7</x:v>
      </x:c>
      <x:c r="AV169" s="12" t="str">
        <x:f>IF(COUNT(O169,P169,Q169,R169,K169,L169,M169,N169)=8,O169*K169+P169*L169+Q169*M169+R169*N169,"")</x:f>
      </x:c>
      <x:c r="AW169" s="12" t="str">
        <x:f>IF(AND(ISNUMBER(AV169),H169&gt;0),AV169/H169,"")</x:f>
      </x:c>
      <x:c r="AX169" s="12" t="str">
        <x:f>IF(AND(ISNUMBER(AD169),H169&gt;0),AD169*H169*3600,"")</x:f>
      </x:c>
      <x:c r="AY169" s="12" t="str">
        <x:f>IF(AND(ISNUMBER(Y169),H169&gt;0),Y169*H169,"")</x:f>
      </x:c>
      <x:c r="AZ169" t="str">
        <x:v>Mangler data</x:v>
      </x:c>
    </x:row>
    <x:row r="170" ht="22" customHeight="1">
      <x:c r="A170" t="str">
        <x:v>OT-606ab89f878a</x:v>
      </x:c>
      <x:c r="B170" t="n">
        <x:v>2015</x:v>
      </x:c>
      <x:c r="C170" t="str">
        <x:v>Kontorbygg</x:v>
      </x:c>
      <x:c r="D170" t="str">
        <x:v>ANNET KONTORBYGG</x:v>
      </x:c>
      <x:c r="E170" t="str">
        <x:v>F</x:v>
      </x:c>
      <x:c r="F170" t="str">
        <x:v>RED</x:v>
      </x:c>
      <x:c r="G170" t="n">
        <x:v>1977</x:v>
      </x:c>
      <x:c r="H170" t="n">
        <x:v>1170</x:v>
      </x:c>
      <x:c r="I170" t="n">
        <x:v>227.4</x:v>
      </x:c>
      <x:c r="J170" t="str">
        <x:v>PDF/avansert</x:v>
      </x:c>
      <x:c r="K170" t="n">
        <x:v>748</x:v>
      </x:c>
      <x:c r="L170" t="n">
        <x:v>295</x:v>
      </x:c>
      <x:c r="M170" t="n">
        <x:v>282</x:v>
      </x:c>
      <x:c r="N170" t="n">
        <x:v>185</x:v>
      </x:c>
      <x:c r="O170" t="n">
        <x:v>0.51</x:v>
      </x:c>
      <x:c r="P170" t="n">
        <x:v>0.75</x:v>
      </x:c>
      <x:c r="Q170" t="n">
        <x:v>0.15</x:v>
      </x:c>
      <x:c r="R170" t="n">
        <x:v>2.61</x:v>
      </x:c>
      <x:c r="S170" t="n">
        <x:v>81</x:v>
      </x:c>
      <x:c r="T170" t="n">
        <x:v>81</x:v>
      </x:c>
      <x:c r="U170" t="n">
        <x:v>1.66</x:v>
      </x:c>
      <x:c r="V170" t="n">
        <x:v>0.61</x:v>
      </x:c>
      <x:c r="W170" t="n">
        <x:v>5.4</x:v>
      </x:c>
      <x:c r="X170" t="n">
        <x:v>81</x:v>
      </x:c>
      <x:c r="Y170" t="n">
        <x:v>113</x:v>
      </x:c>
      <x:c r="Z170" t="n">
        <x:v>0</x:v>
      </x:c>
      <x:c r="AA170" t="n">
        <x:v>21</x:v>
      </x:c>
      <x:c r="AB170" t="n">
        <x:v>22</x:v>
      </x:c>
      <x:c r="AC170" t="n">
        <x:v>6</x:v>
      </x:c>
      <x:c r="AD170" t="n">
        <x:v>75.4</x:v>
      </x:c>
      <x:c r="AE170" t="n">
        <x:v>0.09</x:v>
      </x:c>
      <x:c r="AF170" t="n">
        <x:v>12</x:v>
      </x:c>
      <x:c r="AG170" t="n">
        <x:v>12</x:v>
      </x:c>
      <x:c r="AH170" t="n">
        <x:v>24</x:v>
      </x:c>
      <x:c r="AI170" t="n">
        <x:v>8</x:v>
      </x:c>
      <x:c r="AJ170" t="n">
        <x:v>11</x:v>
      </x:c>
      <x:c r="AK170" t="n">
        <x:v>250</x:v>
      </x:c>
      <x:c r="AL170" t="str">
        <x:v>Direkte elektrisk;</x:v>
      </x:c>
      <x:c r="AM170" t="n">
        <x:v>0</x:v>
      </x:c>
      <x:c r="AN170" t="n">
        <x:v>0</x:v>
      </x:c>
      <x:c r="AO170" t="n">
        <x:v>1</x:v>
      </x:c>
      <x:c r="AP170" t="n">
        <x:v>1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str">
        <x:v>energiattester_export_2025-08-14.json | PDF vedlegg side 5-7</x:v>
      </x:c>
      <x:c r="AV170" s="12" t="n">
        <x:f>IF(COUNT(O170,P170,Q170,R170,K170,L170,M170,N170)=8,O170*K170+P170*L170+Q170*M170+R170*N170,"")</x:f>
        <x:v>1127.8799999999999</x:v>
      </x:c>
      <x:c r="AW170" s="12" t="n">
        <x:f>IF(AND(ISNUMBER(AV170),H170&gt;0),AV170/H170,"")</x:f>
        <x:v>0.9639999999999999</x:v>
      </x:c>
      <x:c r="AX170" s="12" t="n">
        <x:f>IF(AND(ISNUMBER(AD170),H170&gt;0),AD170*H170*3600,"")</x:f>
        <x:v>317584800</x:v>
      </x:c>
      <x:c r="AY170" s="12" t="n">
        <x:f>IF(AND(ISNUMBER(Y170),H170&gt;0),Y170*H170,"")</x:f>
        <x:v>132210</x:v>
      </x:c>
      <x:c r="AZ170" t="str">
        <x:v>Høy</x:v>
      </x:c>
    </x:row>
    <x:row r="171" ht="22" customHeight="1">
      <x:c r="A171" t="str">
        <x:v>OT-4dd1ed40888e</x:v>
      </x:c>
      <x:c r="B171" t="n">
        <x:v>2015</x:v>
      </x:c>
      <x:c r="C171" t="str">
        <x:v>Kontorbygg</x:v>
      </x:c>
      <x:c r="D171" t="str">
        <x:v>KONTORER, MED VENTILASJON OG KJØLEANLEGG</x:v>
      </x:c>
      <x:c r="E171" t="str">
        <x:v>F</x:v>
      </x:c>
      <x:c r="F171" t="str">
        <x:v>GREEN</x:v>
      </x:c>
      <x:c r="G171" t="n">
        <x:v>1988</x:v>
      </x:c>
      <x:c r="H171" t="n">
        <x:v>6645</x:v>
      </x:c>
      <x:c r="I171" t="n">
        <x:v>230</x:v>
      </x:c>
      <x:c r="J171" t="str">
        <x:v>PDF/avansert</x:v>
      </x:c>
      <x:c r="K171" t="n">
        <x:v>2310</x:v>
      </x:c>
      <x:c r="L171" t="n">
        <x:v>2358</x:v>
      </x:c>
      <x:c r="M171" t="n">
        <x:v>2351</x:v>
      </x:c>
      <x:c r="N171" t="n">
        <x:v>548</x:v>
      </x:c>
      <x:c r="O171" t="n">
        <x:v>0.3</x:v>
      </x:c>
      <x:c r="P171" t="n">
        <x:v>0.2</x:v>
      </x:c>
      <x:c r="Q171" t="n">
        <x:v>0.29</x:v>
      </x:c>
      <x:c r="R171" t="n">
        <x:v>2.38</x:v>
      </x:c>
      <x:c r="S171" t="n">
        <x:v>55</x:v>
      </x:c>
      <x:c r="T171" t="n">
        <x:v>55</x:v>
      </x:c>
      <x:c r="U171" t="n">
        <x:v>4</x:v>
      </x:c>
      <x:c r="V171" t="n">
        <x:v>0.3</x:v>
      </x:c>
      <x:c r="W171" t="n">
        <x:v>10</x:v>
      </x:c>
      <x:c r="X171" t="n">
        <x:v>82</x:v>
      </x:c>
      <x:c r="Y171" t="n">
        <x:v>110</x:v>
      </x:c>
      <x:c r="Z171" t="n">
        <x:v>50</x:v>
      </x:c>
      <x:c r="AA171" t="n">
        <x:v>21</x:v>
      </x:c>
      <x:c r="AB171" t="n">
        <x:v>22</x:v>
      </x:c>
      <x:c r="AC171" t="n">
        <x:v>3.5</x:v>
      </x:c>
      <x:c r="AD171" t="n">
        <x:v>63.5</x:v>
      </x:c>
      <x:c r="AE171" t="n">
        <x:v>0.08</x:v>
      </x:c>
      <x:c r="AF171" t="n">
        <x:v>12</x:v>
      </x:c>
      <x:c r="AG171" t="n">
        <x:v>12</x:v>
      </x:c>
      <x:c r="AH171" t="n">
        <x:v>24</x:v>
      </x:c>
      <x:c r="AI171" t="n">
        <x:v>8</x:v>
      </x:c>
      <x:c r="AJ171" t="n">
        <x:v>11</x:v>
      </x:c>
      <x:c r="AK171" t="n">
        <x:v>250</x:v>
      </x:c>
      <x:c r="AL171" t="str">
        <x:v>Direkte elektrisk; Fjernvarme;</x:v>
      </x:c>
      <x:c r="AM171" t="n">
        <x:v>1</x:v>
      </x:c>
      <x:c r="AN171" t="n">
        <x:v>0</x:v>
      </x:c>
      <x:c r="AO171" t="n">
        <x:v>0</x:v>
      </x:c>
      <x:c r="AP171" t="n">
        <x:v>1</x:v>
      </x:c>
      <x:c r="AQ171" t="n">
        <x:v>0</x:v>
      </x:c>
      <x:c r="AR171" t="n">
        <x:v>1</x:v>
      </x:c>
      <x:c r="AS171" t="n">
        <x:v>0</x:v>
      </x:c>
      <x:c r="AT171" t="n">
        <x:v>1</x:v>
      </x:c>
      <x:c r="AU171" t="str">
        <x:v>energiattester_export_2025-08-14.json | PDF vedlegg side 5-7</x:v>
      </x:c>
      <x:c r="AV171" s="12" t="n">
        <x:f>IF(COUNT(O171,P171,Q171,R171,K171,L171,M171,N171)=8,O171*K171+P171*L171+Q171*M171+R171*N171,"")</x:f>
        <x:v>3150.63</x:v>
      </x:c>
      <x:c r="AW171" s="12" t="n">
        <x:f>IF(AND(ISNUMBER(AV171),H171&gt;0),AV171/H171,"")</x:f>
        <x:v>0.4741354401805869</x:v>
      </x:c>
      <x:c r="AX171" s="12" t="n">
        <x:f>IF(AND(ISNUMBER(AD171),H171&gt;0),AD171*H171*3600,"")</x:f>
        <x:v>1519047000</x:v>
      </x:c>
      <x:c r="AY171" s="12" t="n">
        <x:f>IF(AND(ISNUMBER(Y171),H171&gt;0),Y171*H171,"")</x:f>
        <x:v>730950</x:v>
      </x:c>
      <x:c r="AZ171" t="str">
        <x:v>Høy</x:v>
      </x:c>
    </x:row>
    <x:row r="172" ht="22" customHeight="1">
      <x:c r="A172" t="str">
        <x:v>OT-41214dd7bbb5</x:v>
      </x:c>
      <x:c r="B172" t="n">
        <x:v>2015</x:v>
      </x:c>
      <x:c r="C172" t="str">
        <x:v>Kontorbygg</x:v>
      </x:c>
      <x:c r="D172" t="str">
        <x:v>KONTORER, ENKLE</x:v>
      </x:c>
      <x:c r="E172" t="str">
        <x:v>D</x:v>
      </x:c>
      <x:c r="F172" t="str">
        <x:v>GREEN</x:v>
      </x:c>
      <x:c r="G172" t="n">
        <x:v>1954</x:v>
      </x:c>
      <x:c r="H172" t="n">
        <x:v>3091</x:v>
      </x:c>
      <x:c r="I172" t="n">
        <x:v>178.4</x:v>
      </x:c>
      <x:c r="J172" t="str">
        <x:v>PDF/avansert</x:v>
      </x:c>
      <x:c r="K172" t="n">
        <x:v>1335</x:v>
      </x:c>
      <x:c r="L172" t="n">
        <x:v>433</x:v>
      </x:c>
      <x:c r="M172" t="n">
        <x:v>433</x:v>
      </x:c>
      <x:c r="N172" t="n">
        <x:v>651</x:v>
      </x:c>
      <x:c r="O172" t="n">
        <x:v>0.55</x:v>
      </x:c>
      <x:c r="P172" t="n">
        <x:v>0.26</x:v>
      </x:c>
      <x:c r="Q172" t="n">
        <x:v>0.3</x:v>
      </x:c>
      <x:c r="R172" t="n">
        <x:v>0.91</x:v>
      </x:c>
      <x:c r="S172" t="n">
        <x:v>70</x:v>
      </x:c>
      <x:c r="T172" t="n">
        <x:v>70</x:v>
      </x:c>
      <x:c r="U172" t="n">
        <x:v>2</x:v>
      </x:c>
      <x:c r="V172" t="n">
        <x:v>0.44</x:v>
      </x:c>
      <x:c r="W172" t="n">
        <x:v>7.01</x:v>
      </x:c>
      <x:c r="X172" t="n">
        <x:v>84</x:v>
      </x:c>
      <x:c r="Y172" t="n">
        <x:v>60</x:v>
      </x:c>
      <x:c r="Z172" t="n">
        <x:v>70</x:v>
      </x:c>
      <x:c r="AA172" t="n">
        <x:v>21</x:v>
      </x:c>
      <x:c r="AB172" t="n">
        <x:v>22</x:v>
      </x:c>
      <x:c r="AC172" t="n">
        <x:v>2.5</x:v>
      </x:c>
      <x:c r="AD172" t="n">
        <x:v>202.9</x:v>
      </x:c>
      <x:c r="AE172" t="n">
        <x:v>0.12</x:v>
      </x:c>
      <x:c r="AF172" t="n">
        <x:v>12</x:v>
      </x:c>
      <x:c r="AG172" t="n">
        <x:v>12</x:v>
      </x:c>
      <x:c r="AH172" t="n">
        <x:v>24</x:v>
      </x:c>
      <x:c r="AI172" t="n">
        <x:v>8</x:v>
      </x:c>
      <x:c r="AJ172" t="n">
        <x:v>11</x:v>
      </x:c>
      <x:c r="AK172" t="n">
        <x:v>250</x:v>
      </x:c>
      <x:c r="AL172" t="str">
        <x:v>Fjernvarme;</x:v>
      </x:c>
      <x:c r="AM172"/>
      <x:c r="AN172"/>
      <x:c r="AO172"/>
      <x:c r="AP172"/>
      <x:c r="AQ172"/>
      <x:c r="AR172"/>
      <x:c r="AS172"/>
      <x:c r="AT172"/>
      <x:c r="AU172" t="str">
        <x:v>energiattester_export_2025-08-14.json | PDF vedlegg side 5-7</x:v>
      </x:c>
      <x:c r="AV172" s="12" t="n">
        <x:f>IF(COUNT(O172,P172,Q172,R172,K172,L172,M172,N172)=8,O172*K172+P172*L172+Q172*M172+R172*N172,"")</x:f>
        <x:v>1569.14</x:v>
      </x:c>
      <x:c r="AW172" s="12" t="n">
        <x:f>IF(AND(ISNUMBER(AV172),H172&gt;0),AV172/H172,"")</x:f>
        <x:v>0.5076480103526367</x:v>
      </x:c>
      <x:c r="AX172" s="12" t="n">
        <x:f>IF(AND(ISNUMBER(AD172),H172&gt;0),AD172*H172*3600,"")</x:f>
        <x:v>2257790040</x:v>
      </x:c>
      <x:c r="AY172" s="12" t="n">
        <x:f>IF(AND(ISNUMBER(Y172),H172&gt;0),Y172*H172,"")</x:f>
        <x:v>185460</x:v>
      </x:c>
      <x:c r="AZ172" t="str">
        <x:v>Høy</x:v>
      </x:c>
    </x:row>
    <x:row r="173" ht="22" customHeight="1">
      <x:c r="A173" t="str">
        <x:v>OT-a5365a281e23</x:v>
      </x:c>
      <x:c r="B173" t="n">
        <x:v>2015</x:v>
      </x:c>
      <x:c r="C173" t="str">
        <x:v>Kontorbygg</x:v>
      </x:c>
      <x:c r="D173" t="str">
        <x:v>KONTORER, ENKLE</x:v>
      </x:c>
      <x:c r="E173" t="str">
        <x:v>E</x:v>
      </x:c>
      <x:c r="F173" t="str">
        <x:v>RED</x:v>
      </x:c>
      <x:c r="G173" t="n">
        <x:v>1975</x:v>
      </x:c>
      <x:c r="H173" t="n">
        <x:v>2403</x:v>
      </x:c>
      <x:c r="I173" t="n">
        <x:v>195.1</x:v>
      </x:c>
      <x:c r="J173" t="str">
        <x:v>PDF/avansert</x:v>
      </x:c>
      <x:c r="K173" t="n">
        <x:v>1007</x:v>
      </x:c>
      <x:c r="L173" t="n">
        <x:v>793</x:v>
      </x:c>
      <x:c r="M173" t="n">
        <x:v>794</x:v>
      </x:c>
      <x:c r="N173" t="n">
        <x:v>196</x:v>
      </x:c>
      <x:c r="O173" t="n">
        <x:v>0.46</x:v>
      </x:c>
      <x:c r="P173" t="n">
        <x:v>0.41</x:v>
      </x:c>
      <x:c r="Q173" t="n">
        <x:v>0.17</x:v>
      </x:c>
      <x:c r="R173" t="n">
        <x:v>2.4</x:v>
      </x:c>
      <x:c r="S173" t="n">
        <x:v>70</x:v>
      </x:c>
      <x:c r="T173" t="n">
        <x:v>70</x:v>
      </x:c>
      <x:c r="U173" t="n">
        <x:v>2</x:v>
      </x:c>
      <x:c r="V173" t="n">
        <x:v>0.45</x:v>
      </x:c>
      <x:c r="W173" t="n">
        <x:v>10</x:v>
      </x:c>
      <x:c r="X173" t="n">
        <x:v>101</x:v>
      </x:c>
      <x:c r="Y173" t="n">
        <x:v>80</x:v>
      </x:c>
      <x:c r="Z173" t="n">
        <x:v>15</x:v>
      </x:c>
      <x:c r="AA173" t="n">
        <x:v>21</x:v>
      </x:c>
      <x:c r="AB173" t="n">
        <x:v>22</x:v>
      </x:c>
      <x:c r="AC173" t="n">
        <x:v>3</x:v>
      </x:c>
      <x:c r="AD173" t="n">
        <x:v>64.1</x:v>
      </x:c>
      <x:c r="AE173" t="n">
        <x:v>0.08</x:v>
      </x:c>
      <x:c r="AF173" t="n">
        <x:v>12</x:v>
      </x:c>
      <x:c r="AG173" t="n">
        <x:v>12</x:v>
      </x:c>
      <x:c r="AH173" t="n">
        <x:v>24</x:v>
      </x:c>
      <x:c r="AI173" t="n">
        <x:v>8</x:v>
      </x:c>
      <x:c r="AJ173" t="n">
        <x:v>11</x:v>
      </x:c>
      <x:c r="AK173" t="n">
        <x:v>250</x:v>
      </x:c>
      <x:c r="AL173" t="str">
        <x:v>Direkte elektrisk; Varmepumpe;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1</x:v>
      </x:c>
      <x:c r="AU173" t="str">
        <x:v>energiattester_export_2025-08-14.json | PDF vedlegg side 5-7</x:v>
      </x:c>
      <x:c r="AV173" s="12" t="n">
        <x:f>IF(COUNT(O173,P173,Q173,R173,K173,L173,M173,N173)=8,O173*K173+P173*L173+Q173*M173+R173*N173,"")</x:f>
        <x:v>1393.73</x:v>
      </x:c>
      <x:c r="AW173" s="12" t="n">
        <x:f>IF(AND(ISNUMBER(AV173),H173&gt;0),AV173/H173,"")</x:f>
        <x:v>0.5799958385351643</x:v>
      </x:c>
      <x:c r="AX173" s="12" t="n">
        <x:f>IF(AND(ISNUMBER(AD173),H173&gt;0),AD173*H173*3600,"")</x:f>
        <x:v>554516280</x:v>
      </x:c>
      <x:c r="AY173" s="12" t="n">
        <x:f>IF(AND(ISNUMBER(Y173),H173&gt;0),Y173*H173,"")</x:f>
        <x:v>192240</x:v>
      </x:c>
      <x:c r="AZ173" t="str">
        <x:v>Høy</x:v>
      </x:c>
    </x:row>
    <x:row r="174" ht="22" customHeight="1">
      <x:c r="A174" t="str">
        <x:v>OT-5b3f54394486</x:v>
      </x:c>
      <x:c r="B174" t="n">
        <x:v>2015</x:v>
      </x:c>
      <x:c r="C174" t="str">
        <x:v>Kontorbygg</x:v>
      </x:c>
      <x:c r="D174" t="str">
        <x:v>KONTORER, ENKLE</x:v>
      </x:c>
      <x:c r="E174" t="str">
        <x:v>E</x:v>
      </x:c>
      <x:c r="F174" t="str">
        <x:v>ORANGE</x:v>
      </x:c>
      <x:c r="G174" t="n">
        <x:v>1987</x:v>
      </x:c>
      <x:c r="H174" t="n">
        <x:v>3585</x:v>
      </x:c>
      <x:c r="I174" t="n">
        <x:v>198.9</x:v>
      </x:c>
      <x:c r="J174" t="str">
        <x:v>PDF/avansert</x:v>
      </x:c>
      <x:c r="K174" t="n">
        <x:v>1865</x:v>
      </x:c>
      <x:c r="L174" t="n">
        <x:v>932</x:v>
      </x:c>
      <x:c r="M174" t="n">
        <x:v>936</x:v>
      </x:c>
      <x:c r="N174" t="n">
        <x:v>499</x:v>
      </x:c>
      <x:c r="O174" t="n">
        <x:v>0.3</x:v>
      </x:c>
      <x:c r="P174" t="n">
        <x:v>0.2</x:v>
      </x:c>
      <x:c r="Q174" t="n">
        <x:v>0.21</x:v>
      </x:c>
      <x:c r="R174" t="n">
        <x:v>2.4</x:v>
      </x:c>
      <x:c r="S174" t="n">
        <x:v>68</x:v>
      </x:c>
      <x:c r="T174" t="n">
        <x:v>68</x:v>
      </x:c>
      <x:c r="U174" t="n">
        <x:v>3.6</x:v>
      </x:c>
      <x:c r="V174" t="n">
        <x:v>0.12</x:v>
      </x:c>
      <x:c r="W174" t="n">
        <x:v>8.6</x:v>
      </x:c>
      <x:c r="X174" t="n">
        <x:v>98</x:v>
      </x:c>
      <x:c r="Y174" t="n">
        <x:v>270</x:v>
      </x:c>
      <x:c r="Z174" t="n">
        <x:v>30</x:v>
      </x:c>
      <x:c r="AA174" t="n">
        <x:v>21</x:v>
      </x:c>
      <x:c r="AB174" t="n">
        <x:v>22</x:v>
      </x:c>
      <x:c r="AC174" t="n">
        <x:v>3</x:v>
      </x:c>
      <x:c r="AD174" t="n">
        <x:v>50.3</x:v>
      </x:c>
      <x:c r="AE174" t="n">
        <x:v>0.12</x:v>
      </x:c>
      <x:c r="AF174" t="n">
        <x:v>12</x:v>
      </x:c>
      <x:c r="AG174" t="n">
        <x:v>12</x:v>
      </x:c>
      <x:c r="AH174" t="n">
        <x:v>24</x:v>
      </x:c>
      <x:c r="AI174" t="n">
        <x:v>8</x:v>
      </x:c>
      <x:c r="AJ174" t="n">
        <x:v>11</x:v>
      </x:c>
      <x:c r="AK174" t="n">
        <x:v>250</x:v>
      </x:c>
      <x:c r="AL174" t="str">
        <x:v>Direkte elektrisk;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str">
        <x:v>energiattester_export_2025-08-14.json | PDF vedlegg side 5-7</x:v>
      </x:c>
      <x:c r="AV174" s="12" t="n">
        <x:f>IF(COUNT(O174,P174,Q174,R174,K174,L174,M174,N174)=8,O174*K174+P174*L174+Q174*M174+R174*N174,"")</x:f>
        <x:v>2140.06</x:v>
      </x:c>
      <x:c r="AW174" s="12" t="n">
        <x:f>IF(AND(ISNUMBER(AV174),H174&gt;0),AV174/H174,"")</x:f>
        <x:v>0.5969483960948396</x:v>
      </x:c>
      <x:c r="AX174" s="12" t="n">
        <x:f>IF(AND(ISNUMBER(AD174),H174&gt;0),AD174*H174*3600,"")</x:f>
        <x:v>649171800</x:v>
      </x:c>
      <x:c r="AY174" s="12" t="n">
        <x:f>IF(AND(ISNUMBER(Y174),H174&gt;0),Y174*H174,"")</x:f>
        <x:v>967950</x:v>
      </x:c>
      <x:c r="AZ174" t="str">
        <x:v>Høy</x:v>
      </x:c>
    </x:row>
    <x:row r="175" ht="22" customHeight="1">
      <x:c r="A175" t="str">
        <x:v>OT-89e1daaa28ef</x:v>
      </x:c>
      <x:c r="B175" t="n">
        <x:v>2015</x:v>
      </x:c>
      <x:c r="C175" t="str">
        <x:v>Kontorbygg</x:v>
      </x:c>
      <x:c r="D175" t="str">
        <x:v>KONTORER, MED VENTILASJON OG KJØLEANLEGG</x:v>
      </x:c>
      <x:c r="E175" t="str">
        <x:v>D</x:v>
      </x:c>
      <x:c r="F175" t="str">
        <x:v>GREEN</x:v>
      </x:c>
      <x:c r="G175" t="n">
        <x:v>1987</x:v>
      </x:c>
      <x:c r="H175" t="n">
        <x:v>5575</x:v>
      </x:c>
      <x:c r="I175" t="n">
        <x:v>171.4</x:v>
      </x:c>
      <x:c r="J175" t="str">
        <x:v>PDF/avansert</x:v>
      </x:c>
      <x:c r="K175" t="n">
        <x:v>2448</x:v>
      </x:c>
      <x:c r="L175" t="n">
        <x:v>795</x:v>
      </x:c>
      <x:c r="M175" t="n">
        <x:v>795</x:v>
      </x:c>
      <x:c r="N175" t="n">
        <x:v>597</x:v>
      </x:c>
      <x:c r="O175" t="n">
        <x:v>0.29</x:v>
      </x:c>
      <x:c r="P175" t="n">
        <x:v>0.2</x:v>
      </x:c>
      <x:c r="Q175" t="n">
        <x:v>0.16</x:v>
      </x:c>
      <x:c r="R175" t="n">
        <x:v>2.4</x:v>
      </x:c>
      <x:c r="S175" t="n">
        <x:v>70</x:v>
      </x:c>
      <x:c r="T175" t="n">
        <x:v>70</x:v>
      </x:c>
      <x:c r="U175" t="n">
        <x:v>6.35</x:v>
      </x:c>
      <x:c r="V175" t="n">
        <x:v>0.43</x:v>
      </x:c>
      <x:c r="W175" t="n">
        <x:v>7</x:v>
      </x:c>
      <x:c r="X175" t="n">
        <x:v>83</x:v>
      </x:c>
      <x:c r="Y175" t="n">
        <x:v>110</x:v>
      </x:c>
      <x:c r="Z175" t="n">
        <x:v>60</x:v>
      </x:c>
      <x:c r="AA175" t="n">
        <x:v>21</x:v>
      </x:c>
      <x:c r="AB175" t="n">
        <x:v>22</x:v>
      </x:c>
      <x:c r="AC175" t="n">
        <x:v>3.5</x:v>
      </x:c>
      <x:c r="AD175" t="n">
        <x:v>22</x:v>
      </x:c>
      <x:c r="AE175" t="n">
        <x:v>0.06</x:v>
      </x:c>
      <x:c r="AF175" t="n">
        <x:v>12</x:v>
      </x:c>
      <x:c r="AG175" t="n">
        <x:v>12</x:v>
      </x:c>
      <x:c r="AH175" t="n">
        <x:v>24</x:v>
      </x:c>
      <x:c r="AI175" t="n">
        <x:v>8</x:v>
      </x:c>
      <x:c r="AJ175" t="n">
        <x:v>11</x:v>
      </x:c>
      <x:c r="AK175" t="n">
        <x:v>250</x:v>
      </x:c>
      <x:c r="AL175" t="str">
        <x:v>Fjernvarme;</x:v>
      </x:c>
      <x:c r="AM175" t="n">
        <x:v>0</x:v>
      </x:c>
      <x:c r="AN175" t="n">
        <x:v>0</x:v>
      </x:c>
      <x:c r="AO175" t="n">
        <x:v>1</x:v>
      </x:c>
      <x:c r="AP175" t="n">
        <x:v>0</x:v>
      </x:c>
      <x:c r="AQ175" t="n">
        <x:v>0</x:v>
      </x:c>
      <x:c r="AR175" t="n">
        <x:v>1</x:v>
      </x:c>
      <x:c r="AS175" t="n">
        <x:v>0</x:v>
      </x:c>
      <x:c r="AT175" t="n">
        <x:v>1</x:v>
      </x:c>
      <x:c r="AU175" t="str">
        <x:v>energiattester_export_2025-08-14.json | PDF vedlegg side 5-7</x:v>
      </x:c>
      <x:c r="AV175" s="12" t="n">
        <x:f>IF(COUNT(O175,P175,Q175,R175,K175,L175,M175,N175)=8,O175*K175+P175*L175+Q175*M175+R175*N175,"")</x:f>
        <x:v>2428.92</x:v>
      </x:c>
      <x:c r="AW175" s="12" t="n">
        <x:f>IF(AND(ISNUMBER(AV175),H175&gt;0),AV175/H175,"")</x:f>
        <x:v>0.4356807174887892</x:v>
      </x:c>
      <x:c r="AX175" s="12" t="n">
        <x:f>IF(AND(ISNUMBER(AD175),H175&gt;0),AD175*H175*3600,"")</x:f>
        <x:v>441540000</x:v>
      </x:c>
      <x:c r="AY175" s="12" t="n">
        <x:f>IF(AND(ISNUMBER(Y175),H175&gt;0),Y175*H175,"")</x:f>
        <x:v>613250</x:v>
      </x:c>
      <x:c r="AZ175" t="str">
        <x:v>Høy</x:v>
      </x:c>
    </x:row>
    <x:row r="176" ht="22" customHeight="1">
      <x:c r="A176" t="str">
        <x:v>OT-3e2fecba03ec</x:v>
      </x:c>
      <x:c r="B176" t="n">
        <x:v>2015</x:v>
      </x:c>
      <x:c r="C176" t="str">
        <x:v>Forretningsbygg</x:v>
      </x:c>
      <x:c r="D176" t="str">
        <x:v>BUTIKK</x:v>
      </x:c>
      <x:c r="E176" t="str">
        <x:v>G</x:v>
      </x:c>
      <x:c r="F176" t="str">
        <x:v>RED</x:v>
      </x:c>
      <x:c r="G176" t="n">
        <x:v>1979</x:v>
      </x:c>
      <x:c r="H176" t="n">
        <x:v>134</x:v>
      </x:c>
      <x:c r="I176" t="n">
        <x:v>466.3</x:v>
      </x:c>
      <x:c r="J176" t="str">
        <x:v>PDF/avansert</x:v>
      </x:c>
      <x:c r="K176" t="n">
        <x:v>92</x:v>
      </x:c>
      <x:c r="L176" t="n">
        <x:v>134</x:v>
      </x:c>
      <x:c r="M176" t="n">
        <x:v>134</x:v>
      </x:c>
      <x:c r="N176" t="n">
        <x:v>22</x:v>
      </x:c>
      <x:c r="O176" t="n">
        <x:v>0.28</x:v>
      </x:c>
      <x:c r="P176" t="n">
        <x:v>0.21</x:v>
      </x:c>
      <x:c r="Q176" t="n">
        <x:v>0.19</x:v>
      </x:c>
      <x:c r="R176" t="n">
        <x:v>1.43</x:v>
      </x:c>
      <x:c r="S176" t="n">
        <x:v>0</x:v>
      </x:c>
      <x:c r="T176" t="n">
        <x:v>0</x:v>
      </x:c>
      <x:c r="U176" t="n">
        <x:v>2</x:v>
      </x:c>
      <x:c r="V176" t="n">
        <x:v>0.38</x:v>
      </x:c>
      <x:c r="W176" t="n">
        <x:v>20</x:v>
      </x:c>
      <x:c r="X176" t="n">
        <x:v>81</x:v>
      </x:c>
      <x:c r="Y176" t="n">
        <x:v>50</x:v>
      </x:c>
      <x:c r="Z176" t="n">
        <x:v>0</x:v>
      </x:c>
      <x:c r="AA176" t="n">
        <x:v>21</x:v>
      </x:c>
      <x:c r="AB176" t="n">
        <x:v>22</x:v>
      </x:c>
      <x:c r="AC176" t="n">
        <x:v>1.5</x:v>
      </x:c>
      <x:c r="AD176" t="n">
        <x:v>72.7</x:v>
      </x:c>
      <x:c r="AE176" t="n">
        <x:v>0.12</x:v>
      </x:c>
      <x:c r="AF176" t="n">
        <x:v>12</x:v>
      </x:c>
      <x:c r="AG176" t="n">
        <x:v>12</x:v>
      </x:c>
      <x:c r="AH176" t="n">
        <x:v>24</x:v>
      </x:c>
      <x:c r="AI176" t="n">
        <x:v>15</x:v>
      </x:c>
      <x:c r="AJ176" t="n">
        <x:v>1</x:v>
      </x:c>
      <x:c r="AK176" t="n">
        <x:v>250</x:v>
      </x:c>
      <x:c r="AL176" t="str">
        <x:v>Direkte elektrisk;</x:v>
      </x:c>
      <x:c r="AM176" t="n">
        <x:v>0</x:v>
      </x:c>
      <x:c r="AN176" t="n">
        <x:v>0</x:v>
      </x:c>
      <x:c r="AO176" t="n">
        <x:v>0</x:v>
      </x:c>
      <x:c r="AP176" t="n">
        <x:v>1</x:v>
      </x:c>
      <x:c r="AQ176" t="n">
        <x:v>0</x:v>
      </x:c>
      <x:c r="AR176" t="n">
        <x:v>0</x:v>
      </x:c>
      <x:c r="AS176" t="n">
        <x:v>1</x:v>
      </x:c>
      <x:c r="AT176" t="n">
        <x:v>0</x:v>
      </x:c>
      <x:c r="AU176" t="str">
        <x:v>energiattester_export_2025-08-14.json | PDF vedlegg side 5-7</x:v>
      </x:c>
      <x:c r="AV176" s="12" t="n">
        <x:f>IF(COUNT(O176,P176,Q176,R176,K176,L176,M176,N176)=8,O176*K176+P176*L176+Q176*M176+R176*N176,"")</x:f>
        <x:v>110.82000000000001</x:v>
      </x:c>
      <x:c r="AW176" s="12" t="n">
        <x:f>IF(AND(ISNUMBER(AV176),H176&gt;0),AV176/H176,"")</x:f>
        <x:v>0.8270149253731344</x:v>
      </x:c>
      <x:c r="AX176" s="12" t="n">
        <x:f>IF(AND(ISNUMBER(AD176),H176&gt;0),AD176*H176*3600,"")</x:f>
        <x:v>35070480.00000001</x:v>
      </x:c>
      <x:c r="AY176" s="12" t="n">
        <x:f>IF(AND(ISNUMBER(Y176),H176&gt;0),Y176*H176,"")</x:f>
        <x:v>6700</x:v>
      </x:c>
      <x:c r="AZ176" t="str">
        <x:v>Høy</x:v>
      </x:c>
    </x:row>
    <x:row r="177" ht="22" customHeight="1">
      <x:c r="A177" t="str">
        <x:v>OT-5317f94040ef</x:v>
      </x:c>
      <x:c r="B177" t="n">
        <x:v>2015</x:v>
      </x:c>
      <x:c r="C177" t="str">
        <x:v>Kontorbygg</x:v>
      </x:c>
      <x:c r="D177" t="str">
        <x:v>KONTORER, MED VENTILASJON OG KJØLEANLEGG</x:v>
      </x:c>
      <x:c r="E177" t="str">
        <x:v>E</x:v>
      </x:c>
      <x:c r="F177" t="str">
        <x:v>RED</x:v>
      </x:c>
      <x:c r="G177" t="n">
        <x:v>1995</x:v>
      </x:c>
      <x:c r="H177" t="n">
        <x:v>602</x:v>
      </x:c>
      <x:c r="I177" t="n">
        <x:v>1</x:v>
      </x:c>
      <x:c r="J177" t="str">
        <x:v>PDF/avansert</x:v>
      </x:c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 t="n">
        <x:v>0</x:v>
      </x:c>
      <x:c r="AN177" t="n">
        <x:v>0</x:v>
      </x:c>
      <x:c r="AO177" t="n">
        <x:v>1</x:v>
      </x:c>
      <x:c r="AP177" t="n">
        <x:v>1</x:v>
      </x:c>
      <x:c r="AQ177" t="n">
        <x:v>1</x:v>
      </x:c>
      <x:c r="AR177" t="n">
        <x:v>1</x:v>
      </x:c>
      <x:c r="AS177" t="n">
        <x:v>1</x:v>
      </x:c>
      <x:c r="AT177" t="n">
        <x:v>1</x:v>
      </x:c>
      <x:c r="AU177" t="str">
        <x:v>energiattester_export_2025-08-14.json | PDF vedlegg side 5-7</x:v>
      </x:c>
      <x:c r="AV177" s="12" t="str">
        <x:f>IF(COUNT(O177,P177,Q177,R177,K177,L177,M177,N177)=8,O177*K177+P177*L177+Q177*M177+R177*N177,"")</x:f>
      </x:c>
      <x:c r="AW177" s="12" t="str">
        <x:f>IF(AND(ISNUMBER(AV177),H177&gt;0),AV177/H177,"")</x:f>
      </x:c>
      <x:c r="AX177" s="12" t="str">
        <x:f>IF(AND(ISNUMBER(AD177),H177&gt;0),AD177*H177*3600,"")</x:f>
      </x:c>
      <x:c r="AY177" s="12" t="str">
        <x:f>IF(AND(ISNUMBER(Y177),H177&gt;0),Y177*H177,"")</x:f>
      </x:c>
      <x:c r="AZ177" t="str">
        <x:v>Mangler data</x:v>
      </x:c>
    </x:row>
    <x:row r="178" ht="22" customHeight="1">
      <x:c r="A178" t="str">
        <x:v>OT-c879110295fd</x:v>
      </x:c>
      <x:c r="B178" t="n">
        <x:v>2015</x:v>
      </x:c>
      <x:c r="C178" t="str">
        <x:v>Kontorbygg</x:v>
      </x:c>
      <x:c r="D178" t="str">
        <x:v>KONTORER, MED VENTILASJON OG KJØLEANLEGG</x:v>
      </x:c>
      <x:c r="E178" t="str">
        <x:v>E</x:v>
      </x:c>
      <x:c r="F178" t="str">
        <x:v>RED</x:v>
      </x:c>
      <x:c r="G178" t="n">
        <x:v>1995</x:v>
      </x:c>
      <x:c r="H178" t="n">
        <x:v>602</x:v>
      </x:c>
      <x:c r="I178" t="n">
        <x:v>1</x:v>
      </x:c>
      <x:c r="J178" t="str">
        <x:v>PDF/avansert</x:v>
      </x:c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 t="n">
        <x:v>0</x:v>
      </x:c>
      <x:c r="AN178" t="n">
        <x:v>0</x:v>
      </x:c>
      <x:c r="AO178" t="n">
        <x:v>1</x:v>
      </x:c>
      <x:c r="AP178" t="n">
        <x:v>1</x:v>
      </x:c>
      <x:c r="AQ178" t="n">
        <x:v>1</x:v>
      </x:c>
      <x:c r="AR178" t="n">
        <x:v>1</x:v>
      </x:c>
      <x:c r="AS178" t="n">
        <x:v>1</x:v>
      </x:c>
      <x:c r="AT178" t="n">
        <x:v>1</x:v>
      </x:c>
      <x:c r="AU178" t="str">
        <x:v>energiattester_export_2025-08-14.json | PDF vedlegg side 5-7</x:v>
      </x:c>
      <x:c r="AV178" s="12" t="str">
        <x:f>IF(COUNT(O178,P178,Q178,R178,K178,L178,M178,N178)=8,O178*K178+P178*L178+Q178*M178+R178*N178,"")</x:f>
      </x:c>
      <x:c r="AW178" s="12" t="str">
        <x:f>IF(AND(ISNUMBER(AV178),H178&gt;0),AV178/H178,"")</x:f>
      </x:c>
      <x:c r="AX178" s="12" t="str">
        <x:f>IF(AND(ISNUMBER(AD178),H178&gt;0),AD178*H178*3600,"")</x:f>
      </x:c>
      <x:c r="AY178" s="12" t="str">
        <x:f>IF(AND(ISNUMBER(Y178),H178&gt;0),Y178*H178,"")</x:f>
      </x:c>
      <x:c r="AZ178" t="str">
        <x:v>Mangler data</x:v>
      </x:c>
    </x:row>
    <x:row r="179" ht="22" customHeight="1">
      <x:c r="A179" t="str">
        <x:v>OT-9895ae78f002</x:v>
      </x:c>
      <x:c r="B179" t="n">
        <x:v>2015</x:v>
      </x:c>
      <x:c r="C179" t="str">
        <x:v>Kontorbygg</x:v>
      </x:c>
      <x:c r="D179" t="str">
        <x:v>ANNET KONTORBYGG</x:v>
      </x:c>
      <x:c r="E179" t="str">
        <x:v>F</x:v>
      </x:c>
      <x:c r="F179" t="str">
        <x:v>RED</x:v>
      </x:c>
      <x:c r="G179" t="n">
        <x:v>1977</x:v>
      </x:c>
      <x:c r="H179" t="n">
        <x:v>1170</x:v>
      </x:c>
      <x:c r="I179" t="n">
        <x:v>227.4</x:v>
      </x:c>
      <x:c r="J179" t="str">
        <x:v>PDF/avansert</x:v>
      </x:c>
      <x:c r="K179" t="n">
        <x:v>748</x:v>
      </x:c>
      <x:c r="L179" t="n">
        <x:v>295</x:v>
      </x:c>
      <x:c r="M179" t="n">
        <x:v>282</x:v>
      </x:c>
      <x:c r="N179" t="n">
        <x:v>185</x:v>
      </x:c>
      <x:c r="O179" t="n">
        <x:v>0.51</x:v>
      </x:c>
      <x:c r="P179" t="n">
        <x:v>0.75</x:v>
      </x:c>
      <x:c r="Q179" t="n">
        <x:v>0.15</x:v>
      </x:c>
      <x:c r="R179" t="n">
        <x:v>2.61</x:v>
      </x:c>
      <x:c r="S179" t="n">
        <x:v>81</x:v>
      </x:c>
      <x:c r="T179" t="n">
        <x:v>81</x:v>
      </x:c>
      <x:c r="U179" t="n">
        <x:v>1.66</x:v>
      </x:c>
      <x:c r="V179" t="n">
        <x:v>0.61</x:v>
      </x:c>
      <x:c r="W179" t="n">
        <x:v>5.4</x:v>
      </x:c>
      <x:c r="X179" t="n">
        <x:v>81</x:v>
      </x:c>
      <x:c r="Y179" t="n">
        <x:v>113</x:v>
      </x:c>
      <x:c r="Z179" t="n">
        <x:v>0</x:v>
      </x:c>
      <x:c r="AA179" t="n">
        <x:v>21</x:v>
      </x:c>
      <x:c r="AB179" t="n">
        <x:v>22</x:v>
      </x:c>
      <x:c r="AC179" t="n">
        <x:v>6</x:v>
      </x:c>
      <x:c r="AD179" t="n">
        <x:v>75.4</x:v>
      </x:c>
      <x:c r="AE179" t="n">
        <x:v>0.09</x:v>
      </x:c>
      <x:c r="AF179" t="n">
        <x:v>12</x:v>
      </x:c>
      <x:c r="AG179" t="n">
        <x:v>12</x:v>
      </x:c>
      <x:c r="AH179" t="n">
        <x:v>24</x:v>
      </x:c>
      <x:c r="AI179" t="n">
        <x:v>8</x:v>
      </x:c>
      <x:c r="AJ179" t="n">
        <x:v>11</x:v>
      </x:c>
      <x:c r="AK179" t="n">
        <x:v>250</x:v>
      </x:c>
      <x:c r="AL179" t="str">
        <x:v>Direkte elektrisk;</x:v>
      </x:c>
      <x:c r="AM179" t="n">
        <x:v>0</x:v>
      </x:c>
      <x:c r="AN179" t="n">
        <x:v>0</x:v>
      </x:c>
      <x:c r="AO179" t="n">
        <x:v>1</x:v>
      </x:c>
      <x:c r="AP179" t="n">
        <x:v>1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str">
        <x:v>energiattester_export_2025-08-14.json | PDF vedlegg side 5-7</x:v>
      </x:c>
      <x:c r="AV179" s="12" t="n">
        <x:f>IF(COUNT(O179,P179,Q179,R179,K179,L179,M179,N179)=8,O179*K179+P179*L179+Q179*M179+R179*N179,"")</x:f>
        <x:v>1127.8799999999999</x:v>
      </x:c>
      <x:c r="AW179" s="12" t="n">
        <x:f>IF(AND(ISNUMBER(AV179),H179&gt;0),AV179/H179,"")</x:f>
        <x:v>0.9639999999999999</x:v>
      </x:c>
      <x:c r="AX179" s="12" t="n">
        <x:f>IF(AND(ISNUMBER(AD179),H179&gt;0),AD179*H179*3600,"")</x:f>
        <x:v>317584800</x:v>
      </x:c>
      <x:c r="AY179" s="12" t="n">
        <x:f>IF(AND(ISNUMBER(Y179),H179&gt;0),Y179*H179,"")</x:f>
        <x:v>132210</x:v>
      </x:c>
      <x:c r="AZ179" t="str">
        <x:v>Høy</x:v>
      </x:c>
    </x:row>
    <x:row r="180" ht="22" customHeight="1">
      <x:c r="A180" t="str">
        <x:v>OT-08da4b317f4f</x:v>
      </x:c>
      <x:c r="B180" t="n">
        <x:v>2015</x:v>
      </x:c>
      <x:c r="C180" t="str">
        <x:v>Kontorbygg</x:v>
      </x:c>
      <x:c r="D180" t="str">
        <x:v>KONTORER, MED VENTILASJON OG KJØLEANLEGG</x:v>
      </x:c>
      <x:c r="E180" t="str">
        <x:v>F</x:v>
      </x:c>
      <x:c r="F180" t="str">
        <x:v>ORANGE</x:v>
      </x:c>
      <x:c r="G180" t="n">
        <x:v>1978</x:v>
      </x:c>
      <x:c r="H180" t="n">
        <x:v>1661</x:v>
      </x:c>
      <x:c r="I180" t="n">
        <x:v>245.8</x:v>
      </x:c>
      <x:c r="J180" t="str">
        <x:v>PDF/avansert</x:v>
      </x:c>
      <x:c r="K180" t="n">
        <x:v>794</x:v>
      </x:c>
      <x:c r="L180" t="n">
        <x:v>1657</x:v>
      </x:c>
      <x:c r="M180" t="n">
        <x:v>1661</x:v>
      </x:c>
      <x:c r="N180" t="n">
        <x:v>244</x:v>
      </x:c>
      <x:c r="O180" t="n">
        <x:v>0.46</x:v>
      </x:c>
      <x:c r="P180" t="n">
        <x:v>0.41</x:v>
      </x:c>
      <x:c r="Q180" t="n">
        <x:v>0.33</x:v>
      </x:c>
      <x:c r="R180" t="n">
        <x:v>1.9</x:v>
      </x:c>
      <x:c r="S180" t="n">
        <x:v>59</x:v>
      </x:c>
      <x:c r="T180" t="n">
        <x:v>59</x:v>
      </x:c>
      <x:c r="U180" t="n">
        <x:v>1.98</x:v>
      </x:c>
      <x:c r="V180" t="n">
        <x:v>0.49</x:v>
      </x:c>
      <x:c r="W180" t="n">
        <x:v>7</x:v>
      </x:c>
      <x:c r="X180" t="n">
        <x:v>163</x:v>
      </x:c>
      <x:c r="Y180" t="n">
        <x:v>140</x:v>
      </x:c>
      <x:c r="Z180" t="n">
        <x:v>0</x:v>
      </x:c>
      <x:c r="AA180" t="n">
        <x:v>21</x:v>
      </x:c>
      <x:c r="AB180" t="n">
        <x:v>22</x:v>
      </x:c>
      <x:c r="AC180" t="n">
        <x:v>3</x:v>
      </x:c>
      <x:c r="AD180" t="n">
        <x:v>36.2</x:v>
      </x:c>
      <x:c r="AE180" t="n">
        <x:v>0.09</x:v>
      </x:c>
      <x:c r="AF180" t="n">
        <x:v>12</x:v>
      </x:c>
      <x:c r="AG180" t="n">
        <x:v>12</x:v>
      </x:c>
      <x:c r="AH180" t="n">
        <x:v>24</x:v>
      </x:c>
      <x:c r="AI180" t="n">
        <x:v>8</x:v>
      </x:c>
      <x:c r="AJ180" t="n">
        <x:v>11</x:v>
      </x:c>
      <x:c r="AK180" t="n">
        <x:v>250</x:v>
      </x:c>
      <x:c r="AL180" t="str">
        <x:v>Direkte elektrisk; Varmepumpe;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str">
        <x:v>energiattester_export_2025-08-14.json | PDF vedlegg side 5-7</x:v>
      </x:c>
      <x:c r="AV180" s="12" t="n">
        <x:f>IF(COUNT(O180,P180,Q180,R180,K180,L180,M180,N180)=8,O180*K180+P180*L180+Q180*M180+R180*N180,"")</x:f>
        <x:v>2056.34</x:v>
      </x:c>
      <x:c r="AW180" s="12" t="n">
        <x:f>IF(AND(ISNUMBER(AV180),H180&gt;0),AV180/H180,"")</x:f>
        <x:v>1.2380132450331127</x:v>
      </x:c>
      <x:c r="AX180" s="12" t="n">
        <x:f>IF(AND(ISNUMBER(AD180),H180&gt;0),AD180*H180*3600,"")</x:f>
        <x:v>216461520.00000003</x:v>
      </x:c>
      <x:c r="AY180" s="12" t="n">
        <x:f>IF(AND(ISNUMBER(Y180),H180&gt;0),Y180*H180,"")</x:f>
        <x:v>232540</x:v>
      </x:c>
      <x:c r="AZ180" t="str">
        <x:v>Høy</x:v>
      </x:c>
    </x:row>
    <x:row r="181" ht="22" customHeight="1">
      <x:c r="A181" t="str">
        <x:v>OT-656aaa4b6277</x:v>
      </x:c>
      <x:c r="B181" t="n">
        <x:v>2015</x:v>
      </x:c>
      <x:c r="C181" t="str">
        <x:v>Forretningsbygg</x:v>
      </x:c>
      <x:c r="D181" t="str">
        <x:v>BUTIKK</x:v>
      </x:c>
      <x:c r="E181" t="str">
        <x:v>E</x:v>
      </x:c>
      <x:c r="F181" t="str">
        <x:v>RED</x:v>
      </x:c>
      <x:c r="G181" t="n">
        <x:v>1990</x:v>
      </x:c>
      <x:c r="H181" t="n">
        <x:v>1514</x:v>
      </x:c>
      <x:c r="I181" t="n">
        <x:v>264.9</x:v>
      </x:c>
      <x:c r="J181" t="str">
        <x:v>PDF/avansert</x:v>
      </x:c>
      <x:c r="K181" t="n">
        <x:v>568</x:v>
      </x:c>
      <x:c r="L181" t="n">
        <x:v>512</x:v>
      </x:c>
      <x:c r="M181" t="n">
        <x:v>470</x:v>
      </x:c>
      <x:c r="N181" t="n">
        <x:v>283</x:v>
      </x:c>
      <x:c r="O181" t="n">
        <x:v>0.24</x:v>
      </x:c>
      <x:c r="P181" t="n">
        <x:v>0.2</x:v>
      </x:c>
      <x:c r="Q181" t="n">
        <x:v>0.17</x:v>
      </x:c>
      <x:c r="R181" t="n">
        <x:v>1.84</x:v>
      </x:c>
      <x:c r="S181" t="n">
        <x:v>52</x:v>
      </x:c>
      <x:c r="T181" t="n">
        <x:v>52</x:v>
      </x:c>
      <x:c r="U181" t="n">
        <x:v>2.86</x:v>
      </x:c>
      <x:c r="V181" t="n">
        <x:v>0</x:v>
      </x:c>
      <x:c r="W181" t="n">
        <x:v>13</x:v>
      </x:c>
      <x:c r="X181" t="n">
        <x:v>86</x:v>
      </x:c>
      <x:c r="Y181" t="n">
        <x:v>138</x:v>
      </x:c>
      <x:c r="Z181" t="n">
        <x:v>0</x:v>
      </x:c>
      <x:c r="AA181" t="n">
        <x:v>21</x:v>
      </x:c>
      <x:c r="AB181" t="n">
        <x:v>22</x:v>
      </x:c>
      <x:c r="AC181" t="n">
        <x:v>3.5</x:v>
      </x:c>
      <x:c r="AD181" t="n">
        <x:v>74.9</x:v>
      </x:c>
      <x:c r="AE181" t="n">
        <x:v>0.12</x:v>
      </x:c>
      <x:c r="AF181" t="n">
        <x:v>12</x:v>
      </x:c>
      <x:c r="AG181" t="n">
        <x:v>12</x:v>
      </x:c>
      <x:c r="AH181" t="n">
        <x:v>24</x:v>
      </x:c>
      <x:c r="AI181" t="n">
        <x:v>15</x:v>
      </x:c>
      <x:c r="AJ181" t="n">
        <x:v>1</x:v>
      </x:c>
      <x:c r="AK181" t="n">
        <x:v>250</x:v>
      </x:c>
      <x:c r="AL181" t="str">
        <x:v>Direkte elektrisk;</x:v>
      </x:c>
      <x:c r="AM181" t="n">
        <x:v>0</x:v>
      </x:c>
      <x:c r="AN181" t="n">
        <x:v>1</x:v>
      </x:c>
      <x:c r="AO181" t="n">
        <x:v>0</x:v>
      </x:c>
      <x:c r="AP181" t="n">
        <x:v>0</x:v>
      </x:c>
      <x:c r="AQ181" t="n">
        <x:v>0</x:v>
      </x:c>
      <x:c r="AR181" t="n">
        <x:v>1</x:v>
      </x:c>
      <x:c r="AS181" t="n">
        <x:v>1</x:v>
      </x:c>
      <x:c r="AT181" t="n">
        <x:v>1</x:v>
      </x:c>
      <x:c r="AU181" t="str">
        <x:v>energiattester_export_2025-08-14.json | PDF vedlegg side 5-7</x:v>
      </x:c>
      <x:c r="AV181" s="12" t="n">
        <x:f>IF(COUNT(O181,P181,Q181,R181,K181,L181,M181,N181)=8,O181*K181+P181*L181+Q181*M181+R181*N181,"")</x:f>
        <x:v>839.34</x:v>
      </x:c>
      <x:c r="AW181" s="12" t="n">
        <x:f>IF(AND(ISNUMBER(AV181),H181&gt;0),AV181/H181,"")</x:f>
        <x:v>0.5543857331571995</x:v>
      </x:c>
      <x:c r="AX181" s="12" t="n">
        <x:f>IF(AND(ISNUMBER(AD181),H181&gt;0),AD181*H181*3600,"")</x:f>
        <x:v>408234960</x:v>
      </x:c>
      <x:c r="AY181" s="12" t="n">
        <x:f>IF(AND(ISNUMBER(Y181),H181&gt;0),Y181*H181,"")</x:f>
        <x:v>208932</x:v>
      </x:c>
      <x:c r="AZ181" t="str">
        <x:v>Høy</x:v>
      </x:c>
    </x:row>
    <x:row r="182" ht="22" customHeight="1">
      <x:c r="A182" t="str">
        <x:v>OT-4dca9c943da0</x:v>
      </x:c>
      <x:c r="B182" t="n">
        <x:v>2015</x:v>
      </x:c>
      <x:c r="C182" t="str">
        <x:v>Kontorbygg</x:v>
      </x:c>
      <x:c r="D182" t="str">
        <x:v>KONTORER, ENKLE</x:v>
      </x:c>
      <x:c r="E182" t="str">
        <x:v>D</x:v>
      </x:c>
      <x:c r="F182" t="str">
        <x:v>GREEN</x:v>
      </x:c>
      <x:c r="G182" t="n">
        <x:v>2010</x:v>
      </x:c>
      <x:c r="H182" t="n">
        <x:v>507</x:v>
      </x:c>
      <x:c r="I182" t="n">
        <x:v>173.3</x:v>
      </x:c>
      <x:c r="J182" t="str">
        <x:v>PDF/avansert</x:v>
      </x:c>
      <x:c r="K182" t="n">
        <x:v>230</x:v>
      </x:c>
      <x:c r="L182" t="n">
        <x:v>213</x:v>
      </x:c>
      <x:c r="M182" t="n">
        <x:v>160</x:v>
      </x:c>
      <x:c r="N182" t="n">
        <x:v>93</x:v>
      </x:c>
      <x:c r="O182" t="n">
        <x:v>0.19</x:v>
      </x:c>
      <x:c r="P182" t="n">
        <x:v>0.14</x:v>
      </x:c>
      <x:c r="Q182" t="n">
        <x:v>0.13</x:v>
      </x:c>
      <x:c r="R182" t="n">
        <x:v>1.2</x:v>
      </x:c>
      <x:c r="S182" t="n">
        <x:v>80</x:v>
      </x:c>
      <x:c r="T182" t="n">
        <x:v>80</x:v>
      </x:c>
      <x:c r="U182" t="n">
        <x:v>2</x:v>
      </x:c>
      <x:c r="V182" t="n">
        <x:v>0.45</x:v>
      </x:c>
      <x:c r="W182" t="n">
        <x:v>10</x:v>
      </x:c>
      <x:c r="X182" t="n">
        <x:v>88</x:v>
      </x:c>
      <x:c r="Y182" t="n">
        <x:v>60</x:v>
      </x:c>
      <x:c r="Z182" t="n">
        <x:v>30</x:v>
      </x:c>
      <x:c r="AA182" t="n">
        <x:v>21</x:v>
      </x:c>
      <x:c r="AB182" t="n">
        <x:v>22</x:v>
      </x:c>
      <x:c r="AC182" t="n">
        <x:v>1.5</x:v>
      </x:c>
      <x:c r="AD182" t="n">
        <x:v>95.7</x:v>
      </x:c>
      <x:c r="AE182" t="n">
        <x:v>0.12</x:v>
      </x:c>
      <x:c r="AF182" t="n">
        <x:v>12</x:v>
      </x:c>
      <x:c r="AG182" t="n">
        <x:v>12</x:v>
      </x:c>
      <x:c r="AH182" t="n">
        <x:v>24</x:v>
      </x:c>
      <x:c r="AI182" t="n">
        <x:v>8</x:v>
      </x:c>
      <x:c r="AJ182" t="n">
        <x:v>11</x:v>
      </x:c>
      <x:c r="AK182" t="n">
        <x:v>250</x:v>
      </x:c>
      <x:c r="AL182" t="str">
        <x:v>Fjernvarme;</x:v>
      </x:c>
      <x:c r="AM182"/>
      <x:c r="AN182"/>
      <x:c r="AO182"/>
      <x:c r="AP182"/>
      <x:c r="AQ182"/>
      <x:c r="AR182"/>
      <x:c r="AS182"/>
      <x:c r="AT182"/>
      <x:c r="AU182" t="str">
        <x:v>energiattester_export_2025-08-14.json | PDF vedlegg side 5-7</x:v>
      </x:c>
      <x:c r="AV182" s="12" t="n">
        <x:f>IF(COUNT(O182,P182,Q182,R182,K182,L182,M182,N182)=8,O182*K182+P182*L182+Q182*M182+R182*N182,"")</x:f>
        <x:v>205.92000000000002</x:v>
      </x:c>
      <x:c r="AW182" s="12" t="n">
        <x:f>IF(AND(ISNUMBER(AV182),H182&gt;0),AV182/H182,"")</x:f>
        <x:v>0.4061538461538462</x:v>
      </x:c>
      <x:c r="AX182" s="12" t="n">
        <x:f>IF(AND(ISNUMBER(AD182),H182&gt;0),AD182*H182*3600,"")</x:f>
        <x:v>174671640</x:v>
      </x:c>
      <x:c r="AY182" s="12" t="n">
        <x:f>IF(AND(ISNUMBER(Y182),H182&gt;0),Y182*H182,"")</x:f>
        <x:v>30420</x:v>
      </x:c>
      <x:c r="AZ182" t="str">
        <x:v>Høy</x:v>
      </x:c>
    </x:row>
    <x:row r="183" ht="22" customHeight="1">
      <x:c r="A183" t="str">
        <x:v>OT-cd52957745f0</x:v>
      </x:c>
      <x:c r="B183" t="n">
        <x:v>2015</x:v>
      </x:c>
      <x:c r="C183" t="str">
        <x:v>Kontorbygg</x:v>
      </x:c>
      <x:c r="D183" t="str">
        <x:v>KONTORER, ENKLE</x:v>
      </x:c>
      <x:c r="E183" t="str">
        <x:v>E</x:v>
      </x:c>
      <x:c r="F183" t="str">
        <x:v>RED</x:v>
      </x:c>
      <x:c r="G183" t="n">
        <x:v>1994</x:v>
      </x:c>
      <x:c r="H183" t="n">
        <x:v>197</x:v>
      </x:c>
      <x:c r="I183" t="n">
        <x:v>218.8</x:v>
      </x:c>
      <x:c r="J183" t="str">
        <x:v>PDF/avansert</x:v>
      </x:c>
      <x:c r="K183" t="n">
        <x:v>175</x:v>
      </x:c>
      <x:c r="L183" t="n">
        <x:v>136</x:v>
      </x:c>
      <x:c r="M183" t="n">
        <x:v>88</x:v>
      </x:c>
      <x:c r="N183" t="n">
        <x:v>44</x:v>
      </x:c>
      <x:c r="O183" t="n">
        <x:v>0.28</x:v>
      </x:c>
      <x:c r="P183" t="n">
        <x:v>0.2</x:v>
      </x:c>
      <x:c r="Q183" t="n">
        <x:v>0.18</x:v>
      </x:c>
      <x:c r="R183" t="n">
        <x:v>2</x:v>
      </x:c>
      <x:c r="S183" t="n">
        <x:v>70</x:v>
      </x:c>
      <x:c r="T183" t="n">
        <x:v>70</x:v>
      </x:c>
      <x:c r="U183" t="n">
        <x:v>2</x:v>
      </x:c>
      <x:c r="V183" t="n">
        <x:v>0.45</x:v>
      </x:c>
      <x:c r="W183" t="n">
        <x:v>10</x:v>
      </x:c>
      <x:c r="X183" t="n">
        <x:v>88</x:v>
      </x:c>
      <x:c r="Y183" t="n">
        <x:v>80</x:v>
      </x:c>
      <x:c r="Z183" t="n">
        <x:v>30</x:v>
      </x:c>
      <x:c r="AA183" t="n">
        <x:v>21</x:v>
      </x:c>
      <x:c r="AB183" t="n">
        <x:v>22</x:v>
      </x:c>
      <x:c r="AC183" t="n">
        <x:v>2</x:v>
      </x:c>
      <x:c r="AD183" t="n">
        <x:v>85.2</x:v>
      </x:c>
      <x:c r="AE183" t="n">
        <x:v>0.08</x:v>
      </x:c>
      <x:c r="AF183" t="n">
        <x:v>12</x:v>
      </x:c>
      <x:c r="AG183" t="n">
        <x:v>12</x:v>
      </x:c>
      <x:c r="AH183" t="n">
        <x:v>24</x:v>
      </x:c>
      <x:c r="AI183" t="n">
        <x:v>8</x:v>
      </x:c>
      <x:c r="AJ183" t="n">
        <x:v>11</x:v>
      </x:c>
      <x:c r="AK183" t="n">
        <x:v>250</x:v>
      </x:c>
      <x:c r="AL183" t="str">
        <x:v>Direkte elektrisk;</x:v>
      </x:c>
      <x:c r="AM183" t="n">
        <x:v>0</x:v>
      </x:c>
      <x:c r="AN183" t="n">
        <x:v>0</x:v>
      </x:c>
      <x:c r="AO183" t="n">
        <x:v>1</x:v>
      </x:c>
      <x:c r="AP183" t="n">
        <x:v>1</x:v>
      </x:c>
      <x:c r="AQ183" t="n">
        <x:v>0</x:v>
      </x:c>
      <x:c r="AR183" t="n">
        <x:v>0</x:v>
      </x:c>
      <x:c r="AS183" t="n">
        <x:v>1</x:v>
      </x:c>
      <x:c r="AT183" t="n">
        <x:v>0</x:v>
      </x:c>
      <x:c r="AU183" t="str">
        <x:v>energiattester_export_2025-08-14.json | PDF vedlegg side 5-7</x:v>
      </x:c>
      <x:c r="AV183" s="12" t="n">
        <x:f>IF(COUNT(O183,P183,Q183,R183,K183,L183,M183,N183)=8,O183*K183+P183*L183+Q183*M183+R183*N183,"")</x:f>
        <x:v>180.04000000000002</x:v>
      </x:c>
      <x:c r="AW183" s="12" t="n">
        <x:f>IF(AND(ISNUMBER(AV183),H183&gt;0),AV183/H183,"")</x:f>
        <x:v>0.9139086294416244</x:v>
      </x:c>
      <x:c r="AX183" s="12" t="n">
        <x:f>IF(AND(ISNUMBER(AD183),H183&gt;0),AD183*H183*3600,"")</x:f>
        <x:v>60423840.00000001</x:v>
      </x:c>
      <x:c r="AY183" s="12" t="n">
        <x:f>IF(AND(ISNUMBER(Y183),H183&gt;0),Y183*H183,"")</x:f>
        <x:v>15760</x:v>
      </x:c>
      <x:c r="AZ183" t="str">
        <x:v>Høy</x:v>
      </x:c>
    </x:row>
    <x:row r="184" ht="22" customHeight="1">
      <x:c r="A184" t="str">
        <x:v>OT-716a5d157b66</x:v>
      </x:c>
      <x:c r="B184" t="n">
        <x:v>2015</x:v>
      </x:c>
      <x:c r="C184" t="str">
        <x:v>Forretningsbygg</x:v>
      </x:c>
      <x:c r="D184" t="str">
        <x:v>BUTIKK</x:v>
      </x:c>
      <x:c r="E184" t="str">
        <x:v>E</x:v>
      </x:c>
      <x:c r="F184" t="str">
        <x:v>RED</x:v>
      </x:c>
      <x:c r="G184" t="n">
        <x:v>2000</x:v>
      </x:c>
      <x:c r="H184" t="n">
        <x:v>820</x:v>
      </x:c>
      <x:c r="I184" t="n">
        <x:v>1</x:v>
      </x:c>
      <x:c r="J184" t="str">
        <x:v>PDF/avansert</x:v>
      </x:c>
      <x:c r="K184" t="n">
        <x:v>230</x:v>
      </x:c>
      <x:c r="L184" t="n">
        <x:v>747</x:v>
      </x:c>
      <x:c r="M184" t="n">
        <x:v>760</x:v>
      </x:c>
      <x:c r="N184" t="n">
        <x:v>204</x:v>
      </x:c>
      <x:c r="O184" t="n">
        <x:v>0.22</x:v>
      </x:c>
      <x:c r="P184" t="n">
        <x:v>0.58</x:v>
      </x:c>
      <x:c r="Q184" t="n">
        <x:v>0.14</x:v>
      </x:c>
      <x:c r="R184" t="n">
        <x:v>1.6</x:v>
      </x:c>
      <x:c r="S184" t="n">
        <x:v>60</x:v>
      </x:c>
      <x:c r="T184" t="n">
        <x:v>60</x:v>
      </x:c>
      <x:c r="U184" t="n">
        <x:v>2.78</x:v>
      </x:c>
      <x:c r="V184" t="n">
        <x:v>0</x:v>
      </x:c>
      <x:c r="W184" t="n">
        <x:v>13</x:v>
      </x:c>
      <x:c r="X184" t="n">
        <x:v>147</x:v>
      </x:c>
      <x:c r="Y184" t="n">
        <x:v>80</x:v>
      </x:c>
      <x:c r="Z184" t="n">
        <x:v>0</x:v>
      </x:c>
      <x:c r="AA184" t="n">
        <x:v>21</x:v>
      </x:c>
      <x:c r="AB184" t="n">
        <x:v>22</x:v>
      </x:c>
      <x:c r="AC184" t="n">
        <x:v>3</x:v>
      </x:c>
      <x:c r="AD184" t="n">
        <x:v>138.5</x:v>
      </x:c>
      <x:c r="AE184" t="n">
        <x:v>0.12</x:v>
      </x:c>
      <x:c r="AF184" t="n">
        <x:v>12</x:v>
      </x:c>
      <x:c r="AG184" t="n">
        <x:v>12</x:v>
      </x:c>
      <x:c r="AH184" t="n">
        <x:v>24</x:v>
      </x:c>
      <x:c r="AI184" t="n">
        <x:v>15</x:v>
      </x:c>
      <x:c r="AJ184" t="n">
        <x:v>1</x:v>
      </x:c>
      <x:c r="AK184" t="n">
        <x:v>250</x:v>
      </x:c>
      <x:c r="AL184" t="str">
        <x:v>Direkte elektrisk; Varmepumpe;</x:v>
      </x:c>
      <x:c r="AM184" t="n">
        <x:v>0</x:v>
      </x:c>
      <x:c r="AN184" t="n">
        <x:v>1</x:v>
      </x:c>
      <x:c r="AO184" t="n">
        <x:v>0</x:v>
      </x:c>
      <x:c r="AP184" t="n">
        <x:v>0</x:v>
      </x:c>
      <x:c r="AQ184" t="n">
        <x:v>1</x:v>
      </x:c>
      <x:c r="AR184" t="n">
        <x:v>0</x:v>
      </x:c>
      <x:c r="AS184" t="n">
        <x:v>0</x:v>
      </x:c>
      <x:c r="AT184" t="n">
        <x:v>0</x:v>
      </x:c>
      <x:c r="AU184" t="str">
        <x:v>energiattester_export_2025-08-14.json | PDF vedlegg side 5-7</x:v>
      </x:c>
      <x:c r="AV184" s="12" t="n">
        <x:f>IF(COUNT(O184,P184,Q184,R184,K184,L184,M184,N184)=8,O184*K184+P184*L184+Q184*M184+R184*N184,"")</x:f>
        <x:v>916.6600000000001</x:v>
      </x:c>
      <x:c r="AW184" s="12" t="n">
        <x:f>IF(AND(ISNUMBER(AV184),H184&gt;0),AV184/H184,"")</x:f>
        <x:v>1.1178780487804878</x:v>
      </x:c>
      <x:c r="AX184" s="12" t="n">
        <x:f>IF(AND(ISNUMBER(AD184),H184&gt;0),AD184*H184*3600,"")</x:f>
        <x:v>408852000</x:v>
      </x:c>
      <x:c r="AY184" s="12" t="n">
        <x:f>IF(AND(ISNUMBER(Y184),H184&gt;0),Y184*H184,"")</x:f>
        <x:v>65600</x:v>
      </x:c>
      <x:c r="AZ184" t="str">
        <x:v>Høy</x:v>
      </x:c>
    </x:row>
    <x:row r="185" ht="22" customHeight="1">
      <x:c r="A185" t="str">
        <x:v>OT-d8fcaa7f3812</x:v>
      </x:c>
      <x:c r="B185" t="n">
        <x:v>2015</x:v>
      </x:c>
      <x:c r="C185" t="str">
        <x:v>Forretningsbygg</x:v>
      </x:c>
      <x:c r="D185" t="str">
        <x:v>BUTIKK</x:v>
      </x:c>
      <x:c r="E185" t="str">
        <x:v>E</x:v>
      </x:c>
      <x:c r="F185" t="str">
        <x:v>RED</x:v>
      </x:c>
      <x:c r="G185" t="n">
        <x:v>1997</x:v>
      </x:c>
      <x:c r="H185" t="n">
        <x:v>623</x:v>
      </x:c>
      <x:c r="I185" t="n">
        <x:v>297.7</x:v>
      </x:c>
      <x:c r="J185" t="str">
        <x:v>PDF/avansert</x:v>
      </x:c>
      <x:c r="K185" t="n">
        <x:v>113</x:v>
      </x:c>
      <x:c r="L185" t="n">
        <x:v>623</x:v>
      </x:c>
      <x:c r="M185" t="n">
        <x:v>623</x:v>
      </x:c>
      <x:c r="N185" t="n">
        <x:v>132</x:v>
      </x:c>
      <x:c r="O185" t="n">
        <x:v>0.3</x:v>
      </x:c>
      <x:c r="P185" t="n">
        <x:v>0.2</x:v>
      </x:c>
      <x:c r="Q185" t="n">
        <x:v>0.11</x:v>
      </x:c>
      <x:c r="R185" t="n">
        <x:v>2.42</x:v>
      </x:c>
      <x:c r="S185" t="n">
        <x:v>50</x:v>
      </x:c>
      <x:c r="T185" t="n">
        <x:v>50</x:v>
      </x:c>
      <x:c r="U185" t="n">
        <x:v>3.5</x:v>
      </x:c>
      <x:c r="V185" t="n">
        <x:v>0.23</x:v>
      </x:c>
      <x:c r="W185" t="n">
        <x:v>13</x:v>
      </x:c>
      <x:c r="X185" t="n">
        <x:v>81</x:v>
      </x:c>
      <x:c r="Y185" t="n">
        <x:v>99</x:v>
      </x:c>
      <x:c r="Z185" t="n">
        <x:v>36</x:v>
      </x:c>
      <x:c r="AA185" t="n">
        <x:v>21</x:v>
      </x:c>
      <x:c r="AB185" t="n">
        <x:v>22</x:v>
      </x:c>
      <x:c r="AC185" t="n">
        <x:v>3.5</x:v>
      </x:c>
      <x:c r="AD185" t="n">
        <x:v>86.1</x:v>
      </x:c>
      <x:c r="AE185" t="n">
        <x:v>0.09</x:v>
      </x:c>
      <x:c r="AF185" t="n">
        <x:v>12</x:v>
      </x:c>
      <x:c r="AG185" t="n">
        <x:v>12</x:v>
      </x:c>
      <x:c r="AH185" t="n">
        <x:v>24</x:v>
      </x:c>
      <x:c r="AI185" t="n">
        <x:v>15</x:v>
      </x:c>
      <x:c r="AJ185" t="n">
        <x:v>1</x:v>
      </x:c>
      <x:c r="AK185" t="n">
        <x:v>250</x:v>
      </x:c>
      <x:c r="AL185" t="str">
        <x:v>Direkte elektrisk;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1</x:v>
      </x:c>
      <x:c r="AS185" t="n">
        <x:v>1</x:v>
      </x:c>
      <x:c r="AT185" t="n">
        <x:v>0</x:v>
      </x:c>
      <x:c r="AU185" t="str">
        <x:v>energiattester_export_2025-08-14.json | PDF vedlegg side 5-7</x:v>
      </x:c>
      <x:c r="AV185" s="12" t="n">
        <x:f>IF(COUNT(O185,P185,Q185,R185,K185,L185,M185,N185)=8,O185*K185+P185*L185+Q185*M185+R185*N185,"")</x:f>
        <x:v>546.47</x:v>
      </x:c>
      <x:c r="AW185" s="12" t="n">
        <x:f>IF(AND(ISNUMBER(AV185),H185&gt;0),AV185/H185,"")</x:f>
        <x:v>0.8771589085072231</x:v>
      </x:c>
      <x:c r="AX185" s="12" t="n">
        <x:f>IF(AND(ISNUMBER(AD185),H185&gt;0),AD185*H185*3600,"")</x:f>
        <x:v>193105079.99999997</x:v>
      </x:c>
      <x:c r="AY185" s="12" t="n">
        <x:f>IF(AND(ISNUMBER(Y185),H185&gt;0),Y185*H185,"")</x:f>
        <x:v>61677</x:v>
      </x:c>
      <x:c r="AZ185" t="str">
        <x:v>Høy</x:v>
      </x:c>
    </x:row>
    <x:row r="186" ht="22" customHeight="1">
      <x:c r="A186" t="str">
        <x:v>OT-225fa4da20c4</x:v>
      </x:c>
      <x:c r="B186" t="n">
        <x:v>2015</x:v>
      </x:c>
      <x:c r="C186" t="str">
        <x:v>Forretningsbygg</x:v>
      </x:c>
      <x:c r="D186" t="str">
        <x:v>BUTIKK</x:v>
      </x:c>
      <x:c r="E186" t="str">
        <x:v>F</x:v>
      </x:c>
      <x:c r="F186" t="str">
        <x:v>RED</x:v>
      </x:c>
      <x:c r="G186" t="n">
        <x:v>1967</x:v>
      </x:c>
      <x:c r="H186" t="n">
        <x:v>1657</x:v>
      </x:c>
      <x:c r="I186" t="n">
        <x:v>363.7</x:v>
      </x:c>
      <x:c r="J186" t="str">
        <x:v>PDF/avansert</x:v>
      </x:c>
      <x:c r="K186" t="n">
        <x:v>566</x:v>
      </x:c>
      <x:c r="L186" t="n">
        <x:v>1359</x:v>
      </x:c>
      <x:c r="M186" t="n">
        <x:v>1359</x:v>
      </x:c>
      <x:c r="N186" t="n">
        <x:v>268</x:v>
      </x:c>
      <x:c r="O186" t="n">
        <x:v>0.62</x:v>
      </x:c>
      <x:c r="P186" t="n">
        <x:v>0.5</x:v>
      </x:c>
      <x:c r="Q186" t="n">
        <x:v>0.12</x:v>
      </x:c>
      <x:c r="R186" t="n">
        <x:v>2.27</x:v>
      </x:c>
      <x:c r="S186" t="n">
        <x:v>71</x:v>
      </x:c>
      <x:c r="T186" t="n">
        <x:v>71</x:v>
      </x:c>
      <x:c r="U186" t="n">
        <x:v>2</x:v>
      </x:c>
      <x:c r="V186" t="n">
        <x:v>0.23</x:v>
      </x:c>
      <x:c r="W186" t="n">
        <x:v>13</x:v>
      </x:c>
      <x:c r="X186" t="n">
        <x:v>81</x:v>
      </x:c>
      <x:c r="Y186" t="n">
        <x:v>148</x:v>
      </x:c>
      <x:c r="Z186" t="n">
        <x:v>30</x:v>
      </x:c>
      <x:c r="AA186" t="n">
        <x:v>21</x:v>
      </x:c>
      <x:c r="AB186" t="n">
        <x:v>22</x:v>
      </x:c>
      <x:c r="AC186" t="n">
        <x:v>8.72</x:v>
      </x:c>
      <x:c r="AD186" t="n">
        <x:v>76.7</x:v>
      </x:c>
      <x:c r="AE186" t="n">
        <x:v>0.12</x:v>
      </x:c>
      <x:c r="AF186" t="n">
        <x:v>12</x:v>
      </x:c>
      <x:c r="AG186" t="n">
        <x:v>12</x:v>
      </x:c>
      <x:c r="AH186" t="n">
        <x:v>24</x:v>
      </x:c>
      <x:c r="AI186" t="n">
        <x:v>15</x:v>
      </x:c>
      <x:c r="AJ186" t="n">
        <x:v>1</x:v>
      </x:c>
      <x:c r="AK186" t="n">
        <x:v>250</x:v>
      </x:c>
      <x:c r="AL186" t="str">
        <x:v>Direkte elektrisk;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1</x:v>
      </x:c>
      <x:c r="AS186" t="n">
        <x:v>1</x:v>
      </x:c>
      <x:c r="AT186" t="n">
        <x:v>0</x:v>
      </x:c>
      <x:c r="AU186" t="str">
        <x:v>energiattester_export_2025-08-14.json | PDF vedlegg side 5-7</x:v>
      </x:c>
      <x:c r="AV186" s="12" t="n">
        <x:f>IF(COUNT(O186,P186,Q186,R186,K186,L186,M186,N186)=8,O186*K186+P186*L186+Q186*M186+R186*N186,"")</x:f>
        <x:v>1801.8600000000001</x:v>
      </x:c>
      <x:c r="AW186" s="12" t="n">
        <x:f>IF(AND(ISNUMBER(AV186),H186&gt;0),AV186/H186,"")</x:f>
        <x:v>1.087423053711527</x:v>
      </x:c>
      <x:c r="AX186" s="12" t="n">
        <x:f>IF(AND(ISNUMBER(AD186),H186&gt;0),AD186*H186*3600,"")</x:f>
        <x:v>457530840.00000006</x:v>
      </x:c>
      <x:c r="AY186" s="12" t="n">
        <x:f>IF(AND(ISNUMBER(Y186),H186&gt;0),Y186*H186,"")</x:f>
        <x:v>245236</x:v>
      </x:c>
      <x:c r="AZ186" t="str">
        <x:v>Høy</x:v>
      </x:c>
    </x:row>
    <x:row r="187" ht="22" customHeight="1">
      <x:c r="A187" t="str">
        <x:v>OT-ed252a347e07</x:v>
      </x:c>
      <x:c r="B187" t="n">
        <x:v>2015</x:v>
      </x:c>
      <x:c r="C187" t="str">
        <x:v>Forretningsbygg</x:v>
      </x:c>
      <x:c r="D187" t="str">
        <x:v>BUTIKK</x:v>
      </x:c>
      <x:c r="E187" t="str">
        <x:v>G</x:v>
      </x:c>
      <x:c r="F187" t="str">
        <x:v>RED</x:v>
      </x:c>
      <x:c r="G187" t="n">
        <x:v>1982</x:v>
      </x:c>
      <x:c r="H187" t="n">
        <x:v>546</x:v>
      </x:c>
      <x:c r="I187" t="n">
        <x:v>454.7</x:v>
      </x:c>
      <x:c r="J187" t="str">
        <x:v>PDF/avansert</x:v>
      </x:c>
      <x:c r="K187" t="n">
        <x:v>210</x:v>
      </x:c>
      <x:c r="L187" t="n">
        <x:v>546</x:v>
      </x:c>
      <x:c r="M187" t="n">
        <x:v>546</x:v>
      </x:c>
      <x:c r="N187" t="n">
        <x:v>181</x:v>
      </x:c>
      <x:c r="O187" t="n">
        <x:v>0.67</x:v>
      </x:c>
      <x:c r="P187" t="n">
        <x:v>0.33</x:v>
      </x:c>
      <x:c r="Q187" t="n">
        <x:v>0.13</x:v>
      </x:c>
      <x:c r="R187" t="n">
        <x:v>1.64</x:v>
      </x:c>
      <x:c r="S187" t="n">
        <x:v>0</x:v>
      </x:c>
      <x:c r="T187" t="n">
        <x:v>0</x:v>
      </x:c>
      <x:c r="U187" t="n">
        <x:v>2</x:v>
      </x:c>
      <x:c r="V187" t="n">
        <x:v>0.23</x:v>
      </x:c>
      <x:c r="W187" t="n">
        <x:v>13</x:v>
      </x:c>
      <x:c r="X187" t="n">
        <x:v>81</x:v>
      </x:c>
      <x:c r="Y187" t="n">
        <x:v>110</x:v>
      </x:c>
      <x:c r="Z187" t="n">
        <x:v>0</x:v>
      </x:c>
      <x:c r="AA187" t="n">
        <x:v>21</x:v>
      </x:c>
      <x:c r="AB187" t="n">
        <x:v>22</x:v>
      </x:c>
      <x:c r="AC187" t="n">
        <x:v>6</x:v>
      </x:c>
      <x:c r="AD187" t="n">
        <x:v>166.5</x:v>
      </x:c>
      <x:c r="AE187" t="n">
        <x:v>0.1</x:v>
      </x:c>
      <x:c r="AF187" t="n">
        <x:v>12</x:v>
      </x:c>
      <x:c r="AG187" t="n">
        <x:v>12</x:v>
      </x:c>
      <x:c r="AH187" t="n">
        <x:v>24</x:v>
      </x:c>
      <x:c r="AI187" t="n">
        <x:v>15</x:v>
      </x:c>
      <x:c r="AJ187" t="n">
        <x:v>1</x:v>
      </x:c>
      <x:c r="AK187" t="n">
        <x:v>250</x:v>
      </x:c>
      <x:c r="AL187" t="str">
        <x:v>Direkte elektrisk;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1</x:v>
      </x:c>
      <x:c r="AS187" t="n">
        <x:v>1</x:v>
      </x:c>
      <x:c r="AT187" t="n">
        <x:v>0</x:v>
      </x:c>
      <x:c r="AU187" t="str">
        <x:v>energiattester_export_2025-08-14.json | PDF vedlegg side 5-7</x:v>
      </x:c>
      <x:c r="AV187" s="12" t="n">
        <x:f>IF(COUNT(O187,P187,Q187,R187,K187,L187,M187,N187)=8,O187*K187+P187*L187+Q187*M187+R187*N187,"")</x:f>
        <x:v>688.7</x:v>
      </x:c>
      <x:c r="AW187" s="12" t="n">
        <x:f>IF(AND(ISNUMBER(AV187),H187&gt;0),AV187/H187,"")</x:f>
        <x:v>1.2613553113553115</x:v>
      </x:c>
      <x:c r="AX187" s="12" t="n">
        <x:f>IF(AND(ISNUMBER(AD187),H187&gt;0),AD187*H187*3600,"")</x:f>
        <x:v>327272400</x:v>
      </x:c>
      <x:c r="AY187" s="12" t="n">
        <x:f>IF(AND(ISNUMBER(Y187),H187&gt;0),Y187*H187,"")</x:f>
        <x:v>60060</x:v>
      </x:c>
      <x:c r="AZ187" t="str">
        <x:v>Høy</x:v>
      </x:c>
    </x:row>
    <x:row r="188" ht="22" customHeight="1">
      <x:c r="A188" t="str">
        <x:v>OT-e910fc3e344e</x:v>
      </x:c>
      <x:c r="B188" t="n">
        <x:v>2015</x:v>
      </x:c>
      <x:c r="C188" t="str">
        <x:v>Forretningsbygg</x:v>
      </x:c>
      <x:c r="D188" t="str">
        <x:v>BUTIKK</x:v>
      </x:c>
      <x:c r="E188" t="str">
        <x:v>B</x:v>
      </x:c>
      <x:c r="F188" t="str">
        <x:v>RED</x:v>
      </x:c>
      <x:c r="G188" t="n">
        <x:v>2011</x:v>
      </x:c>
      <x:c r="H188" t="n">
        <x:v>1339</x:v>
      </x:c>
      <x:c r="I188" t="n">
        <x:v>156.4</x:v>
      </x:c>
      <x:c r="J188" t="str">
        <x:v>PDF/avansert</x:v>
      </x:c>
      <x:c r="K188" t="n">
        <x:v>720</x:v>
      </x:c>
      <x:c r="L188" t="n">
        <x:v>1535</x:v>
      </x:c>
      <x:c r="M188" t="n">
        <x:v>1339</x:v>
      </x:c>
      <x:c r="N188" t="n">
        <x:v>58</x:v>
      </x:c>
      <x:c r="O188" t="n">
        <x:v>0.14</x:v>
      </x:c>
      <x:c r="P188" t="n">
        <x:v>0.16</x:v>
      </x:c>
      <x:c r="Q188" t="n">
        <x:v>0.11</x:v>
      </x:c>
      <x:c r="R188" t="n">
        <x:v>1.31</x:v>
      </x:c>
      <x:c r="S188" t="n">
        <x:v>77</x:v>
      </x:c>
      <x:c r="T188" t="n">
        <x:v>77</x:v>
      </x:c>
      <x:c r="U188" t="n">
        <x:v>1.93</x:v>
      </x:c>
      <x:c r="V188" t="n">
        <x:v>0.3</x:v>
      </x:c>
      <x:c r="W188" t="n">
        <x:v>10.08</x:v>
      </x:c>
      <x:c r="X188" t="n">
        <x:v>81</x:v>
      </x:c>
      <x:c r="Y188" t="n">
        <x:v>107</x:v>
      </x:c>
      <x:c r="Z188" t="n">
        <x:v>74</x:v>
      </x:c>
      <x:c r="AA188" t="n">
        <x:v>21</x:v>
      </x:c>
      <x:c r="AB188" t="n">
        <x:v>22</x:v>
      </x:c>
      <x:c r="AC188" t="n">
        <x:v>1</x:v>
      </x:c>
      <x:c r="AD188" t="n">
        <x:v>77.7</x:v>
      </x:c>
      <x:c r="AE188" t="n">
        <x:v>0.06</x:v>
      </x:c>
      <x:c r="AF188" t="n">
        <x:v>12</x:v>
      </x:c>
      <x:c r="AG188" t="n">
        <x:v>12</x:v>
      </x:c>
      <x:c r="AH188" t="n">
        <x:v>24</x:v>
      </x:c>
      <x:c r="AI188" t="n">
        <x:v>15</x:v>
      </x:c>
      <x:c r="AJ188" t="n">
        <x:v>1</x:v>
      </x:c>
      <x:c r="AK188" t="n">
        <x:v>250</x:v>
      </x:c>
      <x:c r="AL188" t="str">
        <x:v>Direkte elektrisk;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str">
        <x:v>energiattester_export_2025-08-14.json | PDF vedlegg side 5-7</x:v>
      </x:c>
      <x:c r="AV188" s="12" t="n">
        <x:f>IF(COUNT(O188,P188,Q188,R188,K188,L188,M188,N188)=8,O188*K188+P188*L188+Q188*M188+R188*N188,"")</x:f>
        <x:v>569.67</x:v>
      </x:c>
      <x:c r="AW188" s="12" t="n">
        <x:f>IF(AND(ISNUMBER(AV188),H188&gt;0),AV188/H188,"")</x:f>
        <x:v>0.4254443614637789</x:v>
      </x:c>
      <x:c r="AX188" s="12" t="n">
        <x:f>IF(AND(ISNUMBER(AD188),H188&gt;0),AD188*H188*3600,"")</x:f>
        <x:v>374545080</x:v>
      </x:c>
      <x:c r="AY188" s="12" t="n">
        <x:f>IF(AND(ISNUMBER(Y188),H188&gt;0),Y188*H188,"")</x:f>
        <x:v>143273</x:v>
      </x:c>
      <x:c r="AZ188" t="str">
        <x:v>Høy</x:v>
      </x:c>
    </x:row>
    <x:row r="189" ht="22" customHeight="1">
      <x:c r="A189" t="str">
        <x:v>OT-16a2872b93f2</x:v>
      </x:c>
      <x:c r="B189" t="n">
        <x:v>2015</x:v>
      </x:c>
      <x:c r="C189" t="str">
        <x:v>Kontorbygg</x:v>
      </x:c>
      <x:c r="D189" t="str">
        <x:v>KONTORER, MED VENTILASJON OG KJØLEANLEGG</x:v>
      </x:c>
      <x:c r="E189" t="str">
        <x:v>E</x:v>
      </x:c>
      <x:c r="F189" t="str">
        <x:v>RED</x:v>
      </x:c>
      <x:c r="G189" t="n">
        <x:v>1974</x:v>
      </x:c>
      <x:c r="H189" t="n">
        <x:v>3606</x:v>
      </x:c>
      <x:c r="I189" t="n">
        <x:v>217</x:v>
      </x:c>
      <x:c r="J189" t="str">
        <x:v>PDF/avansert</x:v>
      </x:c>
      <x:c r="K189" t="n">
        <x:v>1706</x:v>
      </x:c>
      <x:c r="L189" t="n">
        <x:v>1202</x:v>
      </x:c>
      <x:c r="M189" t="n">
        <x:v>1202</x:v>
      </x:c>
      <x:c r="N189" t="n">
        <x:v>208</x:v>
      </x:c>
      <x:c r="O189" t="n">
        <x:v>0.52</x:v>
      </x:c>
      <x:c r="P189" t="n">
        <x:v>0.2</x:v>
      </x:c>
      <x:c r="Q189" t="n">
        <x:v>0.16</x:v>
      </x:c>
      <x:c r="R189" t="n">
        <x:v>1.61</x:v>
      </x:c>
      <x:c r="S189" t="n">
        <x:v>78</x:v>
      </x:c>
      <x:c r="T189" t="n">
        <x:v>78</x:v>
      </x:c>
      <x:c r="U189" t="n">
        <x:v>2.5</x:v>
      </x:c>
      <x:c r="V189" t="n">
        <x:v>0.33</x:v>
      </x:c>
      <x:c r="W189" t="n">
        <x:v>10</x:v>
      </x:c>
      <x:c r="X189" t="n">
        <x:v>83</x:v>
      </x:c>
      <x:c r="Y189" t="n">
        <x:v>80</x:v>
      </x:c>
      <x:c r="Z189" t="n">
        <x:v>30</x:v>
      </x:c>
      <x:c r="AA189" t="n">
        <x:v>21</x:v>
      </x:c>
      <x:c r="AB189" t="n">
        <x:v>22</x:v>
      </x:c>
      <x:c r="AC189" t="n">
        <x:v>6</x:v>
      </x:c>
      <x:c r="AD189" t="n">
        <x:v>109.1</x:v>
      </x:c>
      <x:c r="AE189" t="n">
        <x:v>0.09</x:v>
      </x:c>
      <x:c r="AF189" t="n">
        <x:v>12</x:v>
      </x:c>
      <x:c r="AG189" t="n">
        <x:v>12</x:v>
      </x:c>
      <x:c r="AH189" t="n">
        <x:v>24</x:v>
      </x:c>
      <x:c r="AI189" t="n">
        <x:v>8</x:v>
      </x:c>
      <x:c r="AJ189" t="n">
        <x:v>11</x:v>
      </x:c>
      <x:c r="AK189" t="n">
        <x:v>250</x:v>
      </x:c>
      <x:c r="AL189" t="str">
        <x:v>Direkte elektrisk; Olje;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1</x:v>
      </x:c>
      <x:c r="AT189" t="n">
        <x:v>1</x:v>
      </x:c>
      <x:c r="AU189" t="str">
        <x:v>energiattester_export_2025-08-14.json | PDF vedlegg side 5-7</x:v>
      </x:c>
      <x:c r="AV189" s="12" t="n">
        <x:f>IF(COUNT(O189,P189,Q189,R189,K189,L189,M189,N189)=8,O189*K189+P189*L189+Q189*M189+R189*N189,"")</x:f>
        <x:v>1654.7199999999998</x:v>
      </x:c>
      <x:c r="AW189" s="12" t="n">
        <x:f>IF(AND(ISNUMBER(AV189),H189&gt;0),AV189/H189,"")</x:f>
        <x:v>0.458879645036051</x:v>
      </x:c>
      <x:c r="AX189" s="12" t="n">
        <x:f>IF(AND(ISNUMBER(AD189),H189&gt;0),AD189*H189*3600,"")</x:f>
        <x:v>1416292560</x:v>
      </x:c>
      <x:c r="AY189" s="12" t="n">
        <x:f>IF(AND(ISNUMBER(Y189),H189&gt;0),Y189*H189,"")</x:f>
        <x:v>288480</x:v>
      </x:c>
      <x:c r="AZ189" t="str">
        <x:v>Høy</x:v>
      </x:c>
    </x:row>
    <x:row r="190" ht="22" customHeight="1">
      <x:c r="A190" t="str">
        <x:v>OT-eeb65a6765a9</x:v>
      </x:c>
      <x:c r="B190" t="n">
        <x:v>2015</x:v>
      </x:c>
      <x:c r="C190" t="str">
        <x:v>Kontorbygg</x:v>
      </x:c>
      <x:c r="D190" t="str">
        <x:v>KONTORER, ENKLE</x:v>
      </x:c>
      <x:c r="E190" t="str">
        <x:v>F</x:v>
      </x:c>
      <x:c r="F190" t="str">
        <x:v>RED</x:v>
      </x:c>
      <x:c r="G190" t="n">
        <x:v>1870</x:v>
      </x:c>
      <x:c r="H190" t="n">
        <x:v>832</x:v>
      </x:c>
      <x:c r="I190" t="n">
        <x:v>231.2</x:v>
      </x:c>
      <x:c r="J190" t="str">
        <x:v>PDF/avansert</x:v>
      </x:c>
      <x:c r="K190" t="n">
        <x:v>488</x:v>
      </x:c>
      <x:c r="L190" t="n">
        <x:v>247</x:v>
      </x:c>
      <x:c r="M190" t="n">
        <x:v>0</x:v>
      </x:c>
      <x:c r="N190" t="n">
        <x:v>142</x:v>
      </x:c>
      <x:c r="O190" t="n">
        <x:v>0.35</x:v>
      </x:c>
      <x:c r="P190" t="n">
        <x:v>0.19</x:v>
      </x:c>
      <x:c r="Q190" t="n">
        <x:v>0</x:v>
      </x:c>
      <x:c r="R190" t="n">
        <x:v>2.3</x:v>
      </x:c>
      <x:c r="S190" t="n">
        <x:v>33</x:v>
      </x:c>
      <x:c r="T190" t="n">
        <x:v>33</x:v>
      </x:c>
      <x:c r="U190" t="n">
        <x:v>0.74</x:v>
      </x:c>
      <x:c r="V190" t="n">
        <x:v>0.11</x:v>
      </x:c>
      <x:c r="W190" t="n">
        <x:v>7.8</x:v>
      </x:c>
      <x:c r="X190" t="n">
        <x:v>98</x:v>
      </x:c>
      <x:c r="Y190" t="n">
        <x:v>89</x:v>
      </x:c>
      <x:c r="Z190" t="n">
        <x:v>9</x:v>
      </x:c>
      <x:c r="AA190" t="n">
        <x:v>21</x:v>
      </x:c>
      <x:c r="AB190" t="n">
        <x:v>22</x:v>
      </x:c>
      <x:c r="AC190" t="n">
        <x:v>1.5</x:v>
      </x:c>
      <x:c r="AD190" t="n">
        <x:v>6.5</x:v>
      </x:c>
      <x:c r="AE190" t="n">
        <x:v>0.12</x:v>
      </x:c>
      <x:c r="AF190" t="n">
        <x:v>12</x:v>
      </x:c>
      <x:c r="AG190" t="n">
        <x:v>12</x:v>
      </x:c>
      <x:c r="AH190" t="n">
        <x:v>24</x:v>
      </x:c>
      <x:c r="AI190" t="n">
        <x:v>8</x:v>
      </x:c>
      <x:c r="AJ190" t="n">
        <x:v>11</x:v>
      </x:c>
      <x:c r="AK190" t="n">
        <x:v>250</x:v>
      </x:c>
      <x:c r="AL190" t="str">
        <x:v>Direkte elektrisk;</x:v>
      </x:c>
      <x:c r="AM190" t="n">
        <x:v>1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str">
        <x:v>energiattester_export_2025-08-14.json | PDF vedlegg side 5-7</x:v>
      </x:c>
      <x:c r="AV190" s="12" t="n">
        <x:f>IF(COUNT(O190,P190,Q190,R190,K190,L190,M190,N190)=8,O190*K190+P190*L190+Q190*M190+R190*N190,"")</x:f>
        <x:v>544.3299999999999</x:v>
      </x:c>
      <x:c r="AW190" s="12" t="n">
        <x:f>IF(AND(ISNUMBER(AV190),H190&gt;0),AV190/H190,"")</x:f>
        <x:v>0.6542427884615384</x:v>
      </x:c>
      <x:c r="AX190" s="12" t="n">
        <x:f>IF(AND(ISNUMBER(AD190),H190&gt;0),AD190*H190*3600,"")</x:f>
        <x:v>19468800</x:v>
      </x:c>
      <x:c r="AY190" s="12" t="n">
        <x:f>IF(AND(ISNUMBER(Y190),H190&gt;0),Y190*H190,"")</x:f>
        <x:v>74048</x:v>
      </x:c>
      <x:c r="AZ190" t="str">
        <x:v>Høy</x:v>
      </x:c>
    </x:row>
    <x:row r="191" ht="22" customHeight="1">
      <x:c r="A191" t="str">
        <x:v>OT-ec0ba208d95d</x:v>
      </x:c>
      <x:c r="B191" t="n">
        <x:v>2015</x:v>
      </x:c>
      <x:c r="C191" t="str">
        <x:v>Forretningsbygg</x:v>
      </x:c>
      <x:c r="D191" t="str">
        <x:v>BUTIKK</x:v>
      </x:c>
      <x:c r="E191" t="str">
        <x:v>F</x:v>
      </x:c>
      <x:c r="F191" t="str">
        <x:v>RED</x:v>
      </x:c>
      <x:c r="G191" t="n">
        <x:v>1870</x:v>
      </x:c>
      <x:c r="H191" t="n">
        <x:v>400</x:v>
      </x:c>
      <x:c r="I191" t="n">
        <x:v>368.7</x:v>
      </x:c>
      <x:c r="J191" t="str">
        <x:v>PDF/avansert</x:v>
      </x:c>
      <x:c r="K191" t="n">
        <x:v>172</x:v>
      </x:c>
      <x:c r="L191" t="n">
        <x:v>33</x:v>
      </x:c>
      <x:c r="M191" t="n">
        <x:v>86</x:v>
      </x:c>
      <x:c r="N191" t="n">
        <x:v>89</x:v>
      </x:c>
      <x:c r="O191" t="n">
        <x:v>0.46</x:v>
      </x:c>
      <x:c r="P191" t="n">
        <x:v>0.3</x:v>
      </x:c>
      <x:c r="Q191" t="n">
        <x:v>0.13</x:v>
      </x:c>
      <x:c r="R191" t="n">
        <x:v>3.99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13</x:v>
      </x:c>
      <x:c r="X191" t="n">
        <x:v>98</x:v>
      </x:c>
      <x:c r="Y191" t="n">
        <x:v>100</x:v>
      </x:c>
      <x:c r="Z191" t="n">
        <x:v>0</x:v>
      </x:c>
      <x:c r="AA191" t="n">
        <x:v>21</x:v>
      </x:c>
      <x:c r="AB191" t="n">
        <x:v>22</x:v>
      </x:c>
      <x:c r="AC191" t="n">
        <x:v>1.5</x:v>
      </x:c>
      <x:c r="AD191" t="n">
        <x:v>41.2</x:v>
      </x:c>
      <x:c r="AE191" t="n">
        <x:v>0.12</x:v>
      </x:c>
      <x:c r="AF191" t="n">
        <x:v>12</x:v>
      </x:c>
      <x:c r="AG191" t="n">
        <x:v>12</x:v>
      </x:c>
      <x:c r="AH191" t="n">
        <x:v>24</x:v>
      </x:c>
      <x:c r="AI191" t="n">
        <x:v>15</x:v>
      </x:c>
      <x:c r="AJ191" t="n">
        <x:v>1</x:v>
      </x:c>
      <x:c r="AK191" t="n">
        <x:v>250</x:v>
      </x:c>
      <x:c r="AL191" t="str">
        <x:v>Direkte elektrisk;</x:v>
      </x:c>
      <x:c r="AM191" t="n">
        <x:v>1</x:v>
      </x:c>
      <x:c r="AN191" t="n">
        <x:v>0</x:v>
      </x:c>
      <x:c r="AO191" t="n">
        <x:v>0</x:v>
      </x:c>
      <x:c r="AP191" t="n">
        <x:v>1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str">
        <x:v>energiattester_export_2025-08-14.json | PDF vedlegg side 5-7</x:v>
      </x:c>
      <x:c r="AV191" s="12" t="n">
        <x:f>IF(COUNT(O191,P191,Q191,R191,K191,L191,M191,N191)=8,O191*K191+P191*L191+Q191*M191+R191*N191,"")</x:f>
        <x:v>455.31000000000006</x:v>
      </x:c>
      <x:c r="AW191" s="12" t="n">
        <x:f>IF(AND(ISNUMBER(AV191),H191&gt;0),AV191/H191,"")</x:f>
        <x:v>1.1382750000000001</x:v>
      </x:c>
      <x:c r="AX191" s="12" t="n">
        <x:f>IF(AND(ISNUMBER(AD191),H191&gt;0),AD191*H191*3600,"")</x:f>
        <x:v>59328000</x:v>
      </x:c>
      <x:c r="AY191" s="12" t="n">
        <x:f>IF(AND(ISNUMBER(Y191),H191&gt;0),Y191*H191,"")</x:f>
        <x:v>40000</x:v>
      </x:c>
      <x:c r="AZ191" t="str">
        <x:v>Høy</x:v>
      </x:c>
    </x:row>
    <x:row r="192" ht="22" customHeight="1">
      <x:c r="A192" t="str">
        <x:v>OT-feaf3350eb0f</x:v>
      </x:c>
      <x:c r="B192" t="n">
        <x:v>2015</x:v>
      </x:c>
      <x:c r="C192" t="str">
        <x:v>Forretningsbygg</x:v>
      </x:c>
      <x:c r="D192" t="str">
        <x:v>Butikk</x:v>
      </x:c>
      <x:c r="E192" t="str">
        <x:v>G</x:v>
      </x:c>
      <x:c r="F192" t="str">
        <x:v>RED</x:v>
      </x:c>
      <x:c r="G192" t="n">
        <x:v>1984</x:v>
      </x:c>
      <x:c r="H192" t="n">
        <x:v>1801</x:v>
      </x:c>
      <x:c r="I192" t="n">
        <x:v>378.79</x:v>
      </x:c>
      <x:c r="J192" t="str">
        <x:v>PDF/avansert</x:v>
      </x:c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 t="str">
        <x:v>energiattester_export_2025-08-14.json | PDF vedlegg side 5-7</x:v>
      </x:c>
      <x:c r="AV192" s="12" t="str">
        <x:f>IF(COUNT(O192,P192,Q192,R192,K192,L192,M192,N192)=8,O192*K192+P192*L192+Q192*M192+R192*N192,"")</x:f>
      </x:c>
      <x:c r="AW192" s="12" t="str">
        <x:f>IF(AND(ISNUMBER(AV192),H192&gt;0),AV192/H192,"")</x:f>
      </x:c>
      <x:c r="AX192" s="12" t="str">
        <x:f>IF(AND(ISNUMBER(AD192),H192&gt;0),AD192*H192*3600,"")</x:f>
      </x:c>
      <x:c r="AY192" s="12" t="str">
        <x:f>IF(AND(ISNUMBER(Y192),H192&gt;0),Y192*H192,"")</x:f>
      </x:c>
      <x:c r="AZ192" t="str">
        <x:v>Mangler data</x:v>
      </x:c>
    </x:row>
    <x:row r="193" ht="22" customHeight="1">
      <x:c r="A193" t="str">
        <x:v>OT-00c5acdd9181</x:v>
      </x:c>
      <x:c r="B193" t="n">
        <x:v>2015</x:v>
      </x:c>
      <x:c r="C193" t="str">
        <x:v>Kontorbygg</x:v>
      </x:c>
      <x:c r="D193" t="str">
        <x:v>Kontorer, enkle</x:v>
      </x:c>
      <x:c r="E193" t="str">
        <x:v>F</x:v>
      </x:c>
      <x:c r="F193" t="str">
        <x:v>RED</x:v>
      </x:c>
      <x:c r="G193" t="n">
        <x:v>1930</x:v>
      </x:c>
      <x:c r="H193" t="n">
        <x:v>273</x:v>
      </x:c>
      <x:c r="I193" t="n">
        <x:v>254.25</x:v>
      </x:c>
      <x:c r="J193" t="str">
        <x:v>PDF/avansert</x:v>
      </x:c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 t="n">
        <x:v>0</x:v>
      </x:c>
      <x:c r="AN193" t="n">
        <x:v>0</x:v>
      </x:c>
      <x:c r="AO193" t="n">
        <x:v>1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str">
        <x:v>energiattester_export_2025-08-14.json | PDF vedlegg side 5-7</x:v>
      </x:c>
      <x:c r="AV193" s="12" t="str">
        <x:f>IF(COUNT(O193,P193,Q193,R193,K193,L193,M193,N193)=8,O193*K193+P193*L193+Q193*M193+R193*N193,"")</x:f>
      </x:c>
      <x:c r="AW193" s="12" t="str">
        <x:f>IF(AND(ISNUMBER(AV193),H193&gt;0),AV193/H193,"")</x:f>
      </x:c>
      <x:c r="AX193" s="12" t="str">
        <x:f>IF(AND(ISNUMBER(AD193),H193&gt;0),AD193*H193*3600,"")</x:f>
      </x:c>
      <x:c r="AY193" s="12" t="str">
        <x:f>IF(AND(ISNUMBER(Y193),H193&gt;0),Y193*H193,"")</x:f>
      </x:c>
      <x:c r="AZ193" t="str">
        <x:v>Mangler data</x:v>
      </x:c>
    </x:row>
    <x:row r="194" ht="22" customHeight="1">
      <x:c r="A194" t="str">
        <x:v>OT-8465117b9158</x:v>
      </x:c>
      <x:c r="B194" t="n">
        <x:v>2015</x:v>
      </x:c>
      <x:c r="C194" t="str">
        <x:v>Forretningsbygg</x:v>
      </x:c>
      <x:c r="D194" t="str">
        <x:v>BUTIKK</x:v>
      </x:c>
      <x:c r="E194" t="str">
        <x:v>D</x:v>
      </x:c>
      <x:c r="F194" t="str">
        <x:v>RED</x:v>
      </x:c>
      <x:c r="G194" t="n">
        <x:v>1986</x:v>
      </x:c>
      <x:c r="H194" t="n">
        <x:v>1430</x:v>
      </x:c>
      <x:c r="I194" t="n">
        <x:v>1</x:v>
      </x:c>
      <x:c r="J194" t="str">
        <x:v>PDF/avansert</x:v>
      </x:c>
      <x:c r="K194" t="n">
        <x:v>403</x:v>
      </x:c>
      <x:c r="L194" t="n">
        <x:v>1430</x:v>
      </x:c>
      <x:c r="M194" t="n">
        <x:v>1430</x:v>
      </x:c>
      <x:c r="N194" t="n">
        <x:v>297</x:v>
      </x:c>
      <x:c r="O194" t="n">
        <x:v>0.35</x:v>
      </x:c>
      <x:c r="P194" t="n">
        <x:v>0.23</x:v>
      </x:c>
      <x:c r="Q194" t="n">
        <x:v>0.12</x:v>
      </x:c>
      <x:c r="R194" t="n">
        <x:v>1.66</x:v>
      </x:c>
      <x:c r="S194" t="n">
        <x:v>60</x:v>
      </x:c>
      <x:c r="T194" t="n">
        <x:v>60</x:v>
      </x:c>
      <x:c r="U194" t="n">
        <x:v>1</x:v>
      </x:c>
      <x:c r="V194" t="n">
        <x:v>0.15</x:v>
      </x:c>
      <x:c r="W194" t="n">
        <x:v>13</x:v>
      </x:c>
      <x:c r="X194" t="n">
        <x:v>89</x:v>
      </x:c>
      <x:c r="Y194" t="n">
        <x:v>80</x:v>
      </x:c>
      <x:c r="Z194" t="n">
        <x:v>0</x:v>
      </x:c>
      <x:c r="AA194" t="n">
        <x:v>21</x:v>
      </x:c>
      <x:c r="AB194" t="n">
        <x:v>22</x:v>
      </x:c>
      <x:c r="AC194" t="n">
        <x:v>3.5</x:v>
      </x:c>
      <x:c r="AD194" t="n">
        <x:v>70.1</x:v>
      </x:c>
      <x:c r="AE194" t="n">
        <x:v>0.12</x:v>
      </x:c>
      <x:c r="AF194" t="n">
        <x:v>12</x:v>
      </x:c>
      <x:c r="AG194" t="n">
        <x:v>12</x:v>
      </x:c>
      <x:c r="AH194" t="n">
        <x:v>24</x:v>
      </x:c>
      <x:c r="AI194" t="n">
        <x:v>15</x:v>
      </x:c>
      <x:c r="AJ194" t="n">
        <x:v>1</x:v>
      </x:c>
      <x:c r="AK194" t="n">
        <x:v>250</x:v>
      </x:c>
      <x:c r="AL194" t="str">
        <x:v>Direkte elektrisk;</x:v>
      </x:c>
      <x:c r="AM194" t="n">
        <x:v>0</x:v>
      </x:c>
      <x:c r="AN194" t="n">
        <x:v>1</x:v>
      </x:c>
      <x:c r="AO194" t="n">
        <x:v>0</x:v>
      </x:c>
      <x:c r="AP194" t="n">
        <x:v>0</x:v>
      </x:c>
      <x:c r="AQ194" t="n">
        <x:v>1</x:v>
      </x:c>
      <x:c r="AR194" t="n">
        <x:v>1</x:v>
      </x:c>
      <x:c r="AS194" t="n">
        <x:v>1</x:v>
      </x:c>
      <x:c r="AT194" t="n">
        <x:v>1</x:v>
      </x:c>
      <x:c r="AU194" t="str">
        <x:v>energiattester_export_2025-08-14.json | PDF vedlegg side 5-7</x:v>
      </x:c>
      <x:c r="AV194" s="12" t="n">
        <x:f>IF(COUNT(O194,P194,Q194,R194,K194,L194,M194,N194)=8,O194*K194+P194*L194+Q194*M194+R194*N194,"")</x:f>
        <x:v>1134.5700000000002</x:v>
      </x:c>
      <x:c r="AW194" s="12" t="n">
        <x:f>IF(AND(ISNUMBER(AV194),H194&gt;0),AV194/H194,"")</x:f>
        <x:v>0.7934055944055945</x:v>
      </x:c>
      <x:c r="AX194" s="12" t="n">
        <x:f>IF(AND(ISNUMBER(AD194),H194&gt;0),AD194*H194*3600,"")</x:f>
        <x:v>360874799.99999994</x:v>
      </x:c>
      <x:c r="AY194" s="12" t="n">
        <x:f>IF(AND(ISNUMBER(Y194),H194&gt;0),Y194*H194,"")</x:f>
        <x:v>114400</x:v>
      </x:c>
      <x:c r="AZ194" t="str">
        <x:v>Høy</x:v>
      </x:c>
    </x:row>
    <x:row r="195" ht="22" customHeight="1">
      <x:c r="A195" t="str">
        <x:v>OT-2b90d6bf5c8c</x:v>
      </x:c>
      <x:c r="B195" t="n">
        <x:v>2015</x:v>
      </x:c>
      <x:c r="C195" t="str">
        <x:v>Forretningsbygg</x:v>
      </x:c>
      <x:c r="D195" t="str">
        <x:v>BUTIKK</x:v>
      </x:c>
      <x:c r="E195" t="str">
        <x:v>D</x:v>
      </x:c>
      <x:c r="F195" t="str">
        <x:v>RED</x:v>
      </x:c>
      <x:c r="G195" t="n">
        <x:v>1986</x:v>
      </x:c>
      <x:c r="H195" t="n">
        <x:v>8350</x:v>
      </x:c>
      <x:c r="I195" t="n">
        <x:v>226.1</x:v>
      </x:c>
      <x:c r="J195" t="str">
        <x:v>PDF/avansert</x:v>
      </x:c>
      <x:c r="K195" t="n">
        <x:v>2557</x:v>
      </x:c>
      <x:c r="L195" t="n">
        <x:v>2750</x:v>
      </x:c>
      <x:c r="M195" t="n">
        <x:v>2700</x:v>
      </x:c>
      <x:c r="N195" t="n">
        <x:v>461</x:v>
      </x:c>
      <x:c r="O195" t="n">
        <x:v>0.44</x:v>
      </x:c>
      <x:c r="P195" t="n">
        <x:v>0.2</x:v>
      </x:c>
      <x:c r="Q195" t="n">
        <x:v>0.08</x:v>
      </x:c>
      <x:c r="R195" t="n">
        <x:v>1.96</x:v>
      </x:c>
      <x:c r="S195" t="n">
        <x:v>50</x:v>
      </x:c>
      <x:c r="T195" t="n">
        <x:v>50</x:v>
      </x:c>
      <x:c r="U195" t="n">
        <x:v>3.72</x:v>
      </x:c>
      <x:c r="V195" t="n">
        <x:v>0.34</x:v>
      </x:c>
      <x:c r="W195" t="n">
        <x:v>8.94</x:v>
      </x:c>
      <x:c r="X195" t="n">
        <x:v>90</x:v>
      </x:c>
      <x:c r="Y195" t="n">
        <x:v>66</x:v>
      </x:c>
      <x:c r="Z195" t="n">
        <x:v>24</x:v>
      </x:c>
      <x:c r="AA195" t="n">
        <x:v>21</x:v>
      </x:c>
      <x:c r="AB195" t="n">
        <x:v>22</x:v>
      </x:c>
      <x:c r="AC195" t="n">
        <x:v>2.5</x:v>
      </x:c>
      <x:c r="AD195" t="n">
        <x:v>87.1</x:v>
      </x:c>
      <x:c r="AE195" t="n">
        <x:v>0.08</x:v>
      </x:c>
      <x:c r="AF195" t="n">
        <x:v>12</x:v>
      </x:c>
      <x:c r="AG195" t="n">
        <x:v>12</x:v>
      </x:c>
      <x:c r="AH195" t="n">
        <x:v>24</x:v>
      </x:c>
      <x:c r="AI195" t="n">
        <x:v>15</x:v>
      </x:c>
      <x:c r="AJ195" t="n">
        <x:v>1</x:v>
      </x:c>
      <x:c r="AK195" t="n">
        <x:v>250</x:v>
      </x:c>
      <x:c r="AL195" t="str">
        <x:v>Direkte elektrisk;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str">
        <x:v>energiattester_export_2025-08-14.json | PDF vedlegg side 5-7</x:v>
      </x:c>
      <x:c r="AV195" s="12" t="n">
        <x:f>IF(COUNT(O195,P195,Q195,R195,K195,L195,M195,N195)=8,O195*K195+P195*L195+Q195*M195+R195*N195,"")</x:f>
        <x:v>2794.64</x:v>
      </x:c>
      <x:c r="AW195" s="12" t="n">
        <x:f>IF(AND(ISNUMBER(AV195),H195&gt;0),AV195/H195,"")</x:f>
        <x:v>0.33468742514970057</x:v>
      </x:c>
      <x:c r="AX195" s="12" t="n">
        <x:f>IF(AND(ISNUMBER(AD195),H195&gt;0),AD195*H195*3600,"")</x:f>
        <x:v>2618226000</x:v>
      </x:c>
      <x:c r="AY195" s="12" t="n">
        <x:f>IF(AND(ISNUMBER(Y195),H195&gt;0),Y195*H195,"")</x:f>
        <x:v>551100</x:v>
      </x:c>
      <x:c r="AZ195" t="str">
        <x:v>Høy</x:v>
      </x:c>
    </x:row>
    <x:row r="196" ht="22" customHeight="1">
      <x:c r="A196" t="str">
        <x:v>OT-ecee923447c7</x:v>
      </x:c>
      <x:c r="B196" t="n">
        <x:v>2015</x:v>
      </x:c>
      <x:c r="C196" t="str">
        <x:v>Kontorbygg</x:v>
      </x:c>
      <x:c r="D196" t="str">
        <x:v>KONTORER, MED VENTILASJON OG KJØLEANLEGG</x:v>
      </x:c>
      <x:c r="E196" t="str">
        <x:v>E</x:v>
      </x:c>
      <x:c r="F196" t="str">
        <x:v>RED</x:v>
      </x:c>
      <x:c r="G196" t="n">
        <x:v>1979</x:v>
      </x:c>
      <x:c r="H196" t="n">
        <x:v>5095</x:v>
      </x:c>
      <x:c r="I196" t="n">
        <x:v>204.9</x:v>
      </x:c>
      <x:c r="J196" t="str">
        <x:v>PDF/avansert</x:v>
      </x:c>
      <x:c r="K196" t="n">
        <x:v>2021</x:v>
      </x:c>
      <x:c r="L196" t="n">
        <x:v>1657</x:v>
      </x:c>
      <x:c r="M196" t="n">
        <x:v>1664</x:v>
      </x:c>
      <x:c r="N196" t="n">
        <x:v>542</x:v>
      </x:c>
      <x:c r="O196" t="n">
        <x:v>0.44</x:v>
      </x:c>
      <x:c r="P196" t="n">
        <x:v>0.46</x:v>
      </x:c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 t="n">
        <x:v>1</x:v>
      </x:c>
      <x:c r="AN196" t="n">
        <x:v>0</x:v>
      </x:c>
      <x:c r="AO196" t="n">
        <x:v>1</x:v>
      </x:c>
      <x:c r="AP196" t="n">
        <x:v>0</x:v>
      </x:c>
      <x:c r="AQ196" t="n">
        <x:v>1</x:v>
      </x:c>
      <x:c r="AR196" t="n">
        <x:v>1</x:v>
      </x:c>
      <x:c r="AS196" t="n">
        <x:v>1</x:v>
      </x:c>
      <x:c r="AT196" t="n">
        <x:v>1</x:v>
      </x:c>
      <x:c r="AU196" t="str">
        <x:v>energiattester_export_2025-08-14.json | PDF vedlegg side 5-7</x:v>
      </x:c>
      <x:c r="AV196" s="12" t="str">
        <x:f>IF(COUNT(O196,P196,Q196,R196,K196,L196,M196,N196)=8,O196*K196+P196*L196+Q196*M196+R196*N196,"")</x:f>
      </x:c>
      <x:c r="AW196" s="12" t="str">
        <x:f>IF(AND(ISNUMBER(AV196),H196&gt;0),AV196/H196,"")</x:f>
      </x:c>
      <x:c r="AX196" s="12" t="str">
        <x:f>IF(AND(ISNUMBER(AD196),H196&gt;0),AD196*H196*3600,"")</x:f>
      </x:c>
      <x:c r="AY196" s="12" t="str">
        <x:f>IF(AND(ISNUMBER(Y196),H196&gt;0),Y196*H196,"")</x:f>
      </x:c>
      <x:c r="AZ196" t="str">
        <x:v>Mangler data</x:v>
      </x:c>
    </x:row>
    <x:row r="197" ht="22" customHeight="1">
      <x:c r="A197" t="str">
        <x:v>OT-95d6ec43d88d</x:v>
      </x:c>
      <x:c r="B197" t="n">
        <x:v>2015</x:v>
      </x:c>
      <x:c r="C197" t="str">
        <x:v>Kontorbygg</x:v>
      </x:c>
      <x:c r="D197" t="str">
        <x:v>KONTORER, ENKLE</x:v>
      </x:c>
      <x:c r="E197" t="str">
        <x:v>G</x:v>
      </x:c>
      <x:c r="F197" t="str">
        <x:v>RED</x:v>
      </x:c>
      <x:c r="G197" t="n">
        <x:v>1983</x:v>
      </x:c>
      <x:c r="H197" t="n">
        <x:v>2372</x:v>
      </x:c>
      <x:c r="I197" t="n">
        <x:v>314.8</x:v>
      </x:c>
      <x:c r="J197" t="str">
        <x:v>PDF/avansert</x:v>
      </x:c>
      <x:c r="K197" t="n">
        <x:v>1058</x:v>
      </x:c>
      <x:c r="L197" t="n">
        <x:v>1186</x:v>
      </x:c>
      <x:c r="M197" t="n">
        <x:v>841</x:v>
      </x:c>
      <x:c r="N197" t="n">
        <x:v>373</x:v>
      </x:c>
      <x:c r="O197" t="n">
        <x:v>0.93</x:v>
      </x:c>
      <x:c r="P197" t="n">
        <x:v>0.5</x:v>
      </x:c>
      <x:c r="Q197" t="n">
        <x:v>0.16</x:v>
      </x:c>
      <x:c r="R197" t="n">
        <x:v>3.05</x:v>
      </x:c>
      <x:c r="S197" t="n">
        <x:v>70</x:v>
      </x:c>
      <x:c r="T197" t="n">
        <x:v>70</x:v>
      </x:c>
      <x:c r="U197" t="n">
        <x:v>3</x:v>
      </x:c>
      <x:c r="V197" t="n">
        <x:v>0.43</x:v>
      </x:c>
      <x:c r="W197" t="n">
        <x:v>7</x:v>
      </x:c>
      <x:c r="X197" t="n">
        <x:v>81</x:v>
      </x:c>
      <x:c r="Y197" t="n">
        <x:v>66</x:v>
      </x:c>
      <x:c r="Z197" t="n">
        <x:v>6</x:v>
      </x:c>
      <x:c r="AA197" t="n">
        <x:v>21</x:v>
      </x:c>
      <x:c r="AB197" t="n">
        <x:v>22</x:v>
      </x:c>
      <x:c r="AC197" t="n">
        <x:v>7</x:v>
      </x:c>
      <x:c r="AD197" t="n">
        <x:v>70.9</x:v>
      </x:c>
      <x:c r="AE197" t="n">
        <x:v>0.12</x:v>
      </x:c>
      <x:c r="AF197" t="n">
        <x:v>12</x:v>
      </x:c>
      <x:c r="AG197" t="n">
        <x:v>12</x:v>
      </x:c>
      <x:c r="AH197" t="n">
        <x:v>24</x:v>
      </x:c>
      <x:c r="AI197" t="n">
        <x:v>8</x:v>
      </x:c>
      <x:c r="AJ197" t="n">
        <x:v>11</x:v>
      </x:c>
      <x:c r="AK197" t="n">
        <x:v>250</x:v>
      </x:c>
      <x:c r="AL197" t="str">
        <x:v>Direkte elektrisk;</x:v>
      </x:c>
      <x:c r="AM197"/>
      <x:c r="AN197"/>
      <x:c r="AO197"/>
      <x:c r="AP197"/>
      <x:c r="AQ197"/>
      <x:c r="AR197"/>
      <x:c r="AS197"/>
      <x:c r="AT197"/>
      <x:c r="AU197" t="str">
        <x:v>energiattester_export_2025-08-14.json | PDF vedlegg side 5-7</x:v>
      </x:c>
      <x:c r="AV197" s="12" t="n">
        <x:f>IF(COUNT(O197,P197,Q197,R197,K197,L197,M197,N197)=8,O197*K197+P197*L197+Q197*M197+R197*N197,"")</x:f>
        <x:v>2849.1499999999996</x:v>
      </x:c>
      <x:c r="AW197" s="12" t="n">
        <x:f>IF(AND(ISNUMBER(AV197),H197&gt;0),AV197/H197,"")</x:f>
        <x:v>1.2011593591905563</x:v>
      </x:c>
      <x:c r="AX197" s="12" t="n">
        <x:f>IF(AND(ISNUMBER(AD197),H197&gt;0),AD197*H197*3600,"")</x:f>
        <x:v>605429280.0000001</x:v>
      </x:c>
      <x:c r="AY197" s="12" t="n">
        <x:f>IF(AND(ISNUMBER(Y197),H197&gt;0),Y197*H197,"")</x:f>
        <x:v>156552</x:v>
      </x:c>
      <x:c r="AZ197" t="str">
        <x:v>Høy</x:v>
      </x:c>
    </x:row>
    <x:row r="198" ht="22" customHeight="1">
      <x:c r="A198" t="str">
        <x:v>OT-16293acbfbf5</x:v>
      </x:c>
      <x:c r="B198" t="n">
        <x:v>2015</x:v>
      </x:c>
      <x:c r="C198" t="str">
        <x:v>Forretningsbygg</x:v>
      </x:c>
      <x:c r="D198" t="str">
        <x:v>BUTIKK</x:v>
      </x:c>
      <x:c r="E198" t="str">
        <x:v>G</x:v>
      </x:c>
      <x:c r="F198" t="str">
        <x:v>RED</x:v>
      </x:c>
      <x:c r="G198" t="n">
        <x:v>1983</x:v>
      </x:c>
      <x:c r="H198" t="n">
        <x:v>345</x:v>
      </x:c>
      <x:c r="I198" t="n">
        <x:v>383.7</x:v>
      </x:c>
      <x:c r="J198" t="str">
        <x:v>PDF/avansert</x:v>
      </x:c>
      <x:c r="K198" t="n">
        <x:v>170</x:v>
      </x:c>
      <x:c r="L198" t="n">
        <x:v>0</x:v>
      </x:c>
      <x:c r="M198" t="n">
        <x:v>345</x:v>
      </x:c>
      <x:c r="N198" t="n">
        <x:v>97</x:v>
      </x:c>
      <x:c r="O198" t="n">
        <x:v>0.93</x:v>
      </x:c>
      <x:c r="P198" t="n">
        <x:v>0</x:v>
      </x:c>
      <x:c r="Q198" t="n">
        <x:v>0.19</x:v>
      </x:c>
      <x:c r="R198" t="n">
        <x:v>3.06</x:v>
      </x:c>
      <x:c r="S198" t="n">
        <x:v>70</x:v>
      </x:c>
      <x:c r="T198" t="n">
        <x:v>70</x:v>
      </x:c>
      <x:c r="U198" t="n">
        <x:v>3.5</x:v>
      </x:c>
      <x:c r="V198" t="n">
        <x:v>0.23</x:v>
      </x:c>
      <x:c r="W198" t="n">
        <x:v>13</x:v>
      </x:c>
      <x:c r="X198" t="n">
        <x:v>81</x:v>
      </x:c>
      <x:c r="Y198" t="n">
        <x:v>75</x:v>
      </x:c>
      <x:c r="Z198" t="n">
        <x:v>0</x:v>
      </x:c>
      <x:c r="AA198" t="n">
        <x:v>21</x:v>
      </x:c>
      <x:c r="AB198" t="n">
        <x:v>22</x:v>
      </x:c>
      <x:c r="AC198" t="n">
        <x:v>7</x:v>
      </x:c>
      <x:c r="AD198" t="n">
        <x:v>71.2</x:v>
      </x:c>
      <x:c r="AE198" t="n">
        <x:v>0.12</x:v>
      </x:c>
      <x:c r="AF198" t="n">
        <x:v>12</x:v>
      </x:c>
      <x:c r="AG198" t="n">
        <x:v>12</x:v>
      </x:c>
      <x:c r="AH198" t="n">
        <x:v>24</x:v>
      </x:c>
      <x:c r="AI198" t="n">
        <x:v>15</x:v>
      </x:c>
      <x:c r="AJ198" t="n">
        <x:v>1</x:v>
      </x:c>
      <x:c r="AK198" t="n">
        <x:v>250</x:v>
      </x:c>
      <x:c r="AL198" t="str">
        <x:v>Direkte elektrisk;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1</x:v>
      </x:c>
      <x:c r="AS198" t="n">
        <x:v>1</x:v>
      </x:c>
      <x:c r="AT198" t="n">
        <x:v>1</x:v>
      </x:c>
      <x:c r="AU198" t="str">
        <x:v>energiattester_export_2025-08-14.json | PDF vedlegg side 5-7</x:v>
      </x:c>
      <x:c r="AV198" s="12" t="n">
        <x:f>IF(COUNT(O198,P198,Q198,R198,K198,L198,M198,N198)=8,O198*K198+P198*L198+Q198*M198+R198*N198,"")</x:f>
        <x:v>520.47</x:v>
      </x:c>
      <x:c r="AW198" s="12" t="n">
        <x:f>IF(AND(ISNUMBER(AV198),H198&gt;0),AV198/H198,"")</x:f>
        <x:v>1.508608695652174</x:v>
      </x:c>
      <x:c r="AX198" s="12" t="n">
        <x:f>IF(AND(ISNUMBER(AD198),H198&gt;0),AD198*H198*3600,"")</x:f>
        <x:v>88430400</x:v>
      </x:c>
      <x:c r="AY198" s="12" t="n">
        <x:f>IF(AND(ISNUMBER(Y198),H198&gt;0),Y198*H198,"")</x:f>
        <x:v>25875</x:v>
      </x:c>
      <x:c r="AZ198" t="str">
        <x:v>Høy</x:v>
      </x:c>
    </x:row>
    <x:row r="199" ht="22" customHeight="1">
      <x:c r="A199" t="str">
        <x:v>OT-8eefee4998a9</x:v>
      </x:c>
      <x:c r="B199" t="n">
        <x:v>2015</x:v>
      </x:c>
      <x:c r="C199" t="str">
        <x:v>Forretningsbygg</x:v>
      </x:c>
      <x:c r="D199" t="str">
        <x:v>BUTIKK</x:v>
      </x:c>
      <x:c r="E199" t="str">
        <x:v>G</x:v>
      </x:c>
      <x:c r="F199" t="str">
        <x:v>RED</x:v>
      </x:c>
      <x:c r="G199" t="n">
        <x:v>1982</x:v>
      </x:c>
      <x:c r="H199" t="n">
        <x:v>1665</x:v>
      </x:c>
      <x:c r="I199" t="n">
        <x:v>407.6</x:v>
      </x:c>
      <x:c r="J199" t="str">
        <x:v>PDF/avansert</x:v>
      </x:c>
      <x:c r="K199" t="n">
        <x:v>660</x:v>
      </x:c>
      <x:c r="L199" t="n">
        <x:v>1024</x:v>
      </x:c>
      <x:c r="M199" t="n">
        <x:v>603</x:v>
      </x:c>
      <x:c r="N199" t="n">
        <x:v>274</x:v>
      </x:c>
      <x:c r="O199" t="n">
        <x:v>0.93</x:v>
      </x:c>
      <x:c r="P199" t="n">
        <x:v>0.5</x:v>
      </x:c>
      <x:c r="Q199" t="n">
        <x:v>0.15</x:v>
      </x:c>
      <x:c r="R199" t="n">
        <x:v>2.72</x:v>
      </x:c>
      <x:c r="S199" t="n">
        <x:v>50</x:v>
      </x:c>
      <x:c r="T199" t="n">
        <x:v>50</x:v>
      </x:c>
      <x:c r="U199" t="n">
        <x:v>3</x:v>
      </x:c>
      <x:c r="V199" t="n">
        <x:v>0.23</x:v>
      </x:c>
      <x:c r="W199" t="n">
        <x:v>13</x:v>
      </x:c>
      <x:c r="X199" t="n">
        <x:v>81</x:v>
      </x:c>
      <x:c r="Y199" t="n">
        <x:v>120</x:v>
      </x:c>
      <x:c r="Z199" t="n">
        <x:v>0</x:v>
      </x:c>
      <x:c r="AA199" t="n">
        <x:v>21</x:v>
      </x:c>
      <x:c r="AB199" t="n">
        <x:v>22</x:v>
      </x:c>
      <x:c r="AC199" t="n">
        <x:v>7</x:v>
      </x:c>
      <x:c r="AD199" t="n">
        <x:v>127.3</x:v>
      </x:c>
      <x:c r="AE199" t="n">
        <x:v>0.12</x:v>
      </x:c>
      <x:c r="AF199" t="n">
        <x:v>12</x:v>
      </x:c>
      <x:c r="AG199" t="n">
        <x:v>12</x:v>
      </x:c>
      <x:c r="AH199" t="n">
        <x:v>24</x:v>
      </x:c>
      <x:c r="AI199" t="n">
        <x:v>15</x:v>
      </x:c>
      <x:c r="AJ199" t="n">
        <x:v>1</x:v>
      </x:c>
      <x:c r="AK199" t="n">
        <x:v>250</x:v>
      </x:c>
      <x:c r="AL199" t="str">
        <x:v>Direkte elektrisk;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1</x:v>
      </x:c>
      <x:c r="AS199" t="n">
        <x:v>1</x:v>
      </x:c>
      <x:c r="AT199" t="n">
        <x:v>1</x:v>
      </x:c>
      <x:c r="AU199" t="str">
        <x:v>energiattester_export_2025-08-14.json | PDF vedlegg side 5-7</x:v>
      </x:c>
      <x:c r="AV199" s="12" t="n">
        <x:f>IF(COUNT(O199,P199,Q199,R199,K199,L199,M199,N199)=8,O199*K199+P199*L199+Q199*M199+R199*N199,"")</x:f>
        <x:v>1961.5300000000002</x:v>
      </x:c>
      <x:c r="AW199" s="12" t="n">
        <x:f>IF(AND(ISNUMBER(AV199),H199&gt;0),AV199/H199,"")</x:f>
        <x:v>1.1780960960960962</x:v>
      </x:c>
      <x:c r="AX199" s="12" t="n">
        <x:f>IF(AND(ISNUMBER(AD199),H199&gt;0),AD199*H199*3600,"")</x:f>
        <x:v>763036200</x:v>
      </x:c>
      <x:c r="AY199" s="12" t="n">
        <x:f>IF(AND(ISNUMBER(Y199),H199&gt;0),Y199*H199,"")</x:f>
        <x:v>199800</x:v>
      </x:c>
      <x:c r="AZ199" t="str">
        <x:v>Høy</x:v>
      </x:c>
    </x:row>
    <x:row r="200" ht="22" customHeight="1">
      <x:c r="A200" t="str">
        <x:v>OT-6c4b9077a900</x:v>
      </x:c>
      <x:c r="B200" t="n">
        <x:v>2015</x:v>
      </x:c>
      <x:c r="C200" t="str">
        <x:v>Kontorbygg</x:v>
      </x:c>
      <x:c r="D200" t="str">
        <x:v>KONTORER, ENKLE</x:v>
      </x:c>
      <x:c r="E200" t="str">
        <x:v>G</x:v>
      </x:c>
      <x:c r="F200" t="str">
        <x:v>RED</x:v>
      </x:c>
      <x:c r="G200" t="n">
        <x:v>1987</x:v>
      </x:c>
      <x:c r="H200" t="n">
        <x:v>153</x:v>
      </x:c>
      <x:c r="I200" t="n">
        <x:v>412.9</x:v>
      </x:c>
      <x:c r="J200" t="str">
        <x:v>PDF/avansert</x:v>
      </x:c>
      <x:c r="K200" t="n">
        <x:v>44</x:v>
      </x:c>
      <x:c r="L200" t="n">
        <x:v>153</x:v>
      </x:c>
      <x:c r="M200" t="n">
        <x:v>0</x:v>
      </x:c>
      <x:c r="N200" t="n">
        <x:v>22</x:v>
      </x:c>
      <x:c r="O200" t="n">
        <x:v>2.86</x:v>
      </x:c>
      <x:c r="P200" t="n">
        <x:v>0.5</x:v>
      </x:c>
      <x:c r="Q200" t="n">
        <x:v>0</x:v>
      </x:c>
      <x:c r="R200" t="n">
        <x:v>2.62</x:v>
      </x:c>
      <x:c r="S200" t="n">
        <x:v>78</x:v>
      </x:c>
      <x:c r="T200" t="n">
        <x:v>78</x:v>
      </x:c>
      <x:c r="U200" t="n">
        <x:v>2</x:v>
      </x:c>
      <x:c r="V200" t="n">
        <x:v>0.32</x:v>
      </x:c>
      <x:c r="W200" t="n">
        <x:v>7</x:v>
      </x:c>
      <x:c r="X200" t="n">
        <x:v>92</x:v>
      </x:c>
      <x:c r="Y200" t="n">
        <x:v>240</x:v>
      </x:c>
      <x:c r="Z200" t="n">
        <x:v>0</x:v>
      </x:c>
      <x:c r="AA200" t="n">
        <x:v>21</x:v>
      </x:c>
      <x:c r="AB200" t="n">
        <x:v>22</x:v>
      </x:c>
      <x:c r="AC200" t="n">
        <x:v>6</x:v>
      </x:c>
      <x:c r="AD200" t="n">
        <x:v>178</x:v>
      </x:c>
      <x:c r="AE200" t="n">
        <x:v>0.08</x:v>
      </x:c>
      <x:c r="AF200" t="n">
        <x:v>12</x:v>
      </x:c>
      <x:c r="AG200" t="n">
        <x:v>12</x:v>
      </x:c>
      <x:c r="AH200" t="n">
        <x:v>24</x:v>
      </x:c>
      <x:c r="AI200" t="n">
        <x:v>8</x:v>
      </x:c>
      <x:c r="AJ200" t="n">
        <x:v>11</x:v>
      </x:c>
      <x:c r="AK200" t="n">
        <x:v>250</x:v>
      </x:c>
      <x:c r="AL200" t="str">
        <x:v>Direkte elektrisk;</x:v>
      </x:c>
      <x:c r="AM200"/>
      <x:c r="AN200"/>
      <x:c r="AO200"/>
      <x:c r="AP200"/>
      <x:c r="AQ200"/>
      <x:c r="AR200"/>
      <x:c r="AS200"/>
      <x:c r="AT200"/>
      <x:c r="AU200" t="str">
        <x:v>energiattester_export_2025-08-14.json | PDF vedlegg side 5-7</x:v>
      </x:c>
      <x:c r="AV200" s="12" t="n">
        <x:f>IF(COUNT(O200,P200,Q200,R200,K200,L200,M200,N200)=8,O200*K200+P200*L200+Q200*M200+R200*N200,"")</x:f>
        <x:v>259.97999999999996</x:v>
      </x:c>
      <x:c r="AW200" s="12" t="n">
        <x:f>IF(AND(ISNUMBER(AV200),H200&gt;0),AV200/H200,"")</x:f>
        <x:v>1.6992156862745096</x:v>
      </x:c>
      <x:c r="AX200" s="12" t="n">
        <x:f>IF(AND(ISNUMBER(AD200),H200&gt;0),AD200*H200*3600,"")</x:f>
        <x:v>98042400</x:v>
      </x:c>
      <x:c r="AY200" s="12" t="n">
        <x:f>IF(AND(ISNUMBER(Y200),H200&gt;0),Y200*H200,"")</x:f>
        <x:v>36720</x:v>
      </x:c>
      <x:c r="AZ200" t="str">
        <x:v>Høy</x:v>
      </x:c>
    </x:row>
    <x:row r="201" ht="22" customHeight="1">
      <x:c r="A201" t="str">
        <x:v>OT-71d5bc93d900</x:v>
      </x:c>
      <x:c r="B201" t="n">
        <x:v>2015</x:v>
      </x:c>
      <x:c r="C201" t="str">
        <x:v>Kontorbygg</x:v>
      </x:c>
      <x:c r="D201" t="str">
        <x:v>KONTORER, ENKLE</x:v>
      </x:c>
      <x:c r="E201" t="str">
        <x:v>G</x:v>
      </x:c>
      <x:c r="F201" t="str">
        <x:v>RED</x:v>
      </x:c>
      <x:c r="G201" t="n">
        <x:v>1989</x:v>
      </x:c>
      <x:c r="H201" t="n">
        <x:v>162</x:v>
      </x:c>
      <x:c r="I201" t="n">
        <x:v>556.6</x:v>
      </x:c>
      <x:c r="J201" t="str">
        <x:v>PDF/avansert</x:v>
      </x:c>
      <x:c r="K201" t="n">
        <x:v>65</x:v>
      </x:c>
      <x:c r="L201" t="n">
        <x:v>162</x:v>
      </x:c>
      <x:c r="M201" t="n">
        <x:v>0</x:v>
      </x:c>
      <x:c r="N201" t="n">
        <x:v>23</x:v>
      </x:c>
      <x:c r="O201" t="n">
        <x:v>2.86</x:v>
      </x:c>
      <x:c r="P201" t="n">
        <x:v>0.25</x:v>
      </x:c>
      <x:c r="Q201" t="n">
        <x:v>0</x:v>
      </x:c>
      <x:c r="R201" t="n">
        <x:v>2.7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7</x:v>
      </x:c>
      <x:c r="X201" t="n">
        <x:v>89</x:v>
      </x:c>
      <x:c r="Y201" t="n">
        <x:v>270</x:v>
      </x:c>
      <x:c r="Z201" t="n">
        <x:v>0</x:v>
      </x:c>
      <x:c r="AA201" t="n">
        <x:v>21</x:v>
      </x:c>
      <x:c r="AB201" t="n">
        <x:v>22</x:v>
      </x:c>
      <x:c r="AC201" t="n">
        <x:v>6</x:v>
      </x:c>
      <x:c r="AD201" t="n">
        <x:v>192.4</x:v>
      </x:c>
      <x:c r="AE201" t="n">
        <x:v>0.08</x:v>
      </x:c>
      <x:c r="AF201" t="n">
        <x:v>12</x:v>
      </x:c>
      <x:c r="AG201" t="n">
        <x:v>12</x:v>
      </x:c>
      <x:c r="AH201" t="n">
        <x:v>24</x:v>
      </x:c>
      <x:c r="AI201" t="n">
        <x:v>8</x:v>
      </x:c>
      <x:c r="AJ201" t="n">
        <x:v>11</x:v>
      </x:c>
      <x:c r="AK201" t="n">
        <x:v>250</x:v>
      </x:c>
      <x:c r="AL201" t="str">
        <x:v>Direkte elektrisk;</x:v>
      </x:c>
      <x:c r="AM201"/>
      <x:c r="AN201"/>
      <x:c r="AO201"/>
      <x:c r="AP201"/>
      <x:c r="AQ201"/>
      <x:c r="AR201"/>
      <x:c r="AS201"/>
      <x:c r="AT201"/>
      <x:c r="AU201" t="str">
        <x:v>energiattester_export_2025-08-14.json | PDF vedlegg side 5-7</x:v>
      </x:c>
      <x:c r="AV201" s="12" t="n">
        <x:f>IF(COUNT(O201,P201,Q201,R201,K201,L201,M201,N201)=8,O201*K201+P201*L201+Q201*M201+R201*N201,"")</x:f>
        <x:v>288.5</x:v>
      </x:c>
      <x:c r="AW201" s="12" t="n">
        <x:f>IF(AND(ISNUMBER(AV201),H201&gt;0),AV201/H201,"")</x:f>
        <x:v>1.7808641975308641</x:v>
      </x:c>
      <x:c r="AX201" s="12" t="n">
        <x:f>IF(AND(ISNUMBER(AD201),H201&gt;0),AD201*H201*3600,"")</x:f>
        <x:v>112207680</x:v>
      </x:c>
      <x:c r="AY201" s="12" t="n">
        <x:f>IF(AND(ISNUMBER(Y201),H201&gt;0),Y201*H201,"")</x:f>
        <x:v>43740</x:v>
      </x:c>
      <x:c r="AZ201" t="str">
        <x:v>Høy</x:v>
      </x:c>
    </x:row>
    <x:row r="202" ht="22" customHeight="1">
      <x:c r="A202" t="str">
        <x:v>OT-1ed077747a69</x:v>
      </x:c>
      <x:c r="B202" t="n">
        <x:v>2015</x:v>
      </x:c>
      <x:c r="C202" t="str">
        <x:v>Forretningsbygg</x:v>
      </x:c>
      <x:c r="D202" t="str">
        <x:v>BUTIKK</x:v>
      </x:c>
      <x:c r="E202" t="str">
        <x:v>F</x:v>
      </x:c>
      <x:c r="F202" t="str">
        <x:v>RED</x:v>
      </x:c>
      <x:c r="G202" t="n">
        <x:v>1998</x:v>
      </x:c>
      <x:c r="H202" t="n">
        <x:v>679</x:v>
      </x:c>
      <x:c r="I202" t="n">
        <x:v>347</x:v>
      </x:c>
      <x:c r="J202" t="str">
        <x:v>PDF/avansert</x:v>
      </x:c>
      <x:c r="K202" t="n">
        <x:v>243</x:v>
      </x:c>
      <x:c r="L202" t="n">
        <x:v>662</x:v>
      </x:c>
      <x:c r="M202" t="n">
        <x:v>679</x:v>
      </x:c>
      <x:c r="N202" t="n">
        <x:v>134</x:v>
      </x:c>
      <x:c r="O202" t="n">
        <x:v>0.28</x:v>
      </x:c>
      <x:c r="P202" t="n">
        <x:v>0.15</x:v>
      </x:c>
      <x:c r="Q202" t="n">
        <x:v>0.09</x:v>
      </x:c>
      <x:c r="R202" t="n">
        <x:v>1.8</x:v>
      </x:c>
      <x:c r="S202" t="n">
        <x:v>0</x:v>
      </x:c>
      <x:c r="T202" t="n">
        <x:v>0</x:v>
      </x:c>
      <x:c r="U202" t="n">
        <x:v>2</x:v>
      </x:c>
      <x:c r="V202" t="n">
        <x:v>0.23</x:v>
      </x:c>
      <x:c r="W202" t="n">
        <x:v>13</x:v>
      </x:c>
      <x:c r="X202" t="n">
        <x:v>81</x:v>
      </x:c>
      <x:c r="Y202" t="n">
        <x:v>50</x:v>
      </x:c>
      <x:c r="Z202" t="n">
        <x:v>20</x:v>
      </x:c>
      <x:c r="AA202" t="n">
        <x:v>21</x:v>
      </x:c>
      <x:c r="AB202" t="n">
        <x:v>22</x:v>
      </x:c>
      <x:c r="AC202" t="n">
        <x:v>3.5</x:v>
      </x:c>
      <x:c r="AD202" t="n">
        <x:v>137.5</x:v>
      </x:c>
      <x:c r="AE202" t="n">
        <x:v>0.09</x:v>
      </x:c>
      <x:c r="AF202" t="n">
        <x:v>12</x:v>
      </x:c>
      <x:c r="AG202" t="n">
        <x:v>12</x:v>
      </x:c>
      <x:c r="AH202" t="n">
        <x:v>24</x:v>
      </x:c>
      <x:c r="AI202" t="n">
        <x:v>15</x:v>
      </x:c>
      <x:c r="AJ202" t="n">
        <x:v>1</x:v>
      </x:c>
      <x:c r="AK202" t="n">
        <x:v>250</x:v>
      </x:c>
      <x:c r="AL202" t="str">
        <x:v>Direkte elektrisk;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str">
        <x:v>energiattester_export_2025-08-14.json | PDF vedlegg side 5-7</x:v>
      </x:c>
      <x:c r="AV202" s="12" t="n">
        <x:f>IF(COUNT(O202,P202,Q202,R202,K202,L202,M202,N202)=8,O202*K202+P202*L202+Q202*M202+R202*N202,"")</x:f>
        <x:v>469.65</x:v>
      </x:c>
      <x:c r="AW202" s="12" t="n">
        <x:f>IF(AND(ISNUMBER(AV202),H202&gt;0),AV202/H202,"")</x:f>
        <x:v>0.6916789396170839</x:v>
      </x:c>
      <x:c r="AX202" s="12" t="n">
        <x:f>IF(AND(ISNUMBER(AD202),H202&gt;0),AD202*H202*3600,"")</x:f>
        <x:v>336105000</x:v>
      </x:c>
      <x:c r="AY202" s="12" t="n">
        <x:f>IF(AND(ISNUMBER(Y202),H202&gt;0),Y202*H202,"")</x:f>
        <x:v>33950</x:v>
      </x:c>
      <x:c r="AZ202" t="str">
        <x:v>Høy</x:v>
      </x:c>
    </x:row>
    <x:row r="203" ht="22" customHeight="1">
      <x:c r="A203" t="str">
        <x:v>OT-7c95eedac1c0</x:v>
      </x:c>
      <x:c r="B203" t="n">
        <x:v>2015</x:v>
      </x:c>
      <x:c r="C203" t="str">
        <x:v>Forretningsbygg</x:v>
      </x:c>
      <x:c r="D203" t="str">
        <x:v>BUTIKK</x:v>
      </x:c>
      <x:c r="E203" t="str">
        <x:v>F</x:v>
      </x:c>
      <x:c r="F203" t="str">
        <x:v>RED</x:v>
      </x:c>
      <x:c r="G203" t="n">
        <x:v>1998</x:v>
      </x:c>
      <x:c r="H203" t="n">
        <x:v>2306</x:v>
      </x:c>
      <x:c r="I203" t="n">
        <x:v>359.6</x:v>
      </x:c>
      <x:c r="J203" t="str">
        <x:v>PDF/avansert</x:v>
      </x:c>
      <x:c r="K203" t="n">
        <x:v>646</x:v>
      </x:c>
      <x:c r="L203" t="n">
        <x:v>1873</x:v>
      </x:c>
      <x:c r="M203" t="n">
        <x:v>1908</x:v>
      </x:c>
      <x:c r="N203" t="n">
        <x:v>523</x:v>
      </x:c>
      <x:c r="O203" t="n">
        <x:v>0.28</x:v>
      </x:c>
      <x:c r="P203" t="n">
        <x:v>0.19</x:v>
      </x:c>
      <x:c r="Q203" t="n">
        <x:v>0.2</x:v>
      </x:c>
      <x:c r="R203" t="n">
        <x:v>2.28</x:v>
      </x:c>
      <x:c r="S203" t="n">
        <x:v>35</x:v>
      </x:c>
      <x:c r="T203" t="n">
        <x:v>35</x:v>
      </x:c>
      <x:c r="U203" t="n">
        <x:v>2.75</x:v>
      </x:c>
      <x:c r="V203" t="n">
        <x:v>0.27</x:v>
      </x:c>
      <x:c r="W203" t="n">
        <x:v>13</x:v>
      </x:c>
      <x:c r="X203" t="n">
        <x:v>89</x:v>
      </x:c>
      <x:c r="Y203" t="n">
        <x:v>355</x:v>
      </x:c>
      <x:c r="Z203" t="n">
        <x:v>150</x:v>
      </x:c>
      <x:c r="AA203" t="n">
        <x:v>21</x:v>
      </x:c>
      <x:c r="AB203" t="n">
        <x:v>22</x:v>
      </x:c>
      <x:c r="AC203" t="n">
        <x:v>3.5</x:v>
      </x:c>
      <x:c r="AD203" t="n">
        <x:v>69.4</x:v>
      </x:c>
      <x:c r="AE203" t="n">
        <x:v>0.09</x:v>
      </x:c>
      <x:c r="AF203" t="n">
        <x:v>12</x:v>
      </x:c>
      <x:c r="AG203" t="n">
        <x:v>12</x:v>
      </x:c>
      <x:c r="AH203" t="n">
        <x:v>24</x:v>
      </x:c>
      <x:c r="AI203" t="n">
        <x:v>15</x:v>
      </x:c>
      <x:c r="AJ203" t="n">
        <x:v>1</x:v>
      </x:c>
      <x:c r="AK203" t="n">
        <x:v>250</x:v>
      </x:c>
      <x:c r="AL203" t="str">
        <x:v>Direkte elektrisk;</x:v>
      </x:c>
      <x:c r="AM203" t="n">
        <x:v>1</x:v>
      </x:c>
      <x:c r="AN203" t="n">
        <x:v>0</x:v>
      </x:c>
      <x:c r="AO203" t="n">
        <x:v>0</x:v>
      </x:c>
      <x:c r="AP203" t="n">
        <x:v>0</x:v>
      </x:c>
      <x:c r="AQ203" t="n">
        <x:v>1</x:v>
      </x:c>
      <x:c r="AR203" t="n">
        <x:v>1</x:v>
      </x:c>
      <x:c r="AS203" t="n">
        <x:v>1</x:v>
      </x:c>
      <x:c r="AT203" t="n">
        <x:v>1</x:v>
      </x:c>
      <x:c r="AU203" t="str">
        <x:v>energiattester_export_2025-08-14.json | PDF vedlegg side 5-7</x:v>
      </x:c>
      <x:c r="AV203" s="12" t="n">
        <x:f>IF(COUNT(O203,P203,Q203,R203,K203,L203,M203,N203)=8,O203*K203+P203*L203+Q203*M203+R203*N203,"")</x:f>
        <x:v>2110.79</x:v>
      </x:c>
      <x:c r="AW203" s="12" t="n">
        <x:f>IF(AND(ISNUMBER(AV203),H203&gt;0),AV203/H203,"")</x:f>
        <x:v>0.9153469210754553</x:v>
      </x:c>
      <x:c r="AX203" s="12" t="n">
        <x:f>IF(AND(ISNUMBER(AD203),H203&gt;0),AD203*H203*3600,"")</x:f>
        <x:v>576131040.0000001</x:v>
      </x:c>
      <x:c r="AY203" s="12" t="n">
        <x:f>IF(AND(ISNUMBER(Y203),H203&gt;0),Y203*H203,"")</x:f>
        <x:v>818630</x:v>
      </x:c>
      <x:c r="AZ203" t="str">
        <x:v>Høy</x:v>
      </x:c>
    </x:row>
    <x:row r="204" ht="22" customHeight="1">
      <x:c r="A204" t="str">
        <x:v>OT-faae5e94ea84</x:v>
      </x:c>
      <x:c r="B204" t="n">
        <x:v>2015</x:v>
      </x:c>
      <x:c r="C204" t="str">
        <x:v>Kontorbygg</x:v>
      </x:c>
      <x:c r="D204" t="str">
        <x:v>ANNET KONTORBYGG</x:v>
      </x:c>
      <x:c r="E204" t="str">
        <x:v>F</x:v>
      </x:c>
      <x:c r="F204" t="str">
        <x:v>RED</x:v>
      </x:c>
      <x:c r="G204" t="n">
        <x:v>1957</x:v>
      </x:c>
      <x:c r="H204" t="n">
        <x:v>4153</x:v>
      </x:c>
      <x:c r="I204" t="n">
        <x:v>239.3</x:v>
      </x:c>
      <x:c r="J204" t="str">
        <x:v>PDF/avansert</x:v>
      </x:c>
      <x:c r="K204" t="n">
        <x:v>1905</x:v>
      </x:c>
      <x:c r="L204" t="n">
        <x:v>366</x:v>
      </x:c>
      <x:c r="M204" t="n">
        <x:v>1790</x:v>
      </x:c>
      <x:c r="N204" t="n">
        <x:v>702</x:v>
      </x:c>
      <x:c r="O204" t="n">
        <x:v>0.72</x:v>
      </x:c>
      <x:c r="P204" t="n">
        <x:v>0.84</x:v>
      </x:c>
      <x:c r="Q204" t="n">
        <x:v>0.32</x:v>
      </x:c>
      <x:c r="R204" t="n">
        <x:v>1.75</x:v>
      </x:c>
      <x:c r="S204" t="n">
        <x:v>80</x:v>
      </x:c>
      <x:c r="T204" t="n">
        <x:v>80</x:v>
      </x:c>
      <x:c r="U204" t="n">
        <x:v>4</x:v>
      </x:c>
      <x:c r="V204" t="n">
        <x:v>1.2</x:v>
      </x:c>
      <x:c r="W204" t="n">
        <x:v>10</x:v>
      </x:c>
      <x:c r="X204" t="n">
        <x:v>80</x:v>
      </x:c>
      <x:c r="Y204" t="n">
        <x:v>80</x:v>
      </x:c>
      <x:c r="Z204" t="n">
        <x:v>0</x:v>
      </x:c>
      <x:c r="AA204" t="n">
        <x:v>21</x:v>
      </x:c>
      <x:c r="AB204" t="n">
        <x:v>22</x:v>
      </x:c>
      <x:c r="AC204" t="n">
        <x:v>3.33</x:v>
      </x:c>
      <x:c r="AD204" t="n">
        <x:v>65.6</x:v>
      </x:c>
      <x:c r="AE204" t="n">
        <x:v>0.08</x:v>
      </x:c>
      <x:c r="AF204" t="n">
        <x:v>12</x:v>
      </x:c>
      <x:c r="AG204" t="n">
        <x:v>12</x:v>
      </x:c>
      <x:c r="AH204" t="n">
        <x:v>24</x:v>
      </x:c>
      <x:c r="AI204" t="n">
        <x:v>8</x:v>
      </x:c>
      <x:c r="AJ204" t="n">
        <x:v>11</x:v>
      </x:c>
      <x:c r="AK204" t="n">
        <x:v>250</x:v>
      </x:c>
      <x:c r="AL204" t="str">
        <x:v>Direkte elektrisk; Olje;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1</x:v>
      </x:c>
      <x:c r="AR204" t="n">
        <x:v>1</x:v>
      </x:c>
      <x:c r="AS204" t="n">
        <x:v>1</x:v>
      </x:c>
      <x:c r="AT204" t="n">
        <x:v>0</x:v>
      </x:c>
      <x:c r="AU204" t="str">
        <x:v>energiattester_export_2025-08-14.json | PDF vedlegg side 5-7</x:v>
      </x:c>
      <x:c r="AV204" s="12" t="n">
        <x:f>IF(COUNT(O204,P204,Q204,R204,K204,L204,M204,N204)=8,O204*K204+P204*L204+Q204*M204+R204*N204,"")</x:f>
        <x:v>3480.34</x:v>
      </x:c>
      <x:c r="AW204" s="12" t="n">
        <x:f>IF(AND(ISNUMBER(AV204),H204&gt;0),AV204/H204,"")</x:f>
        <x:v>0.8380303395136046</x:v>
      </x:c>
      <x:c r="AX204" s="12" t="n">
        <x:f>IF(AND(ISNUMBER(AD204),H204&gt;0),AD204*H204*3600,"")</x:f>
        <x:v>980772480</x:v>
      </x:c>
      <x:c r="AY204" s="12" t="n">
        <x:f>IF(AND(ISNUMBER(Y204),H204&gt;0),Y204*H204,"")</x:f>
        <x:v>332240</x:v>
      </x:c>
      <x:c r="AZ204" t="str">
        <x:v>Høy</x:v>
      </x:c>
    </x:row>
    <x:row r="205" ht="22" customHeight="1">
      <x:c r="A205" t="str">
        <x:v>OT-2dd64835fcfb</x:v>
      </x:c>
      <x:c r="B205" t="n">
        <x:v>2015</x:v>
      </x:c>
      <x:c r="C205" t="str">
        <x:v>Kontorbygg</x:v>
      </x:c>
      <x:c r="D205" t="str">
        <x:v>KONTORER, ENKLE</x:v>
      </x:c>
      <x:c r="E205" t="str">
        <x:v>D</x:v>
      </x:c>
      <x:c r="F205" t="str">
        <x:v>ORANGE</x:v>
      </x:c>
      <x:c r="G205" t="n">
        <x:v>2004</x:v>
      </x:c>
      <x:c r="H205" t="n">
        <x:v>1022</x:v>
      </x:c>
      <x:c r="I205" t="n">
        <x:v>168.8</x:v>
      </x:c>
      <x:c r="J205" t="str">
        <x:v>PDF/avansert</x:v>
      </x:c>
      <x:c r="K205" t="n">
        <x:v>310</x:v>
      </x:c>
      <x:c r="L205" t="n">
        <x:v>1022</x:v>
      </x:c>
      <x:c r="M205" t="n">
        <x:v>0</x:v>
      </x:c>
      <x:c r="N205" t="n">
        <x:v>180</x:v>
      </x:c>
      <x:c r="O205" t="n">
        <x:v>0.23</x:v>
      </x:c>
      <x:c r="P205" t="n">
        <x:v>0.17</x:v>
      </x:c>
      <x:c r="Q205" t="n">
        <x:v>0</x:v>
      </x:c>
      <x:c r="R205" t="n">
        <x:v>1.9</x:v>
      </x:c>
      <x:c r="S205" t="n">
        <x:v>70</x:v>
      </x:c>
      <x:c r="T205" t="n">
        <x:v>70</x:v>
      </x:c>
      <x:c r="U205" t="n">
        <x:v>2</x:v>
      </x:c>
      <x:c r="V205" t="n">
        <x:v>0.45</x:v>
      </x:c>
      <x:c r="W205" t="n">
        <x:v>10</x:v>
      </x:c>
      <x:c r="X205" t="n">
        <x:v>146</x:v>
      </x:c>
      <x:c r="Y205" t="n">
        <x:v>80</x:v>
      </x:c>
      <x:c r="Z205" t="n">
        <x:v>30</x:v>
      </x:c>
      <x:c r="AA205" t="n">
        <x:v>21</x:v>
      </x:c>
      <x:c r="AB205" t="n">
        <x:v>22</x:v>
      </x:c>
      <x:c r="AC205" t="n">
        <x:v>3</x:v>
      </x:c>
      <x:c r="AD205" t="n">
        <x:v>97.1</x:v>
      </x:c>
      <x:c r="AE205" t="n">
        <x:v>0.09</x:v>
      </x:c>
      <x:c r="AF205" t="n">
        <x:v>12</x:v>
      </x:c>
      <x:c r="AG205" t="n">
        <x:v>12</x:v>
      </x:c>
      <x:c r="AH205" t="n">
        <x:v>24</x:v>
      </x:c>
      <x:c r="AI205" t="n">
        <x:v>8</x:v>
      </x:c>
      <x:c r="AJ205" t="n">
        <x:v>11</x:v>
      </x:c>
      <x:c r="AK205" t="n">
        <x:v>250</x:v>
      </x:c>
      <x:c r="AL205" t="str">
        <x:v>Direkte elektrisk; Varmepumpe;</x:v>
      </x:c>
      <x:c r="AM205" t="n">
        <x:v>0</x:v>
      </x:c>
      <x:c r="AN205" t="n">
        <x:v>0</x:v>
      </x:c>
      <x:c r="AO205" t="n">
        <x:v>1</x:v>
      </x:c>
      <x:c r="AP205" t="n">
        <x:v>0</x:v>
      </x:c>
      <x:c r="AQ205" t="n">
        <x:v>0</x:v>
      </x:c>
      <x:c r="AR205" t="n">
        <x:v>1</x:v>
      </x:c>
      <x:c r="AS205" t="n">
        <x:v>0</x:v>
      </x:c>
      <x:c r="AT205" t="n">
        <x:v>0</x:v>
      </x:c>
      <x:c r="AU205" t="str">
        <x:v>energiattester_export_2025-08-14.json | PDF vedlegg side 5-7</x:v>
      </x:c>
      <x:c r="AV205" s="12" t="n">
        <x:f>IF(COUNT(O205,P205,Q205,R205,K205,L205,M205,N205)=8,O205*K205+P205*L205+Q205*M205+R205*N205,"")</x:f>
        <x:v>587.04</x:v>
      </x:c>
      <x:c r="AW205" s="12" t="n">
        <x:f>IF(AND(ISNUMBER(AV205),H205&gt;0),AV205/H205,"")</x:f>
        <x:v>0.5744031311154598</x:v>
      </x:c>
      <x:c r="AX205" s="12" t="n">
        <x:f>IF(AND(ISNUMBER(AD205),H205&gt;0),AD205*H205*3600,"")</x:f>
        <x:v>357250320</x:v>
      </x:c>
      <x:c r="AY205" s="12" t="n">
        <x:f>IF(AND(ISNUMBER(Y205),H205&gt;0),Y205*H205,"")</x:f>
        <x:v>81760</x:v>
      </x:c>
      <x:c r="AZ205" t="str">
        <x:v>Høy</x:v>
      </x:c>
    </x:row>
    <x:row r="206" ht="22" customHeight="1">
      <x:c r="A206" t="str">
        <x:v>OT-f539106c4497</x:v>
      </x:c>
      <x:c r="B206" t="n">
        <x:v>2015</x:v>
      </x:c>
      <x:c r="C206" t="str">
        <x:v>Forretningsbygg</x:v>
      </x:c>
      <x:c r="D206" t="str">
        <x:v>BUTIKK</x:v>
      </x:c>
      <x:c r="E206" t="str">
        <x:v>E</x:v>
      </x:c>
      <x:c r="F206" t="str">
        <x:v>RED</x:v>
      </x:c>
      <x:c r="G206" t="n">
        <x:v>1996</x:v>
      </x:c>
      <x:c r="H206" t="n">
        <x:v>1180</x:v>
      </x:c>
      <x:c r="I206" t="n">
        <x:v>279.4</x:v>
      </x:c>
      <x:c r="J206" t="str">
        <x:v>PDF/avansert</x:v>
      </x:c>
      <x:c r="K206" t="n">
        <x:v>544</x:v>
      </x:c>
      <x:c r="L206" t="n">
        <x:v>0</x:v>
      </x:c>
      <x:c r="M206" t="n">
        <x:v>1180</x:v>
      </x:c>
      <x:c r="N206" t="n">
        <x:v>110</x:v>
      </x:c>
      <x:c r="O206" t="n">
        <x:v>0.3</x:v>
      </x:c>
      <x:c r="P206" t="n">
        <x:v>0</x:v>
      </x:c>
      <x:c r="Q206" t="n">
        <x:v>0.11</x:v>
      </x:c>
      <x:c r="R206" t="n">
        <x:v>2.16</x:v>
      </x:c>
      <x:c r="S206" t="n">
        <x:v>70</x:v>
      </x:c>
      <x:c r="T206" t="n">
        <x:v>70</x:v>
      </x:c>
      <x:c r="U206" t="n">
        <x:v>2</x:v>
      </x:c>
      <x:c r="V206" t="n">
        <x:v>0.38</x:v>
      </x:c>
      <x:c r="W206" t="n">
        <x:v>20</x:v>
      </x:c>
      <x:c r="X206" t="n">
        <x:v>81</x:v>
      </x:c>
      <x:c r="Y206" t="n">
        <x:v>80</x:v>
      </x:c>
      <x:c r="Z206" t="n">
        <x:v>30</x:v>
      </x:c>
      <x:c r="AA206" t="n">
        <x:v>21</x:v>
      </x:c>
      <x:c r="AB206" t="n">
        <x:v>22</x:v>
      </x:c>
      <x:c r="AC206" t="n">
        <x:v>2.7</x:v>
      </x:c>
      <x:c r="AD206" t="n">
        <x:v>94.1</x:v>
      </x:c>
      <x:c r="AE206" t="n">
        <x:v>0.11</x:v>
      </x:c>
      <x:c r="AF206" t="n">
        <x:v>12</x:v>
      </x:c>
      <x:c r="AG206" t="n">
        <x:v>12</x:v>
      </x:c>
      <x:c r="AH206" t="n">
        <x:v>24</x:v>
      </x:c>
      <x:c r="AI206" t="n">
        <x:v>15</x:v>
      </x:c>
      <x:c r="AJ206" t="n">
        <x:v>1</x:v>
      </x:c>
      <x:c r="AK206" t="n">
        <x:v>250</x:v>
      </x:c>
      <x:c r="AL206" t="str">
        <x:v>Direkte elektrisk;</x:v>
      </x:c>
      <x:c r="AM206" t="n">
        <x:v>0</x:v>
      </x:c>
      <x:c r="AN206" t="n">
        <x:v>0</x:v>
      </x:c>
      <x:c r="AO206" t="n">
        <x:v>1</x:v>
      </x:c>
      <x:c r="AP206" t="n">
        <x:v>0</x:v>
      </x:c>
      <x:c r="AQ206" t="n">
        <x:v>0</x:v>
      </x:c>
      <x:c r="AR206" t="n">
        <x:v>1</x:v>
      </x:c>
      <x:c r="AS206" t="n">
        <x:v>0</x:v>
      </x:c>
      <x:c r="AT206" t="n">
        <x:v>0</x:v>
      </x:c>
      <x:c r="AU206" t="str">
        <x:v>energiattester_export_2025-08-14.json | PDF vedlegg side 5-7</x:v>
      </x:c>
      <x:c r="AV206" s="12" t="n">
        <x:f>IF(COUNT(O206,P206,Q206,R206,K206,L206,M206,N206)=8,O206*K206+P206*L206+Q206*M206+R206*N206,"")</x:f>
        <x:v>530.6</x:v>
      </x:c>
      <x:c r="AW206" s="12" t="n">
        <x:f>IF(AND(ISNUMBER(AV206),H206&gt;0),AV206/H206,"")</x:f>
        <x:v>0.44966101694915256</x:v>
      </x:c>
      <x:c r="AX206" s="12" t="n">
        <x:f>IF(AND(ISNUMBER(AD206),H206&gt;0),AD206*H206*3600,"")</x:f>
        <x:v>399736800</x:v>
      </x:c>
      <x:c r="AY206" s="12" t="n">
        <x:f>IF(AND(ISNUMBER(Y206),H206&gt;0),Y206*H206,"")</x:f>
        <x:v>94400</x:v>
      </x:c>
      <x:c r="AZ206" t="str">
        <x:v>Høy</x:v>
      </x:c>
    </x:row>
    <x:row r="207" ht="22" customHeight="1">
      <x:c r="A207" t="str">
        <x:v>OT-f86d01cc6040</x:v>
      </x:c>
      <x:c r="B207" t="n">
        <x:v>2015</x:v>
      </x:c>
      <x:c r="C207" t="str">
        <x:v>Kontorbygg</x:v>
      </x:c>
      <x:c r="D207" t="str">
        <x:v>KONTORER, ENKLE</x:v>
      </x:c>
      <x:c r="E207" t="str">
        <x:v>G</x:v>
      </x:c>
      <x:c r="F207" t="str">
        <x:v>RED</x:v>
      </x:c>
      <x:c r="G207" t="n">
        <x:v>1967</x:v>
      </x:c>
      <x:c r="H207" t="n">
        <x:v>880</x:v>
      </x:c>
      <x:c r="I207" t="n">
        <x:v>329.4</x:v>
      </x:c>
      <x:c r="J207" t="str">
        <x:v>PDF/avansert</x:v>
      </x:c>
      <x:c r="K207" t="n">
        <x:v>275</x:v>
      </x:c>
      <x:c r="L207" t="n">
        <x:v>10</x:v>
      </x:c>
      <x:c r="M207" t="n">
        <x:v>0</x:v>
      </x:c>
      <x:c r="N207" t="n">
        <x:v>213</x:v>
      </x:c>
      <x:c r="O207" t="n">
        <x:v>0.5</x:v>
      </x:c>
      <x:c r="P207" t="n">
        <x:v>0.4</x:v>
      </x:c>
      <x:c r="Q207" t="n">
        <x:v>0</x:v>
      </x:c>
      <x:c r="R207" t="n">
        <x:v>2.95</x:v>
      </x:c>
      <x:c r="S207" t="n">
        <x:v>0</x:v>
      </x:c>
      <x:c r="T207" t="n">
        <x:v>0</x:v>
      </x:c>
      <x:c r="U207" t="n">
        <x:v>2</x:v>
      </x:c>
      <x:c r="V207" t="n">
        <x:v>0.64</x:v>
      </x:c>
      <x:c r="W207" t="n">
        <x:v>7</x:v>
      </x:c>
      <x:c r="X207" t="n">
        <x:v>81</x:v>
      </x:c>
      <x:c r="Y207" t="n">
        <x:v>50</x:v>
      </x:c>
      <x:c r="Z207" t="n">
        <x:v>0</x:v>
      </x:c>
      <x:c r="AA207" t="n">
        <x:v>21</x:v>
      </x:c>
      <x:c r="AB207" t="n">
        <x:v>22</x:v>
      </x:c>
      <x:c r="AC207" t="n">
        <x:v>3</x:v>
      </x:c>
      <x:c r="AD207" t="n">
        <x:v>38.3</x:v>
      </x:c>
      <x:c r="AE207" t="n">
        <x:v>0.12</x:v>
      </x:c>
      <x:c r="AF207" t="n">
        <x:v>12</x:v>
      </x:c>
      <x:c r="AG207" t="n">
        <x:v>12</x:v>
      </x:c>
      <x:c r="AH207" t="n">
        <x:v>24</x:v>
      </x:c>
      <x:c r="AI207" t="n">
        <x:v>8</x:v>
      </x:c>
      <x:c r="AJ207" t="n">
        <x:v>11</x:v>
      </x:c>
      <x:c r="AK207" t="n">
        <x:v>250</x:v>
      </x:c>
      <x:c r="AL207" t="str">
        <x:v>Direkte elektrisk;</x:v>
      </x:c>
      <x:c r="AM207" t="n">
        <x:v>0</x:v>
      </x:c>
      <x:c r="AN207" t="n">
        <x:v>0</x:v>
      </x:c>
      <x:c r="AO207" t="n">
        <x:v>1</x:v>
      </x:c>
      <x:c r="AP207" t="n">
        <x:v>0</x:v>
      </x:c>
      <x:c r="AQ207" t="n">
        <x:v>0</x:v>
      </x:c>
      <x:c r="AR207" t="n">
        <x:v>1</x:v>
      </x:c>
      <x:c r="AS207" t="n">
        <x:v>0</x:v>
      </x:c>
      <x:c r="AT207" t="n">
        <x:v>0</x:v>
      </x:c>
      <x:c r="AU207" t="str">
        <x:v>energiattester_export_2025-08-14.json | PDF vedlegg side 5-7</x:v>
      </x:c>
      <x:c r="AV207" s="12" t="n">
        <x:f>IF(COUNT(O207,P207,Q207,R207,K207,L207,M207,N207)=8,O207*K207+P207*L207+Q207*M207+R207*N207,"")</x:f>
        <x:v>769.85</x:v>
      </x:c>
      <x:c r="AW207" s="12" t="n">
        <x:f>IF(AND(ISNUMBER(AV207),H207&gt;0),AV207/H207,"")</x:f>
        <x:v>0.8748295454545455</x:v>
      </x:c>
      <x:c r="AX207" s="12" t="n">
        <x:f>IF(AND(ISNUMBER(AD207),H207&gt;0),AD207*H207*3600,"")</x:f>
        <x:v>121334400</x:v>
      </x:c>
      <x:c r="AY207" s="12" t="n">
        <x:f>IF(AND(ISNUMBER(Y207),H207&gt;0),Y207*H207,"")</x:f>
        <x:v>44000</x:v>
      </x:c>
      <x:c r="AZ207" t="str">
        <x:v>Høy</x:v>
      </x:c>
    </x:row>
    <x:row r="208" ht="22" customHeight="1">
      <x:c r="A208" t="str">
        <x:v>OT-562570f039da</x:v>
      </x:c>
      <x:c r="B208" t="n">
        <x:v>2015</x:v>
      </x:c>
      <x:c r="C208" t="str">
        <x:v>Forretningsbygg</x:v>
      </x:c>
      <x:c r="D208" t="str">
        <x:v>BUTIKK</x:v>
      </x:c>
      <x:c r="E208" t="str">
        <x:v>F</x:v>
      </x:c>
      <x:c r="F208" t="str">
        <x:v>RED</x:v>
      </x:c>
      <x:c r="G208" t="n">
        <x:v>1958</x:v>
      </x:c>
      <x:c r="H208" t="n">
        <x:v>1026</x:v>
      </x:c>
      <x:c r="I208" t="n">
        <x:v>374.7</x:v>
      </x:c>
      <x:c r="J208" t="str">
        <x:v>PDF/avansert</x:v>
      </x:c>
      <x:c r="K208" t="n">
        <x:v>432</x:v>
      </x:c>
      <x:c r="L208" t="n">
        <x:v>0</x:v>
      </x:c>
      <x:c r="M208" t="n">
        <x:v>586</x:v>
      </x:c>
      <x:c r="N208" t="n">
        <x:v>186</x:v>
      </x:c>
      <x:c r="O208" t="n">
        <x:v>0.51</x:v>
      </x:c>
      <x:c r="P208" t="n">
        <x:v>0</x:v>
      </x:c>
      <x:c r="Q208" t="n">
        <x:v>0.16</x:v>
      </x:c>
      <x:c r="R208" t="n">
        <x:v>3.01</x:v>
      </x:c>
      <x:c r="S208" t="n">
        <x:v>0</x:v>
      </x:c>
      <x:c r="T208" t="n">
        <x:v>0</x:v>
      </x:c>
      <x:c r="U208" t="n">
        <x:v>2</x:v>
      </x:c>
      <x:c r="V208" t="n">
        <x:v>1.25</x:v>
      </x:c>
      <x:c r="W208" t="n">
        <x:v>6</x:v>
      </x:c>
      <x:c r="X208" t="n">
        <x:v>81</x:v>
      </x:c>
      <x:c r="Y208" t="n">
        <x:v>50</x:v>
      </x:c>
      <x:c r="Z208" t="n">
        <x:v>0</x:v>
      </x:c>
      <x:c r="AA208" t="n">
        <x:v>21</x:v>
      </x:c>
      <x:c r="AB208" t="n">
        <x:v>22</x:v>
      </x:c>
      <x:c r="AC208" t="n">
        <x:v>3.2</x:v>
      </x:c>
      <x:c r="AD208" t="n">
        <x:v>93.5</x:v>
      </x:c>
      <x:c r="AE208" t="n">
        <x:v>0.06</x:v>
      </x:c>
      <x:c r="AF208" t="n">
        <x:v>12</x:v>
      </x:c>
      <x:c r="AG208" t="n">
        <x:v>12</x:v>
      </x:c>
      <x:c r="AH208" t="n">
        <x:v>24</x:v>
      </x:c>
      <x:c r="AI208" t="n">
        <x:v>15</x:v>
      </x:c>
      <x:c r="AJ208" t="n">
        <x:v>1</x:v>
      </x:c>
      <x:c r="AK208" t="n">
        <x:v>250</x:v>
      </x:c>
      <x:c r="AL208" t="str">
        <x:v>Direkte elektrisk;</x:v>
      </x:c>
      <x:c r="AM208" t="n">
        <x:v>0</x:v>
      </x:c>
      <x:c r="AN208" t="n">
        <x:v>0</x:v>
      </x:c>
      <x:c r="AO208" t="n">
        <x:v>1</x:v>
      </x:c>
      <x:c r="AP208" t="n">
        <x:v>0</x:v>
      </x:c>
      <x:c r="AQ208" t="n">
        <x:v>0</x:v>
      </x:c>
      <x:c r="AR208" t="n">
        <x:v>1</x:v>
      </x:c>
      <x:c r="AS208" t="n">
        <x:v>0</x:v>
      </x:c>
      <x:c r="AT208" t="n">
        <x:v>0</x:v>
      </x:c>
      <x:c r="AU208" t="str">
        <x:v>energiattester_export_2025-08-14.json | PDF vedlegg side 5-7</x:v>
      </x:c>
      <x:c r="AV208" s="12" t="n">
        <x:f>IF(COUNT(O208,P208,Q208,R208,K208,L208,M208,N208)=8,O208*K208+P208*L208+Q208*M208+R208*N208,"")</x:f>
        <x:v>873.94</x:v>
      </x:c>
      <x:c r="AW208" s="12" t="n">
        <x:f>IF(AND(ISNUMBER(AV208),H208&gt;0),AV208/H208,"")</x:f>
        <x:v>0.8517933723196882</x:v>
      </x:c>
      <x:c r="AX208" s="12" t="n">
        <x:f>IF(AND(ISNUMBER(AD208),H208&gt;0),AD208*H208*3600,"")</x:f>
        <x:v>345351600</x:v>
      </x:c>
      <x:c r="AY208" s="12" t="n">
        <x:f>IF(AND(ISNUMBER(Y208),H208&gt;0),Y208*H208,"")</x:f>
        <x:v>51300</x:v>
      </x:c>
      <x:c r="AZ208" t="str">
        <x:v>Høy</x:v>
      </x:c>
    </x:row>
    <x:row r="209" ht="22" customHeight="1">
      <x:c r="A209" t="str">
        <x:v>OT-effec214f254</x:v>
      </x:c>
      <x:c r="B209" t="n">
        <x:v>2015</x:v>
      </x:c>
      <x:c r="C209" t="str">
        <x:v>Kontorbygg</x:v>
      </x:c>
      <x:c r="D209" t="str">
        <x:v>KONTORER, ENKLE</x:v>
      </x:c>
      <x:c r="E209" t="str">
        <x:v>D</x:v>
      </x:c>
      <x:c r="F209" t="str">
        <x:v>ORANGE</x:v>
      </x:c>
      <x:c r="G209" t="n">
        <x:v>2004</x:v>
      </x:c>
      <x:c r="H209" t="n">
        <x:v>1022</x:v>
      </x:c>
      <x:c r="I209" t="n">
        <x:v>168.8</x:v>
      </x:c>
      <x:c r="J209" t="str">
        <x:v>PDF/avansert</x:v>
      </x:c>
      <x:c r="K209" t="n">
        <x:v>310</x:v>
      </x:c>
      <x:c r="L209" t="n">
        <x:v>1022</x:v>
      </x:c>
      <x:c r="M209" t="n">
        <x:v>0</x:v>
      </x:c>
      <x:c r="N209" t="n">
        <x:v>180</x:v>
      </x:c>
      <x:c r="O209" t="n">
        <x:v>0.23</x:v>
      </x:c>
      <x:c r="P209" t="n">
        <x:v>0.17</x:v>
      </x:c>
      <x:c r="Q209" t="n">
        <x:v>0</x:v>
      </x:c>
      <x:c r="R209" t="n">
        <x:v>1.9</x:v>
      </x:c>
      <x:c r="S209" t="n">
        <x:v>70</x:v>
      </x:c>
      <x:c r="T209" t="n">
        <x:v>70</x:v>
      </x:c>
      <x:c r="U209" t="n">
        <x:v>2</x:v>
      </x:c>
      <x:c r="V209" t="n">
        <x:v>0.45</x:v>
      </x:c>
      <x:c r="W209" t="n">
        <x:v>10</x:v>
      </x:c>
      <x:c r="X209" t="n">
        <x:v>146</x:v>
      </x:c>
      <x:c r="Y209" t="n">
        <x:v>80</x:v>
      </x:c>
      <x:c r="Z209" t="n">
        <x:v>30</x:v>
      </x:c>
      <x:c r="AA209" t="n">
        <x:v>21</x:v>
      </x:c>
      <x:c r="AB209" t="n">
        <x:v>22</x:v>
      </x:c>
      <x:c r="AC209" t="n">
        <x:v>3</x:v>
      </x:c>
      <x:c r="AD209" t="n">
        <x:v>97.1</x:v>
      </x:c>
      <x:c r="AE209" t="n">
        <x:v>0.09</x:v>
      </x:c>
      <x:c r="AF209" t="n">
        <x:v>12</x:v>
      </x:c>
      <x:c r="AG209" t="n">
        <x:v>12</x:v>
      </x:c>
      <x:c r="AH209" t="n">
        <x:v>24</x:v>
      </x:c>
      <x:c r="AI209" t="n">
        <x:v>8</x:v>
      </x:c>
      <x:c r="AJ209" t="n">
        <x:v>11</x:v>
      </x:c>
      <x:c r="AK209" t="n">
        <x:v>250</x:v>
      </x:c>
      <x:c r="AL209" t="str">
        <x:v>Direkte elektrisk; Varmepumpe;</x:v>
      </x:c>
      <x:c r="AM209" t="n">
        <x:v>0</x:v>
      </x:c>
      <x:c r="AN209" t="n">
        <x:v>0</x:v>
      </x:c>
      <x:c r="AO209" t="n">
        <x:v>1</x:v>
      </x:c>
      <x:c r="AP209" t="n">
        <x:v>0</x:v>
      </x:c>
      <x:c r="AQ209" t="n">
        <x:v>0</x:v>
      </x:c>
      <x:c r="AR209" t="n">
        <x:v>1</x:v>
      </x:c>
      <x:c r="AS209" t="n">
        <x:v>0</x:v>
      </x:c>
      <x:c r="AT209" t="n">
        <x:v>0</x:v>
      </x:c>
      <x:c r="AU209" t="str">
        <x:v>energiattester_export_2025-08-14.json | PDF vedlegg side 5-7</x:v>
      </x:c>
      <x:c r="AV209" s="12" t="n">
        <x:f>IF(COUNT(O209,P209,Q209,R209,K209,L209,M209,N209)=8,O209*K209+P209*L209+Q209*M209+R209*N209,"")</x:f>
        <x:v>587.04</x:v>
      </x:c>
      <x:c r="AW209" s="12" t="n">
        <x:f>IF(AND(ISNUMBER(AV209),H209&gt;0),AV209/H209,"")</x:f>
        <x:v>0.5744031311154598</x:v>
      </x:c>
      <x:c r="AX209" s="12" t="n">
        <x:f>IF(AND(ISNUMBER(AD209),H209&gt;0),AD209*H209*3600,"")</x:f>
        <x:v>357250320</x:v>
      </x:c>
      <x:c r="AY209" s="12" t="n">
        <x:f>IF(AND(ISNUMBER(Y209),H209&gt;0),Y209*H209,"")</x:f>
        <x:v>81760</x:v>
      </x:c>
      <x:c r="AZ209" t="str">
        <x:v>Høy</x:v>
      </x:c>
    </x:row>
    <x:row r="210" ht="22" customHeight="1">
      <x:c r="A210" t="str">
        <x:v>OT-7b730e03dfa7</x:v>
      </x:c>
      <x:c r="B210" t="n">
        <x:v>2015</x:v>
      </x:c>
      <x:c r="C210" t="str">
        <x:v>Forretningsbygg</x:v>
      </x:c>
      <x:c r="D210" t="str">
        <x:v>BUTIKK</x:v>
      </x:c>
      <x:c r="E210" t="str">
        <x:v>E</x:v>
      </x:c>
      <x:c r="F210" t="str">
        <x:v>RED</x:v>
      </x:c>
      <x:c r="G210" t="n">
        <x:v>1996</x:v>
      </x:c>
      <x:c r="H210" t="n">
        <x:v>1180</x:v>
      </x:c>
      <x:c r="I210" t="n">
        <x:v>279.4</x:v>
      </x:c>
      <x:c r="J210" t="str">
        <x:v>PDF/avansert</x:v>
      </x:c>
      <x:c r="K210" t="n">
        <x:v>544</x:v>
      </x:c>
      <x:c r="L210" t="n">
        <x:v>0</x:v>
      </x:c>
      <x:c r="M210" t="n">
        <x:v>1180</x:v>
      </x:c>
      <x:c r="N210" t="n">
        <x:v>110</x:v>
      </x:c>
      <x:c r="O210" t="n">
        <x:v>0.3</x:v>
      </x:c>
      <x:c r="P210" t="n">
        <x:v>0</x:v>
      </x:c>
      <x:c r="Q210" t="n">
        <x:v>0.11</x:v>
      </x:c>
      <x:c r="R210" t="n">
        <x:v>2.16</x:v>
      </x:c>
      <x:c r="S210" t="n">
        <x:v>70</x:v>
      </x:c>
      <x:c r="T210" t="n">
        <x:v>70</x:v>
      </x:c>
      <x:c r="U210" t="n">
        <x:v>2</x:v>
      </x:c>
      <x:c r="V210" t="n">
        <x:v>0.38</x:v>
      </x:c>
      <x:c r="W210" t="n">
        <x:v>20</x:v>
      </x:c>
      <x:c r="X210" t="n">
        <x:v>81</x:v>
      </x:c>
      <x:c r="Y210" t="n">
        <x:v>80</x:v>
      </x:c>
      <x:c r="Z210" t="n">
        <x:v>30</x:v>
      </x:c>
      <x:c r="AA210" t="n">
        <x:v>21</x:v>
      </x:c>
      <x:c r="AB210" t="n">
        <x:v>22</x:v>
      </x:c>
      <x:c r="AC210" t="n">
        <x:v>2.7</x:v>
      </x:c>
      <x:c r="AD210" t="n">
        <x:v>94.1</x:v>
      </x:c>
      <x:c r="AE210" t="n">
        <x:v>0.11</x:v>
      </x:c>
      <x:c r="AF210" t="n">
        <x:v>12</x:v>
      </x:c>
      <x:c r="AG210" t="n">
        <x:v>12</x:v>
      </x:c>
      <x:c r="AH210" t="n">
        <x:v>24</x:v>
      </x:c>
      <x:c r="AI210" t="n">
        <x:v>15</x:v>
      </x:c>
      <x:c r="AJ210" t="n">
        <x:v>1</x:v>
      </x:c>
      <x:c r="AK210" t="n">
        <x:v>250</x:v>
      </x:c>
      <x:c r="AL210" t="str">
        <x:v>Direkte elektrisk;</x:v>
      </x:c>
      <x:c r="AM210" t="n">
        <x:v>0</x:v>
      </x:c>
      <x:c r="AN210" t="n">
        <x:v>0</x:v>
      </x:c>
      <x:c r="AO210" t="n">
        <x:v>1</x:v>
      </x:c>
      <x:c r="AP210" t="n">
        <x:v>0</x:v>
      </x:c>
      <x:c r="AQ210" t="n">
        <x:v>0</x:v>
      </x:c>
      <x:c r="AR210" t="n">
        <x:v>1</x:v>
      </x:c>
      <x:c r="AS210" t="n">
        <x:v>0</x:v>
      </x:c>
      <x:c r="AT210" t="n">
        <x:v>0</x:v>
      </x:c>
      <x:c r="AU210" t="str">
        <x:v>energiattester_export_2025-08-14.json | PDF vedlegg side 5-7</x:v>
      </x:c>
      <x:c r="AV210" s="12" t="n">
        <x:f>IF(COUNT(O210,P210,Q210,R210,K210,L210,M210,N210)=8,O210*K210+P210*L210+Q210*M210+R210*N210,"")</x:f>
        <x:v>530.6</x:v>
      </x:c>
      <x:c r="AW210" s="12" t="n">
        <x:f>IF(AND(ISNUMBER(AV210),H210&gt;0),AV210/H210,"")</x:f>
        <x:v>0.44966101694915256</x:v>
      </x:c>
      <x:c r="AX210" s="12" t="n">
        <x:f>IF(AND(ISNUMBER(AD210),H210&gt;0),AD210*H210*3600,"")</x:f>
        <x:v>399736800</x:v>
      </x:c>
      <x:c r="AY210" s="12" t="n">
        <x:f>IF(AND(ISNUMBER(Y210),H210&gt;0),Y210*H210,"")</x:f>
        <x:v>94400</x:v>
      </x:c>
      <x:c r="AZ210" t="str">
        <x:v>Høy</x:v>
      </x:c>
    </x:row>
    <x:row r="211" ht="22" customHeight="1">
      <x:c r="A211" t="str">
        <x:v>OT-3683295185a7</x:v>
      </x:c>
      <x:c r="B211" t="n">
        <x:v>2015</x:v>
      </x:c>
      <x:c r="C211" t="str">
        <x:v>Forretningsbygg</x:v>
      </x:c>
      <x:c r="D211" t="str">
        <x:v>BUTIKK</x:v>
      </x:c>
      <x:c r="E211" t="str">
        <x:v>C</x:v>
      </x:c>
      <x:c r="F211" t="str">
        <x:v>RED</x:v>
      </x:c>
      <x:c r="G211" t="n">
        <x:v>2004</x:v>
      </x:c>
      <x:c r="H211" t="n">
        <x:v>1483</x:v>
      </x:c>
      <x:c r="I211" t="n">
        <x:v>1</x:v>
      </x:c>
      <x:c r="J211" t="str">
        <x:v>PDF/avansert</x:v>
      </x:c>
      <x:c r="K211" t="n">
        <x:v>324</x:v>
      </x:c>
      <x:c r="L211" t="n">
        <x:v>668</x:v>
      </x:c>
      <x:c r="M211" t="n">
        <x:v>659</x:v>
      </x:c>
      <x:c r="N211" t="n">
        <x:v>214</x:v>
      </x:c>
      <x:c r="O211" t="n">
        <x:v>0.24</x:v>
      </x:c>
      <x:c r="P211" t="n">
        <x:v>0.15</x:v>
      </x:c>
      <x:c r="Q211" t="n">
        <x:v>0.07</x:v>
      </x:c>
      <x:c r="R211" t="n">
        <x:v>1.64</x:v>
      </x:c>
      <x:c r="S211" t="n">
        <x:v>72</x:v>
      </x:c>
      <x:c r="T211" t="n">
        <x:v>72</x:v>
      </x:c>
      <x:c r="U211" t="n">
        <x:v>3.13</x:v>
      </x:c>
      <x:c r="V211" t="n">
        <x:v>0.23</x:v>
      </x:c>
      <x:c r="W211" t="n">
        <x:v>13</x:v>
      </x:c>
      <x:c r="X211" t="n">
        <x:v>75</x:v>
      </x:c>
      <x:c r="Y211" t="n">
        <x:v>103</x:v>
      </x:c>
      <x:c r="Z211" t="n">
        <x:v>19</x:v>
      </x:c>
      <x:c r="AA211" t="n">
        <x:v>21</x:v>
      </x:c>
      <x:c r="AB211" t="n">
        <x:v>22</x:v>
      </x:c>
      <x:c r="AC211" t="n">
        <x:v>3.5</x:v>
      </x:c>
      <x:c r="AD211" t="n">
        <x:v>131.2</x:v>
      </x:c>
      <x:c r="AE211" t="n">
        <x:v>0.09</x:v>
      </x:c>
      <x:c r="AF211"/>
      <x:c r="AG211"/>
      <x:c r="AH211"/>
      <x:c r="AI211"/>
      <x:c r="AJ211"/>
      <x:c r="AK211" t="n">
        <x:v>250</x:v>
      </x:c>
      <x:c r="AL211"/>
      <x:c r="AM211" t="n">
        <x:v>0</x:v>
      </x:c>
      <x:c r="AN211" t="n">
        <x:v>0</x:v>
      </x:c>
      <x:c r="AO211" t="n">
        <x:v>1</x:v>
      </x:c>
      <x:c r="AP211" t="n">
        <x:v>0</x:v>
      </x:c>
      <x:c r="AQ211" t="n">
        <x:v>0</x:v>
      </x:c>
      <x:c r="AR211" t="n">
        <x:v>1</x:v>
      </x:c>
      <x:c r="AS211" t="n">
        <x:v>1</x:v>
      </x:c>
      <x:c r="AT211" t="n">
        <x:v>1</x:v>
      </x:c>
      <x:c r="AU211" t="str">
        <x:v>energiattester_export_2025-08-14.json | PDF vedlegg side 5-7</x:v>
      </x:c>
      <x:c r="AV211" s="12" t="n">
        <x:f>IF(COUNT(O211,P211,Q211,R211,K211,L211,M211,N211)=8,O211*K211+P211*L211+Q211*M211+R211*N211,"")</x:f>
        <x:v>575.05</x:v>
      </x:c>
      <x:c r="AW211" s="12" t="n">
        <x:f>IF(AND(ISNUMBER(AV211),H211&gt;0),AV211/H211,"")</x:f>
        <x:v>0.38776129467296017</x:v>
      </x:c>
      <x:c r="AX211" s="12" t="n">
        <x:f>IF(AND(ISNUMBER(AD211),H211&gt;0),AD211*H211*3600,"")</x:f>
        <x:v>700450559.9999999</x:v>
      </x:c>
      <x:c r="AY211" s="12" t="n">
        <x:f>IF(AND(ISNUMBER(Y211),H211&gt;0),Y211*H211,"")</x:f>
        <x:v>152749</x:v>
      </x:c>
      <x:c r="AZ211" t="str">
        <x:v>Høy</x:v>
      </x:c>
    </x:row>
    <x:row r="212" ht="22" customHeight="1">
      <x:c r="A212" t="str">
        <x:v>OT-d55325d5c861</x:v>
      </x:c>
      <x:c r="B212" t="n">
        <x:v>2015</x:v>
      </x:c>
      <x:c r="C212" t="str">
        <x:v>Kontorbygg</x:v>
      </x:c>
      <x:c r="D212" t="str">
        <x:v>ANNET KONTORBYGG</x:v>
      </x:c>
      <x:c r="E212" t="str">
        <x:v>C</x:v>
      </x:c>
      <x:c r="F212" t="str">
        <x:v>RED</x:v>
      </x:c>
      <x:c r="G212" t="n">
        <x:v>1960</x:v>
      </x:c>
      <x:c r="H212" t="n">
        <x:v>2475</x:v>
      </x:c>
      <x:c r="I212" t="n">
        <x:v>140.6</x:v>
      </x:c>
      <x:c r="J212" t="str">
        <x:v>PDF/avansert</x:v>
      </x:c>
      <x:c r="K212" t="n">
        <x:v>1171</x:v>
      </x:c>
      <x:c r="L212" t="n">
        <x:v>1743</x:v>
      </x:c>
      <x:c r="M212" t="n">
        <x:v>1612</x:v>
      </x:c>
      <x:c r="N212" t="n">
        <x:v>296</x:v>
      </x:c>
      <x:c r="O212" t="n">
        <x:v>0.4</x:v>
      </x:c>
      <x:c r="P212" t="n">
        <x:v>0.21</x:v>
      </x:c>
      <x:c r="Q212" t="n">
        <x:v>0.31</x:v>
      </x:c>
      <x:c r="R212" t="n">
        <x:v>2.6</x:v>
      </x:c>
      <x:c r="S212" t="n">
        <x:v>75</x:v>
      </x:c>
      <x:c r="T212" t="n">
        <x:v>75</x:v>
      </x:c>
      <x:c r="U212" t="n">
        <x:v>2</x:v>
      </x:c>
      <x:c r="V212" t="n">
        <x:v>0</x:v>
      </x:c>
      <x:c r="W212" t="n">
        <x:v>4.84</x:v>
      </x:c>
      <x:c r="X212" t="n">
        <x:v>92</x:v>
      </x:c>
      <x:c r="Y212" t="n">
        <x:v>97</x:v>
      </x:c>
      <x:c r="Z212" t="n">
        <x:v>0</x:v>
      </x:c>
      <x:c r="AA212" t="n">
        <x:v>21</x:v>
      </x:c>
      <x:c r="AB212" t="n">
        <x:v>22</x:v>
      </x:c>
      <x:c r="AC212" t="n">
        <x:v>1.53</x:v>
      </x:c>
      <x:c r="AD212" t="n">
        <x:v>112.9</x:v>
      </x:c>
      <x:c r="AE212" t="n">
        <x:v>0.09</x:v>
      </x:c>
      <x:c r="AF212" t="n">
        <x:v>12</x:v>
      </x:c>
      <x:c r="AG212" t="n">
        <x:v>12</x:v>
      </x:c>
      <x:c r="AH212" t="n">
        <x:v>24</x:v>
      </x:c>
      <x:c r="AI212" t="n">
        <x:v>8</x:v>
      </x:c>
      <x:c r="AJ212" t="n">
        <x:v>11</x:v>
      </x:c>
      <x:c r="AK212" t="n">
        <x:v>250</x:v>
      </x:c>
      <x:c r="AL212" t="str">
        <x:v>Direkte elektrisk;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str">
        <x:v>energiattester_export_2025-08-14.json | PDF vedlegg side 5-7</x:v>
      </x:c>
      <x:c r="AV212" s="12" t="n">
        <x:f>IF(COUNT(O212,P212,Q212,R212,K212,L212,M212,N212)=8,O212*K212+P212*L212+Q212*M212+R212*N212,"")</x:f>
        <x:v>2103.75</x:v>
      </x:c>
      <x:c r="AW212" s="12" t="n">
        <x:f>IF(AND(ISNUMBER(AV212),H212&gt;0),AV212/H212,"")</x:f>
        <x:v>0.85</x:v>
      </x:c>
      <x:c r="AX212" s="12" t="n">
        <x:f>IF(AND(ISNUMBER(AD212),H212&gt;0),AD212*H212*3600,"")</x:f>
        <x:v>1005939000</x:v>
      </x:c>
      <x:c r="AY212" s="12" t="n">
        <x:f>IF(AND(ISNUMBER(Y212),H212&gt;0),Y212*H212,"")</x:f>
        <x:v>240075</x:v>
      </x:c>
      <x:c r="AZ212" t="str">
        <x:v>Høy</x:v>
      </x:c>
    </x:row>
    <x:row r="213" ht="22" customHeight="1">
      <x:c r="A213" t="str">
        <x:v>OT-24c6c9422b8f</x:v>
      </x:c>
      <x:c r="B213" t="n">
        <x:v>2015</x:v>
      </x:c>
      <x:c r="C213" t="str">
        <x:v>Kontorbygg</x:v>
      </x:c>
      <x:c r="D213" t="str">
        <x:v>KONTORER, ENKLE</x:v>
      </x:c>
      <x:c r="E213" t="str">
        <x:v>E</x:v>
      </x:c>
      <x:c r="F213" t="str">
        <x:v>ORANGE</x:v>
      </x:c>
      <x:c r="G213" t="n">
        <x:v>1986</x:v>
      </x:c>
      <x:c r="H213" t="n">
        <x:v>577</x:v>
      </x:c>
      <x:c r="I213" t="n">
        <x:v>191.7</x:v>
      </x:c>
      <x:c r="J213" t="str">
        <x:v>PDF/avansert</x:v>
      </x:c>
      <x:c r="K213" t="n">
        <x:v>218</x:v>
      </x:c>
      <x:c r="L213" t="n">
        <x:v>525</x:v>
      </x:c>
      <x:c r="M213" t="n">
        <x:v>52</x:v>
      </x:c>
      <x:c r="N213" t="n">
        <x:v>85</x:v>
      </x:c>
      <x:c r="O213" t="n">
        <x:v>0.3</x:v>
      </x:c>
      <x:c r="P213" t="n">
        <x:v>0.23</x:v>
      </x:c>
      <x:c r="Q213" t="n">
        <x:v>0.17</x:v>
      </x:c>
      <x:c r="R213" t="n">
        <x:v>1.22</x:v>
      </x:c>
      <x:c r="S213" t="n">
        <x:v>0</x:v>
      </x:c>
      <x:c r="T213" t="n">
        <x:v>0</x:v>
      </x:c>
      <x:c r="U213" t="n">
        <x:v>2</x:v>
      </x:c>
      <x:c r="V213" t="n">
        <x:v>0.43</x:v>
      </x:c>
      <x:c r="W213" t="n">
        <x:v>7</x:v>
      </x:c>
      <x:c r="X213" t="n">
        <x:v>163</x:v>
      </x:c>
      <x:c r="Y213" t="n">
        <x:v>30</x:v>
      </x:c>
      <x:c r="Z213" t="n">
        <x:v>36</x:v>
      </x:c>
      <x:c r="AA213" t="n">
        <x:v>21</x:v>
      </x:c>
      <x:c r="AB213" t="n">
        <x:v>22</x:v>
      </x:c>
      <x:c r="AC213" t="n">
        <x:v>3</x:v>
      </x:c>
      <x:c r="AD213" t="n">
        <x:v>168.7</x:v>
      </x:c>
      <x:c r="AE213" t="n">
        <x:v>0.06</x:v>
      </x:c>
      <x:c r="AF213" t="n">
        <x:v>12</x:v>
      </x:c>
      <x:c r="AG213" t="n">
        <x:v>12</x:v>
      </x:c>
      <x:c r="AH213" t="n">
        <x:v>24</x:v>
      </x:c>
      <x:c r="AI213" t="n">
        <x:v>8</x:v>
      </x:c>
      <x:c r="AJ213" t="n">
        <x:v>11</x:v>
      </x:c>
      <x:c r="AK213" t="n">
        <x:v>250</x:v>
      </x:c>
      <x:c r="AL213" t="str">
        <x:v>Direkte elektrisk; Varmepumpe;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1</x:v>
      </x:c>
      <x:c r="AR213" t="n">
        <x:v>0</x:v>
      </x:c>
      <x:c r="AS213" t="n">
        <x:v>0</x:v>
      </x:c>
      <x:c r="AT213" t="n">
        <x:v>0</x:v>
      </x:c>
      <x:c r="AU213" t="str">
        <x:v>energiattester_export_2025-08-14.json | PDF vedlegg side 5-7</x:v>
      </x:c>
      <x:c r="AV213" s="12" t="n">
        <x:f>IF(COUNT(O213,P213,Q213,R213,K213,L213,M213,N213)=8,O213*K213+P213*L213+Q213*M213+R213*N213,"")</x:f>
        <x:v>298.69</x:v>
      </x:c>
      <x:c r="AW213" s="12" t="n">
        <x:f>IF(AND(ISNUMBER(AV213),H213&gt;0),AV213/H213,"")</x:f>
        <x:v>0.5176603119584056</x:v>
      </x:c>
      <x:c r="AX213" s="12" t="n">
        <x:f>IF(AND(ISNUMBER(AD213),H213&gt;0),AD213*H213*3600,"")</x:f>
        <x:v>350423640</x:v>
      </x:c>
      <x:c r="AY213" s="12" t="n">
        <x:f>IF(AND(ISNUMBER(Y213),H213&gt;0),Y213*H213,"")</x:f>
        <x:v>17310</x:v>
      </x:c>
      <x:c r="AZ213" t="str">
        <x:v>Høy</x:v>
      </x:c>
    </x:row>
    <x:row r="214" ht="22" customHeight="1">
      <x:c r="A214" t="str">
        <x:v>OT-54311270b6dc</x:v>
      </x:c>
      <x:c r="B214" t="n">
        <x:v>2015</x:v>
      </x:c>
      <x:c r="C214" t="str">
        <x:v>Forretningsbygg</x:v>
      </x:c>
      <x:c r="D214" t="str">
        <x:v>BUTIKK</x:v>
      </x:c>
      <x:c r="E214" t="str">
        <x:v>D</x:v>
      </x:c>
      <x:c r="F214" t="str">
        <x:v>RED</x:v>
      </x:c>
      <x:c r="G214" t="n">
        <x:v>2000</x:v>
      </x:c>
      <x:c r="H214" t="n">
        <x:v>780</x:v>
      </x:c>
      <x:c r="I214" t="n">
        <x:v>226.8</x:v>
      </x:c>
      <x:c r="J214" t="str">
        <x:v>PDF/avansert</x:v>
      </x:c>
      <x:c r="K214" t="n">
        <x:v>308</x:v>
      </x:c>
      <x:c r="L214" t="n">
        <x:v>592</x:v>
      </x:c>
      <x:c r="M214" t="n">
        <x:v>592</x:v>
      </x:c>
      <x:c r="N214" t="n">
        <x:v>58</x:v>
      </x:c>
      <x:c r="O214" t="n">
        <x:v>0.21</x:v>
      </x:c>
      <x:c r="P214" t="n">
        <x:v>0.21</x:v>
      </x:c>
      <x:c r="Q214" t="n">
        <x:v>0.17</x:v>
      </x:c>
      <x:c r="R214" t="n">
        <x:v>1.35</x:v>
      </x:c>
      <x:c r="S214" t="n">
        <x:v>65</x:v>
      </x:c>
      <x:c r="T214" t="n">
        <x:v>65</x:v>
      </x:c>
      <x:c r="U214" t="n">
        <x:v>4</x:v>
      </x:c>
      <x:c r="V214" t="n">
        <x:v>0.23</x:v>
      </x:c>
      <x:c r="W214" t="n">
        <x:v>13</x:v>
      </x:c>
      <x:c r="X214" t="n">
        <x:v>81</x:v>
      </x:c>
      <x:c r="Y214" t="n">
        <x:v>80</x:v>
      </x:c>
      <x:c r="Z214" t="n">
        <x:v>30</x:v>
      </x:c>
      <x:c r="AA214" t="n">
        <x:v>21</x:v>
      </x:c>
      <x:c r="AB214" t="n">
        <x:v>22</x:v>
      </x:c>
      <x:c r="AC214" t="n">
        <x:v>2</x:v>
      </x:c>
      <x:c r="AD214" t="n">
        <x:v>140.3</x:v>
      </x:c>
      <x:c r="AE214" t="n">
        <x:v>0.06</x:v>
      </x:c>
      <x:c r="AF214" t="n">
        <x:v>12</x:v>
      </x:c>
      <x:c r="AG214" t="n">
        <x:v>12</x:v>
      </x:c>
      <x:c r="AH214" t="n">
        <x:v>24</x:v>
      </x:c>
      <x:c r="AI214" t="n">
        <x:v>15</x:v>
      </x:c>
      <x:c r="AJ214" t="n">
        <x:v>1</x:v>
      </x:c>
      <x:c r="AK214" t="n">
        <x:v>250</x:v>
      </x:c>
      <x:c r="AL214" t="str">
        <x:v>Direkte elektrisk;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str">
        <x:v>energiattester_export_2025-08-14.json | PDF vedlegg side 5-7</x:v>
      </x:c>
      <x:c r="AV214" s="12" t="n">
        <x:f>IF(COUNT(O214,P214,Q214,R214,K214,L214,M214,N214)=8,O214*K214+P214*L214+Q214*M214+R214*N214,"")</x:f>
        <x:v>367.94</x:v>
      </x:c>
      <x:c r="AW214" s="12" t="n">
        <x:f>IF(AND(ISNUMBER(AV214),H214&gt;0),AV214/H214,"")</x:f>
        <x:v>0.4717179487179487</x:v>
      </x:c>
      <x:c r="AX214" s="12" t="n">
        <x:f>IF(AND(ISNUMBER(AD214),H214&gt;0),AD214*H214*3600,"")</x:f>
        <x:v>393962400.00000006</x:v>
      </x:c>
      <x:c r="AY214" s="12" t="n">
        <x:f>IF(AND(ISNUMBER(Y214),H214&gt;0),Y214*H214,"")</x:f>
        <x:v>62400</x:v>
      </x:c>
      <x:c r="AZ214" t="str">
        <x:v>Høy</x:v>
      </x:c>
    </x:row>
    <x:row r="215" ht="22" customHeight="1">
      <x:c r="A215" t="str">
        <x:v>OT-539a97bddced</x:v>
      </x:c>
      <x:c r="B215" t="n">
        <x:v>2015</x:v>
      </x:c>
      <x:c r="C215" t="str">
        <x:v>Kontorbygg</x:v>
      </x:c>
      <x:c r="D215" t="str">
        <x:v>KONTORER, ENKLE</x:v>
      </x:c>
      <x:c r="E215" t="str">
        <x:v>G</x:v>
      </x:c>
      <x:c r="F215" t="str">
        <x:v>RED</x:v>
      </x:c>
      <x:c r="G215" t="n">
        <x:v>1964</x:v>
      </x:c>
      <x:c r="H215" t="n">
        <x:v>602</x:v>
      </x:c>
      <x:c r="I215" t="n">
        <x:v>371.5</x:v>
      </x:c>
      <x:c r="J215" t="str">
        <x:v>PDF/avansert</x:v>
      </x:c>
      <x:c r="K215" t="n">
        <x:v>394</x:v>
      </x:c>
      <x:c r="L215" t="n">
        <x:v>388</x:v>
      </x:c>
      <x:c r="M215" t="n">
        <x:v>381</x:v>
      </x:c>
      <x:c r="N215" t="n">
        <x:v>74</x:v>
      </x:c>
      <x:c r="O215" t="n">
        <x:v>0.65</x:v>
      </x:c>
      <x:c r="P215" t="n">
        <x:v>0.7</x:v>
      </x:c>
      <x:c r="Q215" t="n">
        <x:v>0.52</x:v>
      </x:c>
      <x:c r="R215" t="n">
        <x:v>1.76</x:v>
      </x:c>
      <x:c r="S215" t="n">
        <x:v>20</x:v>
      </x:c>
      <x:c r="T215" t="n">
        <x:v>20</x:v>
      </x:c>
      <x:c r="U215" t="n">
        <x:v>0.74</x:v>
      </x:c>
      <x:c r="V215" t="n">
        <x:v>0.08</x:v>
      </x:c>
      <x:c r="W215" t="n">
        <x:v>8</x:v>
      </x:c>
      <x:c r="X215" t="n">
        <x:v>85</x:v>
      </x:c>
      <x:c r="Y215" t="n">
        <x:v>241</x:v>
      </x:c>
      <x:c r="Z215" t="n">
        <x:v>0</x:v>
      </x:c>
      <x:c r="AA215" t="n">
        <x:v>21</x:v>
      </x:c>
      <x:c r="AB215" t="n">
        <x:v>22</x:v>
      </x:c>
      <x:c r="AC215" t="n">
        <x:v>4.5</x:v>
      </x:c>
      <x:c r="AD215" t="n">
        <x:v>25.5</x:v>
      </x:c>
      <x:c r="AE215" t="n">
        <x:v>0.09</x:v>
      </x:c>
      <x:c r="AF215" t="n">
        <x:v>12</x:v>
      </x:c>
      <x:c r="AG215" t="n">
        <x:v>12</x:v>
      </x:c>
      <x:c r="AH215" t="n">
        <x:v>24</x:v>
      </x:c>
      <x:c r="AI215" t="n">
        <x:v>8</x:v>
      </x:c>
      <x:c r="AJ215" t="n">
        <x:v>11</x:v>
      </x:c>
      <x:c r="AK215" t="n">
        <x:v>250</x:v>
      </x:c>
      <x:c r="AL215" t="str">
        <x:v>Direkte elektrisk; Olje;</x:v>
      </x:c>
      <x:c r="AM215" t="n">
        <x:v>0</x:v>
      </x:c>
      <x:c r="AN215" t="n">
        <x:v>0</x:v>
      </x:c>
      <x:c r="AO215" t="n">
        <x:v>1</x:v>
      </x:c>
      <x:c r="AP215" t="n">
        <x:v>0</x:v>
      </x:c>
      <x:c r="AQ215" t="n">
        <x:v>1</x:v>
      </x:c>
      <x:c r="AR215" t="n">
        <x:v>1</x:v>
      </x:c>
      <x:c r="AS215" t="n">
        <x:v>0</x:v>
      </x:c>
      <x:c r="AT215" t="n">
        <x:v>0</x:v>
      </x:c>
      <x:c r="AU215" t="str">
        <x:v>energiattester_export_2025-08-14.json | PDF vedlegg side 5-7</x:v>
      </x:c>
      <x:c r="AV215" s="12" t="n">
        <x:f>IF(COUNT(O215,P215,Q215,R215,K215,L215,M215,N215)=8,O215*K215+P215*L215+Q215*M215+R215*N215,"")</x:f>
        <x:v>856.0600000000001</x:v>
      </x:c>
      <x:c r="AW215" s="12" t="n">
        <x:f>IF(AND(ISNUMBER(AV215),H215&gt;0),AV215/H215,"")</x:f>
        <x:v>1.4220265780730899</x:v>
      </x:c>
      <x:c r="AX215" s="12" t="n">
        <x:f>IF(AND(ISNUMBER(AD215),H215&gt;0),AD215*H215*3600,"")</x:f>
        <x:v>55263600</x:v>
      </x:c>
      <x:c r="AY215" s="12" t="n">
        <x:f>IF(AND(ISNUMBER(Y215),H215&gt;0),Y215*H215,"")</x:f>
        <x:v>145082</x:v>
      </x:c>
      <x:c r="AZ215" t="str">
        <x:v>Høy</x:v>
      </x:c>
    </x:row>
    <x:row r="216" ht="22" customHeight="1">
      <x:c r="A216" t="str">
        <x:v>OT-27daea02f3d7</x:v>
      </x:c>
      <x:c r="B216" t="n">
        <x:v>2015</x:v>
      </x:c>
      <x:c r="C216" t="str">
        <x:v>Forretningsbygg</x:v>
      </x:c>
      <x:c r="D216" t="str">
        <x:v>BUTIKK</x:v>
      </x:c>
      <x:c r="E216" t="str">
        <x:v>F</x:v>
      </x:c>
      <x:c r="F216" t="str">
        <x:v>RED</x:v>
      </x:c>
      <x:c r="G216" t="n">
        <x:v>1979</x:v>
      </x:c>
      <x:c r="H216" t="n">
        <x:v>119</x:v>
      </x:c>
      <x:c r="I216" t="n">
        <x:v>364.5</x:v>
      </x:c>
      <x:c r="J216" t="str">
        <x:v>PDF/avansert</x:v>
      </x:c>
      <x:c r="K216" t="n">
        <x:v>54</x:v>
      </x:c>
      <x:c r="L216" t="n">
        <x:v>0</x:v>
      </x:c>
      <x:c r="M216" t="n">
        <x:v>0</x:v>
      </x:c>
      <x:c r="N216" t="n">
        <x:v>33</x:v>
      </x:c>
      <x:c r="O216" t="n">
        <x:v>0.28</x:v>
      </x:c>
      <x:c r="P216" t="n">
        <x:v>0</x:v>
      </x:c>
      <x:c r="Q216" t="n">
        <x:v>0</x:v>
      </x:c>
      <x:c r="R216" t="n">
        <x:v>1.48</x:v>
      </x:c>
      <x:c r="S216" t="n">
        <x:v>0</x:v>
      </x:c>
      <x:c r="T216" t="n">
        <x:v>0</x:v>
      </x:c>
      <x:c r="U216" t="n">
        <x:v>2.5</x:v>
      </x:c>
      <x:c r="V216" t="n">
        <x:v>0.23</x:v>
      </x:c>
      <x:c r="W216" t="n">
        <x:v>13</x:v>
      </x:c>
      <x:c r="X216" t="n">
        <x:v>89</x:v>
      </x:c>
      <x:c r="Y216" t="n">
        <x:v>220</x:v>
      </x:c>
      <x:c r="Z216" t="n">
        <x:v>0</x:v>
      </x:c>
      <x:c r="AA216" t="n">
        <x:v>21</x:v>
      </x:c>
      <x:c r="AB216" t="n">
        <x:v>22</x:v>
      </x:c>
      <x:c r="AC216" t="n">
        <x:v>7</x:v>
      </x:c>
      <x:c r="AD216" t="n">
        <x:v>122.1</x:v>
      </x:c>
      <x:c r="AE216" t="n">
        <x:v>0.12</x:v>
      </x:c>
      <x:c r="AF216" t="n">
        <x:v>12</x:v>
      </x:c>
      <x:c r="AG216" t="n">
        <x:v>12</x:v>
      </x:c>
      <x:c r="AH216" t="n">
        <x:v>24</x:v>
      </x:c>
      <x:c r="AI216" t="n">
        <x:v>15</x:v>
      </x:c>
      <x:c r="AJ216" t="n">
        <x:v>1</x:v>
      </x:c>
      <x:c r="AK216" t="n">
        <x:v>250</x:v>
      </x:c>
      <x:c r="AL216" t="str">
        <x:v>Direkte elektrisk;</x:v>
      </x:c>
      <x:c r="AM216"/>
      <x:c r="AN216"/>
      <x:c r="AO216"/>
      <x:c r="AP216"/>
      <x:c r="AQ216"/>
      <x:c r="AR216"/>
      <x:c r="AS216"/>
      <x:c r="AT216"/>
      <x:c r="AU216" t="str">
        <x:v>energiattester_export_2025-08-14.json | PDF vedlegg side 5-7</x:v>
      </x:c>
      <x:c r="AV216" s="12" t="n">
        <x:f>IF(COUNT(O216,P216,Q216,R216,K216,L216,M216,N216)=8,O216*K216+P216*L216+Q216*M216+R216*N216,"")</x:f>
        <x:v>63.959999999999994</x:v>
      </x:c>
      <x:c r="AW216" s="12" t="n">
        <x:f>IF(AND(ISNUMBER(AV216),H216&gt;0),AV216/H216,"")</x:f>
        <x:v>0.5374789915966386</x:v>
      </x:c>
      <x:c r="AX216" s="12" t="n">
        <x:f>IF(AND(ISNUMBER(AD216),H216&gt;0),AD216*H216*3600,"")</x:f>
        <x:v>52307640</x:v>
      </x:c>
      <x:c r="AY216" s="12" t="n">
        <x:f>IF(AND(ISNUMBER(Y216),H216&gt;0),Y216*H216,"")</x:f>
        <x:v>26180</x:v>
      </x:c>
      <x:c r="AZ216" t="str">
        <x:v>Høy</x:v>
      </x:c>
    </x:row>
    <x:row r="217" ht="22" customHeight="1">
      <x:c r="A217" t="str">
        <x:v>OT-6fdb13249ee7</x:v>
      </x:c>
      <x:c r="B217" t="n">
        <x:v>2015</x:v>
      </x:c>
      <x:c r="C217" t="str">
        <x:v>Kontorbygg</x:v>
      </x:c>
      <x:c r="D217" t="str">
        <x:v>Kontorer, med ventilasjon og kjøleanlegg</x:v>
      </x:c>
      <x:c r="E217" t="str">
        <x:v>G</x:v>
      </x:c>
      <x:c r="F217" t="str">
        <x:v>RED</x:v>
      </x:c>
      <x:c r="G217" t="n">
        <x:v>1962</x:v>
      </x:c>
      <x:c r="H217" t="n">
        <x:v>744</x:v>
      </x:c>
      <x:c r="I217" t="n">
        <x:v>332.7</x:v>
      </x:c>
      <x:c r="J217" t="str">
        <x:v>PDF/avansert</x:v>
      </x:c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str">
        <x:v>energiattester_export_2025-08-14.json | PDF vedlegg side 5-7</x:v>
      </x:c>
      <x:c r="AV217" s="12" t="str">
        <x:f>IF(COUNT(O217,P217,Q217,R217,K217,L217,M217,N217)=8,O217*K217+P217*L217+Q217*M217+R217*N217,"")</x:f>
      </x:c>
      <x:c r="AW217" s="12" t="str">
        <x:f>IF(AND(ISNUMBER(AV217),H217&gt;0),AV217/H217,"")</x:f>
      </x:c>
      <x:c r="AX217" s="12" t="str">
        <x:f>IF(AND(ISNUMBER(AD217),H217&gt;0),AD217*H217*3600,"")</x:f>
      </x:c>
      <x:c r="AY217" s="12" t="str">
        <x:f>IF(AND(ISNUMBER(Y217),H217&gt;0),Y217*H217,"")</x:f>
      </x:c>
      <x:c r="AZ217" t="str">
        <x:v>Mangler data</x:v>
      </x:c>
    </x:row>
    <x:row r="218" ht="22" customHeight="1">
      <x:c r="A218" t="str">
        <x:v>OT-a59869005163</x:v>
      </x:c>
      <x:c r="B218" t="n">
        <x:v>2015</x:v>
      </x:c>
      <x:c r="C218" t="str">
        <x:v>Kontorbygg</x:v>
      </x:c>
      <x:c r="D218" t="str">
        <x:v>KONTORER, MED VENTILASJON OG KJØLEANLEGG</x:v>
      </x:c>
      <x:c r="E218" t="str">
        <x:v>G</x:v>
      </x:c>
      <x:c r="F218" t="str">
        <x:v>RED</x:v>
      </x:c>
      <x:c r="G218" t="n">
        <x:v>1997</x:v>
      </x:c>
      <x:c r="H218" t="n">
        <x:v>3973</x:v>
      </x:c>
      <x:c r="I218" t="n">
        <x:v>275.5</x:v>
      </x:c>
      <x:c r="J218" t="str">
        <x:v>PDF/avansert</x:v>
      </x:c>
      <x:c r="K218" t="n">
        <x:v>2753</x:v>
      </x:c>
      <x:c r="L218" t="n">
        <x:v>2151</x:v>
      </x:c>
      <x:c r="M218" t="n">
        <x:v>1999</x:v>
      </x:c>
      <x:c r="N218" t="n">
        <x:v>341</x:v>
      </x:c>
      <x:c r="O218" t="n">
        <x:v>0.35</x:v>
      </x:c>
      <x:c r="P218" t="n">
        <x:v>0.24</x:v>
      </x:c>
      <x:c r="Q218" t="n">
        <x:v>0.16</x:v>
      </x:c>
      <x:c r="R218" t="n">
        <x:v>2.21</x:v>
      </x:c>
      <x:c r="S218" t="n">
        <x:v>67</x:v>
      </x:c>
      <x:c r="T218" t="n">
        <x:v>67</x:v>
      </x:c>
      <x:c r="U218" t="n">
        <x:v>3.78</x:v>
      </x:c>
      <x:c r="V218" t="n">
        <x:v>0.46</x:v>
      </x:c>
      <x:c r="W218" t="n">
        <x:v>9.53</x:v>
      </x:c>
      <x:c r="X218" t="n">
        <x:v>89</x:v>
      </x:c>
      <x:c r="Y218" t="n">
        <x:v>132</x:v>
      </x:c>
      <x:c r="Z218" t="n">
        <x:v>69</x:v>
      </x:c>
      <x:c r="AA218" t="n">
        <x:v>21</x:v>
      </x:c>
      <x:c r="AB218" t="n">
        <x:v>22</x:v>
      </x:c>
      <x:c r="AC218" t="n">
        <x:v>1.5</x:v>
      </x:c>
      <x:c r="AD218" t="n">
        <x:v>113.5</x:v>
      </x:c>
      <x:c r="AE218" t="n">
        <x:v>0.12</x:v>
      </x:c>
      <x:c r="AF218" t="n">
        <x:v>12</x:v>
      </x:c>
      <x:c r="AG218" t="n">
        <x:v>12</x:v>
      </x:c>
      <x:c r="AH218" t="n">
        <x:v>24</x:v>
      </x:c>
      <x:c r="AI218" t="n">
        <x:v>8</x:v>
      </x:c>
      <x:c r="AJ218" t="n">
        <x:v>11</x:v>
      </x:c>
      <x:c r="AK218" t="n">
        <x:v>250</x:v>
      </x:c>
      <x:c r="AL218" t="str">
        <x:v>Direkte elektrisk;</x:v>
      </x:c>
      <x:c r="AM218" t="n">
        <x:v>0</x:v>
      </x:c>
      <x:c r="AN218" t="n">
        <x:v>0</x:v>
      </x:c>
      <x:c r="AO218" t="n">
        <x:v>1</x:v>
      </x:c>
      <x:c r="AP218" t="n">
        <x:v>0</x:v>
      </x:c>
      <x:c r="AQ218" t="n">
        <x:v>1</x:v>
      </x:c>
      <x:c r="AR218" t="n">
        <x:v>1</x:v>
      </x:c>
      <x:c r="AS218" t="n">
        <x:v>0</x:v>
      </x:c>
      <x:c r="AT218" t="n">
        <x:v>0</x:v>
      </x:c>
      <x:c r="AU218" t="str">
        <x:v>energiattester_export_2025-08-14.json | PDF vedlegg side 5-7</x:v>
      </x:c>
      <x:c r="AV218" s="12" t="n">
        <x:f>IF(COUNT(O218,P218,Q218,R218,K218,L218,M218,N218)=8,O218*K218+P218*L218+Q218*M218+R218*N218,"")</x:f>
        <x:v>2553.2400000000002</x:v>
      </x:c>
      <x:c r="AW218" s="12" t="n">
        <x:f>IF(AND(ISNUMBER(AV218),H218&gt;0),AV218/H218,"")</x:f>
        <x:v>0.6426478731437202</x:v>
      </x:c>
      <x:c r="AX218" s="12" t="n">
        <x:f>IF(AND(ISNUMBER(AD218),H218&gt;0),AD218*H218*3600,"")</x:f>
        <x:v>1623367800</x:v>
      </x:c>
      <x:c r="AY218" s="12" t="n">
        <x:f>IF(AND(ISNUMBER(Y218),H218&gt;0),Y218*H218,"")</x:f>
        <x:v>524436</x:v>
      </x:c>
      <x:c r="AZ218" t="str">
        <x:v>Høy</x:v>
      </x:c>
    </x:row>
    <x:row r="219" ht="22" customHeight="1">
      <x:c r="A219" t="str">
        <x:v>OT-de2be1fd7872</x:v>
      </x:c>
      <x:c r="B219" t="n">
        <x:v>2015</x:v>
      </x:c>
      <x:c r="C219" t="str">
        <x:v>Kontorbygg</x:v>
      </x:c>
      <x:c r="D219" t="str">
        <x:v>KONTORER, MED VENTILASJON OG KJØLEANLEGG</x:v>
      </x:c>
      <x:c r="E219" t="str">
        <x:v>G</x:v>
      </x:c>
      <x:c r="F219" t="str">
        <x:v>RED</x:v>
      </x:c>
      <x:c r="G219" t="n">
        <x:v>1997</x:v>
      </x:c>
      <x:c r="H219" t="n">
        <x:v>3973</x:v>
      </x:c>
      <x:c r="I219" t="n">
        <x:v>275.5</x:v>
      </x:c>
      <x:c r="J219" t="str">
        <x:v>PDF/avansert</x:v>
      </x:c>
      <x:c r="K219" t="n">
        <x:v>2753</x:v>
      </x:c>
      <x:c r="L219" t="n">
        <x:v>2151</x:v>
      </x:c>
      <x:c r="M219" t="n">
        <x:v>1999</x:v>
      </x:c>
      <x:c r="N219" t="n">
        <x:v>341</x:v>
      </x:c>
      <x:c r="O219" t="n">
        <x:v>0.35</x:v>
      </x:c>
      <x:c r="P219" t="n">
        <x:v>0.24</x:v>
      </x:c>
      <x:c r="Q219" t="n">
        <x:v>0.16</x:v>
      </x:c>
      <x:c r="R219" t="n">
        <x:v>2.21</x:v>
      </x:c>
      <x:c r="S219" t="n">
        <x:v>67</x:v>
      </x:c>
      <x:c r="T219" t="n">
        <x:v>67</x:v>
      </x:c>
      <x:c r="U219" t="n">
        <x:v>3.78</x:v>
      </x:c>
      <x:c r="V219" t="n">
        <x:v>0.46</x:v>
      </x:c>
      <x:c r="W219" t="n">
        <x:v>9.53</x:v>
      </x:c>
      <x:c r="X219" t="n">
        <x:v>89</x:v>
      </x:c>
      <x:c r="Y219" t="n">
        <x:v>132</x:v>
      </x:c>
      <x:c r="Z219" t="n">
        <x:v>69</x:v>
      </x:c>
      <x:c r="AA219" t="n">
        <x:v>21</x:v>
      </x:c>
      <x:c r="AB219" t="n">
        <x:v>22</x:v>
      </x:c>
      <x:c r="AC219" t="n">
        <x:v>1.5</x:v>
      </x:c>
      <x:c r="AD219" t="n">
        <x:v>113.5</x:v>
      </x:c>
      <x:c r="AE219" t="n">
        <x:v>0.12</x:v>
      </x:c>
      <x:c r="AF219" t="n">
        <x:v>12</x:v>
      </x:c>
      <x:c r="AG219" t="n">
        <x:v>12</x:v>
      </x:c>
      <x:c r="AH219" t="n">
        <x:v>24</x:v>
      </x:c>
      <x:c r="AI219" t="n">
        <x:v>8</x:v>
      </x:c>
      <x:c r="AJ219" t="n">
        <x:v>11</x:v>
      </x:c>
      <x:c r="AK219" t="n">
        <x:v>250</x:v>
      </x:c>
      <x:c r="AL219" t="str">
        <x:v>Direkte elektrisk;</x:v>
      </x:c>
      <x:c r="AM219" t="n">
        <x:v>0</x:v>
      </x:c>
      <x:c r="AN219" t="n">
        <x:v>0</x:v>
      </x:c>
      <x:c r="AO219" t="n">
        <x:v>1</x:v>
      </x:c>
      <x:c r="AP219" t="n">
        <x:v>0</x:v>
      </x:c>
      <x:c r="AQ219" t="n">
        <x:v>1</x:v>
      </x:c>
      <x:c r="AR219" t="n">
        <x:v>1</x:v>
      </x:c>
      <x:c r="AS219" t="n">
        <x:v>0</x:v>
      </x:c>
      <x:c r="AT219" t="n">
        <x:v>0</x:v>
      </x:c>
      <x:c r="AU219" t="str">
        <x:v>energiattester_export_2025-08-14.json | PDF vedlegg side 5-7</x:v>
      </x:c>
      <x:c r="AV219" s="12" t="n">
        <x:f>IF(COUNT(O219,P219,Q219,R219,K219,L219,M219,N219)=8,O219*K219+P219*L219+Q219*M219+R219*N219,"")</x:f>
        <x:v>2553.2400000000002</x:v>
      </x:c>
      <x:c r="AW219" s="12" t="n">
        <x:f>IF(AND(ISNUMBER(AV219),H219&gt;0),AV219/H219,"")</x:f>
        <x:v>0.6426478731437202</x:v>
      </x:c>
      <x:c r="AX219" s="12" t="n">
        <x:f>IF(AND(ISNUMBER(AD219),H219&gt;0),AD219*H219*3600,"")</x:f>
        <x:v>1623367800</x:v>
      </x:c>
      <x:c r="AY219" s="12" t="n">
        <x:f>IF(AND(ISNUMBER(Y219),H219&gt;0),Y219*H219,"")</x:f>
        <x:v>524436</x:v>
      </x:c>
      <x:c r="AZ219" t="str">
        <x:v>Høy</x:v>
      </x:c>
    </x:row>
    <x:row r="220" ht="22" customHeight="1">
      <x:c r="A220" t="str">
        <x:v>OT-39baf5f5fb5c</x:v>
      </x:c>
      <x:c r="B220" t="n">
        <x:v>2015</x:v>
      </x:c>
      <x:c r="C220" t="str">
        <x:v>Kontorbygg</x:v>
      </x:c>
      <x:c r="D220" t="str">
        <x:v>KONTORER, MED VENTILASJON OG KJØLEANLEGG</x:v>
      </x:c>
      <x:c r="E220" t="str">
        <x:v>G</x:v>
      </x:c>
      <x:c r="F220" t="str">
        <x:v>RED</x:v>
      </x:c>
      <x:c r="G220" t="n">
        <x:v>1997</x:v>
      </x:c>
      <x:c r="H220" t="n">
        <x:v>3973</x:v>
      </x:c>
      <x:c r="I220" t="n">
        <x:v>275.5</x:v>
      </x:c>
      <x:c r="J220" t="str">
        <x:v>PDF/avansert</x:v>
      </x:c>
      <x:c r="K220" t="n">
        <x:v>2753</x:v>
      </x:c>
      <x:c r="L220" t="n">
        <x:v>2151</x:v>
      </x:c>
      <x:c r="M220" t="n">
        <x:v>1999</x:v>
      </x:c>
      <x:c r="N220" t="n">
        <x:v>341</x:v>
      </x:c>
      <x:c r="O220" t="n">
        <x:v>0.35</x:v>
      </x:c>
      <x:c r="P220" t="n">
        <x:v>0.24</x:v>
      </x:c>
      <x:c r="Q220" t="n">
        <x:v>0.16</x:v>
      </x:c>
      <x:c r="R220" t="n">
        <x:v>2.21</x:v>
      </x:c>
      <x:c r="S220" t="n">
        <x:v>67</x:v>
      </x:c>
      <x:c r="T220" t="n">
        <x:v>67</x:v>
      </x:c>
      <x:c r="U220" t="n">
        <x:v>3.78</x:v>
      </x:c>
      <x:c r="V220" t="n">
        <x:v>0.46</x:v>
      </x:c>
      <x:c r="W220" t="n">
        <x:v>9.53</x:v>
      </x:c>
      <x:c r="X220" t="n">
        <x:v>89</x:v>
      </x:c>
      <x:c r="Y220" t="n">
        <x:v>132</x:v>
      </x:c>
      <x:c r="Z220" t="n">
        <x:v>69</x:v>
      </x:c>
      <x:c r="AA220" t="n">
        <x:v>21</x:v>
      </x:c>
      <x:c r="AB220" t="n">
        <x:v>22</x:v>
      </x:c>
      <x:c r="AC220" t="n">
        <x:v>1.5</x:v>
      </x:c>
      <x:c r="AD220" t="n">
        <x:v>113.5</x:v>
      </x:c>
      <x:c r="AE220" t="n">
        <x:v>0.12</x:v>
      </x:c>
      <x:c r="AF220" t="n">
        <x:v>12</x:v>
      </x:c>
      <x:c r="AG220" t="n">
        <x:v>12</x:v>
      </x:c>
      <x:c r="AH220" t="n">
        <x:v>24</x:v>
      </x:c>
      <x:c r="AI220" t="n">
        <x:v>8</x:v>
      </x:c>
      <x:c r="AJ220" t="n">
        <x:v>11</x:v>
      </x:c>
      <x:c r="AK220" t="n">
        <x:v>250</x:v>
      </x:c>
      <x:c r="AL220" t="str">
        <x:v>Direkte elektrisk;</x:v>
      </x:c>
      <x:c r="AM220" t="n">
        <x:v>0</x:v>
      </x:c>
      <x:c r="AN220" t="n">
        <x:v>0</x:v>
      </x:c>
      <x:c r="AO220" t="n">
        <x:v>1</x:v>
      </x:c>
      <x:c r="AP220" t="n">
        <x:v>0</x:v>
      </x:c>
      <x:c r="AQ220" t="n">
        <x:v>1</x:v>
      </x:c>
      <x:c r="AR220" t="n">
        <x:v>1</x:v>
      </x:c>
      <x:c r="AS220" t="n">
        <x:v>0</x:v>
      </x:c>
      <x:c r="AT220" t="n">
        <x:v>0</x:v>
      </x:c>
      <x:c r="AU220" t="str">
        <x:v>energiattester_export_2025-08-14.json | PDF vedlegg side 5-7</x:v>
      </x:c>
      <x:c r="AV220" s="12" t="n">
        <x:f>IF(COUNT(O220,P220,Q220,R220,K220,L220,M220,N220)=8,O220*K220+P220*L220+Q220*M220+R220*N220,"")</x:f>
        <x:v>2553.2400000000002</x:v>
      </x:c>
      <x:c r="AW220" s="12" t="n">
        <x:f>IF(AND(ISNUMBER(AV220),H220&gt;0),AV220/H220,"")</x:f>
        <x:v>0.6426478731437202</x:v>
      </x:c>
      <x:c r="AX220" s="12" t="n">
        <x:f>IF(AND(ISNUMBER(AD220),H220&gt;0),AD220*H220*3600,"")</x:f>
        <x:v>1623367800</x:v>
      </x:c>
      <x:c r="AY220" s="12" t="n">
        <x:f>IF(AND(ISNUMBER(Y220),H220&gt;0),Y220*H220,"")</x:f>
        <x:v>524436</x:v>
      </x:c>
      <x:c r="AZ220" t="str">
        <x:v>Høy</x:v>
      </x:c>
    </x:row>
    <x:row r="221" ht="22" customHeight="1">
      <x:c r="A221" t="str">
        <x:v>OT-160d6a087467</x:v>
      </x:c>
      <x:c r="B221" t="n">
        <x:v>2015</x:v>
      </x:c>
      <x:c r="C221" t="str">
        <x:v>Kontorbygg</x:v>
      </x:c>
      <x:c r="D221" t="str">
        <x:v>KONTORER, MED VENTILASJON OG KJØLEANLEGG</x:v>
      </x:c>
      <x:c r="E221" t="str">
        <x:v>G</x:v>
      </x:c>
      <x:c r="F221" t="str">
        <x:v>RED</x:v>
      </x:c>
      <x:c r="G221" t="n">
        <x:v>1997</x:v>
      </x:c>
      <x:c r="H221" t="n">
        <x:v>3973</x:v>
      </x:c>
      <x:c r="I221" t="n">
        <x:v>275.5</x:v>
      </x:c>
      <x:c r="J221" t="str">
        <x:v>PDF/avansert</x:v>
      </x:c>
      <x:c r="K221" t="n">
        <x:v>2753</x:v>
      </x:c>
      <x:c r="L221" t="n">
        <x:v>2151</x:v>
      </x:c>
      <x:c r="M221" t="n">
        <x:v>1999</x:v>
      </x:c>
      <x:c r="N221" t="n">
        <x:v>341</x:v>
      </x:c>
      <x:c r="O221" t="n">
        <x:v>0.35</x:v>
      </x:c>
      <x:c r="P221" t="n">
        <x:v>0.24</x:v>
      </x:c>
      <x:c r="Q221" t="n">
        <x:v>0.16</x:v>
      </x:c>
      <x:c r="R221" t="n">
        <x:v>2.21</x:v>
      </x:c>
      <x:c r="S221" t="n">
        <x:v>67</x:v>
      </x:c>
      <x:c r="T221" t="n">
        <x:v>67</x:v>
      </x:c>
      <x:c r="U221" t="n">
        <x:v>3.78</x:v>
      </x:c>
      <x:c r="V221" t="n">
        <x:v>0.46</x:v>
      </x:c>
      <x:c r="W221" t="n">
        <x:v>9.53</x:v>
      </x:c>
      <x:c r="X221" t="n">
        <x:v>89</x:v>
      </x:c>
      <x:c r="Y221" t="n">
        <x:v>132</x:v>
      </x:c>
      <x:c r="Z221" t="n">
        <x:v>69</x:v>
      </x:c>
      <x:c r="AA221" t="n">
        <x:v>21</x:v>
      </x:c>
      <x:c r="AB221" t="n">
        <x:v>22</x:v>
      </x:c>
      <x:c r="AC221" t="n">
        <x:v>1.5</x:v>
      </x:c>
      <x:c r="AD221" t="n">
        <x:v>113.5</x:v>
      </x:c>
      <x:c r="AE221" t="n">
        <x:v>0.12</x:v>
      </x:c>
      <x:c r="AF221" t="n">
        <x:v>12</x:v>
      </x:c>
      <x:c r="AG221" t="n">
        <x:v>12</x:v>
      </x:c>
      <x:c r="AH221" t="n">
        <x:v>24</x:v>
      </x:c>
      <x:c r="AI221" t="n">
        <x:v>8</x:v>
      </x:c>
      <x:c r="AJ221" t="n">
        <x:v>11</x:v>
      </x:c>
      <x:c r="AK221" t="n">
        <x:v>250</x:v>
      </x:c>
      <x:c r="AL221" t="str">
        <x:v>Direkte elektrisk;</x:v>
      </x:c>
      <x:c r="AM221" t="n">
        <x:v>0</x:v>
      </x:c>
      <x:c r="AN221" t="n">
        <x:v>0</x:v>
      </x:c>
      <x:c r="AO221" t="n">
        <x:v>1</x:v>
      </x:c>
      <x:c r="AP221" t="n">
        <x:v>0</x:v>
      </x:c>
      <x:c r="AQ221" t="n">
        <x:v>1</x:v>
      </x:c>
      <x:c r="AR221" t="n">
        <x:v>1</x:v>
      </x:c>
      <x:c r="AS221" t="n">
        <x:v>0</x:v>
      </x:c>
      <x:c r="AT221" t="n">
        <x:v>0</x:v>
      </x:c>
      <x:c r="AU221" t="str">
        <x:v>energiattester_export_2025-08-14.json | PDF vedlegg side 5-7</x:v>
      </x:c>
      <x:c r="AV221" s="12" t="n">
        <x:f>IF(COUNT(O221,P221,Q221,R221,K221,L221,M221,N221)=8,O221*K221+P221*L221+Q221*M221+R221*N221,"")</x:f>
        <x:v>2553.2400000000002</x:v>
      </x:c>
      <x:c r="AW221" s="12" t="n">
        <x:f>IF(AND(ISNUMBER(AV221),H221&gt;0),AV221/H221,"")</x:f>
        <x:v>0.6426478731437202</x:v>
      </x:c>
      <x:c r="AX221" s="12" t="n">
        <x:f>IF(AND(ISNUMBER(AD221),H221&gt;0),AD221*H221*3600,"")</x:f>
        <x:v>1623367800</x:v>
      </x:c>
      <x:c r="AY221" s="12" t="n">
        <x:f>IF(AND(ISNUMBER(Y221),H221&gt;0),Y221*H221,"")</x:f>
        <x:v>524436</x:v>
      </x:c>
      <x:c r="AZ221" t="str">
        <x:v>Høy</x:v>
      </x:c>
    </x:row>
    <x:row r="222" ht="22" customHeight="1">
      <x:c r="A222" t="str">
        <x:v>OT-0c7740cc5b7a</x:v>
      </x:c>
      <x:c r="B222" t="n">
        <x:v>2015</x:v>
      </x:c>
      <x:c r="C222" t="str">
        <x:v>Hoteller</x:v>
      </x:c>
      <x:c r="D222" t="str">
        <x:v>HOTELLBYGNING</x:v>
      </x:c>
      <x:c r="E222" t="str">
        <x:v>E</x:v>
      </x:c>
      <x:c r="F222" t="str">
        <x:v>RED</x:v>
      </x:c>
      <x:c r="G222" t="n">
        <x:v>1994</x:v>
      </x:c>
      <x:c r="H222" t="n">
        <x:v>2025</x:v>
      </x:c>
      <x:c r="I222" t="n">
        <x:v>300.2</x:v>
      </x:c>
      <x:c r="J222" t="str">
        <x:v>PDF/avansert</x:v>
      </x:c>
      <x:c r="K222" t="n">
        <x:v>823</x:v>
      </x:c>
      <x:c r="L222" t="n">
        <x:v>1170</x:v>
      </x:c>
      <x:c r="M222" t="n">
        <x:v>1066</x:v>
      </x:c>
      <x:c r="N222" t="n">
        <x:v>175</x:v>
      </x:c>
      <x:c r="O222" t="n">
        <x:v>0.3</x:v>
      </x:c>
      <x:c r="P222" t="n">
        <x:v>0.2</x:v>
      </x:c>
      <x:c r="Q222" t="n">
        <x:v>0.2</x:v>
      </x:c>
      <x:c r="R222" t="n">
        <x:v>1.6</x:v>
      </x:c>
      <x:c r="S222" t="n">
        <x:v>23</x:v>
      </x:c>
      <x:c r="T222" t="n">
        <x:v>23</x:v>
      </x:c>
      <x:c r="U222" t="n">
        <x:v>0.72</x:v>
      </x:c>
      <x:c r="V222" t="n">
        <x:v>0.29</x:v>
      </x:c>
      <x:c r="W222" t="n">
        <x:v>7</x:v>
      </x:c>
      <x:c r="X222" t="n">
        <x:v>81</x:v>
      </x:c>
      <x:c r="Y222" t="n">
        <x:v>110</x:v>
      </x:c>
      <x:c r="Z222" t="n">
        <x:v>0</x:v>
      </x:c>
      <x:c r="AA222" t="n">
        <x:v>21</x:v>
      </x:c>
      <x:c r="AB222" t="n">
        <x:v>22</x:v>
      </x:c>
      <x:c r="AC222" t="n">
        <x:v>3</x:v>
      </x:c>
      <x:c r="AD222" t="n">
        <x:v>23.9</x:v>
      </x:c>
      <x:c r="AE222" t="n">
        <x:v>0.05</x:v>
      </x:c>
      <x:c r="AF222" t="n">
        <x:v>16</x:v>
      </x:c>
      <x:c r="AG222" t="n">
        <x:v>16</x:v>
      </x:c>
      <x:c r="AH222" t="n">
        <x:v>24</x:v>
      </x:c>
      <x:c r="AI222" t="n">
        <x:v>8</x:v>
      </x:c>
      <x:c r="AJ222" t="n">
        <x:v>1</x:v>
      </x:c>
      <x:c r="AK222" t="n">
        <x:v>250</x:v>
      </x:c>
      <x:c r="AL222" t="str">
        <x:v>Direkte elektrisk;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str">
        <x:v>energiattester_export_2025-08-14.json | PDF vedlegg side 5-7</x:v>
      </x:c>
      <x:c r="AV222" s="12" t="n">
        <x:f>IF(COUNT(O222,P222,Q222,R222,K222,L222,M222,N222)=8,O222*K222+P222*L222+Q222*M222+R222*N222,"")</x:f>
        <x:v>974.1</x:v>
      </x:c>
      <x:c r="AW222" s="12" t="n">
        <x:f>IF(AND(ISNUMBER(AV222),H222&gt;0),AV222/H222,"")</x:f>
        <x:v>0.48103703703703704</x:v>
      </x:c>
      <x:c r="AX222" s="12" t="n">
        <x:f>IF(AND(ISNUMBER(AD222),H222&gt;0),AD222*H222*3600,"")</x:f>
        <x:v>174231000</x:v>
      </x:c>
      <x:c r="AY222" s="12" t="n">
        <x:f>IF(AND(ISNUMBER(Y222),H222&gt;0),Y222*H222,"")</x:f>
        <x:v>222750</x:v>
      </x:c>
      <x:c r="AZ222" t="str">
        <x:v>Høy</x:v>
      </x:c>
    </x:row>
    <x:row r="223" ht="22" customHeight="1">
      <x:c r="A223" t="str">
        <x:v>OT-4d0f58405051</x:v>
      </x:c>
      <x:c r="B223" t="n">
        <x:v>2015</x:v>
      </x:c>
      <x:c r="C223" t="str">
        <x:v>Kontorbygg</x:v>
      </x:c>
      <x:c r="D223" t="str">
        <x:v>KONTORER, ENKLE</x:v>
      </x:c>
      <x:c r="E223" t="str">
        <x:v>G</x:v>
      </x:c>
      <x:c r="F223" t="str">
        <x:v>RED</x:v>
      </x:c>
      <x:c r="G223" t="n">
        <x:v>1800</x:v>
      </x:c>
      <x:c r="H223" t="n">
        <x:v>1041</x:v>
      </x:c>
      <x:c r="I223" t="n">
        <x:v>598.3</x:v>
      </x:c>
      <x:c r="J223" t="str">
        <x:v>PDF/avansert</x:v>
      </x:c>
      <x:c r="K223" t="n">
        <x:v>854</x:v>
      </x:c>
      <x:c r="L223" t="n">
        <x:v>666</x:v>
      </x:c>
      <x:c r="M223" t="n">
        <x:v>345</x:v>
      </x:c>
      <x:c r="N223" t="n">
        <x:v>132</x:v>
      </x:c>
      <x:c r="O223" t="n">
        <x:v>1.18</x:v>
      </x:c>
      <x:c r="P223" t="n">
        <x:v>1.06</x:v>
      </x:c>
      <x:c r="Q223" t="n">
        <x:v>0.51</x:v>
      </x:c>
      <x:c r="R223" t="n">
        <x:v>3.06</x:v>
      </x:c>
      <x:c r="S223" t="n">
        <x:v>0</x:v>
      </x:c>
      <x:c r="T223" t="n">
        <x:v>0</x:v>
      </x:c>
      <x:c r="U223" t="n">
        <x:v>2</x:v>
      </x:c>
      <x:c r="V223" t="n">
        <x:v>0.3</x:v>
      </x:c>
      <x:c r="W223" t="n">
        <x:v>10</x:v>
      </x:c>
      <x:c r="X223" t="n">
        <x:v>89</x:v>
      </x:c>
      <x:c r="Y223" t="n">
        <x:v>260</x:v>
      </x:c>
      <x:c r="Z223" t="n">
        <x:v>140</x:v>
      </x:c>
      <x:c r="AA223" t="n">
        <x:v>21</x:v>
      </x:c>
      <x:c r="AB223" t="n">
        <x:v>22</x:v>
      </x:c>
      <x:c r="AC223" t="n">
        <x:v>3</x:v>
      </x:c>
      <x:c r="AD223" t="n">
        <x:v>39.8</x:v>
      </x:c>
      <x:c r="AE223" t="n">
        <x:v>0.12</x:v>
      </x:c>
      <x:c r="AF223" t="n">
        <x:v>12</x:v>
      </x:c>
      <x:c r="AG223" t="n">
        <x:v>12</x:v>
      </x:c>
      <x:c r="AH223" t="n">
        <x:v>24</x:v>
      </x:c>
      <x:c r="AI223" t="n">
        <x:v>8</x:v>
      </x:c>
      <x:c r="AJ223" t="n">
        <x:v>11</x:v>
      </x:c>
      <x:c r="AK223" t="n">
        <x:v>250</x:v>
      </x:c>
      <x:c r="AL223" t="str">
        <x:v>Direkte elektrisk;</x:v>
      </x:c>
      <x:c r="AM223" t="n">
        <x:v>0</x:v>
      </x:c>
      <x:c r="AN223" t="n">
        <x:v>0</x:v>
      </x:c>
      <x:c r="AO223" t="n">
        <x:v>1</x:v>
      </x:c>
      <x:c r="AP223" t="n">
        <x:v>1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str">
        <x:v>energiattester_export_2025-08-14.json | PDF vedlegg side 5-7</x:v>
      </x:c>
      <x:c r="AV223" s="12" t="n">
        <x:f>IF(COUNT(O223,P223,Q223,R223,K223,L223,M223,N223)=8,O223*K223+P223*L223+Q223*M223+R223*N223,"")</x:f>
        <x:v>2293.5499999999997</x:v>
      </x:c>
      <x:c r="AW223" s="12" t="n">
        <x:f>IF(AND(ISNUMBER(AV223),H223&gt;0),AV223/H223,"")</x:f>
        <x:v>2.203218059558117</x:v>
      </x:c>
      <x:c r="AX223" s="12" t="n">
        <x:f>IF(AND(ISNUMBER(AD223),H223&gt;0),AD223*H223*3600,"")</x:f>
        <x:v>149154479.99999997</x:v>
      </x:c>
      <x:c r="AY223" s="12" t="n">
        <x:f>IF(AND(ISNUMBER(Y223),H223&gt;0),Y223*H223,"")</x:f>
        <x:v>270660</x:v>
      </x:c>
      <x:c r="AZ223" t="str">
        <x:v>Høy</x:v>
      </x:c>
    </x:row>
    <x:row r="224" ht="22" customHeight="1">
      <x:c r="A224" t="str">
        <x:v>OT-0e366c91da59</x:v>
      </x:c>
      <x:c r="B224" t="n">
        <x:v>2015</x:v>
      </x:c>
      <x:c r="C224" t="str">
        <x:v>Forretningsbygg</x:v>
      </x:c>
      <x:c r="D224" t="str">
        <x:v>BUTIKK</x:v>
      </x:c>
      <x:c r="E224" t="str">
        <x:v>E</x:v>
      </x:c>
      <x:c r="F224" t="str">
        <x:v>RED</x:v>
      </x:c>
      <x:c r="G224" t="n">
        <x:v>1980</x:v>
      </x:c>
      <x:c r="H224" t="n">
        <x:v>690</x:v>
      </x:c>
      <x:c r="I224" t="n">
        <x:v>264.2</x:v>
      </x:c>
      <x:c r="J224" t="str">
        <x:v>PDF/avansert</x:v>
      </x:c>
      <x:c r="K224" t="n">
        <x:v>266</x:v>
      </x:c>
      <x:c r="L224" t="n">
        <x:v>772</x:v>
      </x:c>
      <x:c r="M224" t="n">
        <x:v>772</x:v>
      </x:c>
      <x:c r="N224" t="n">
        <x:v>93</x:v>
      </x:c>
      <x:c r="O224" t="n">
        <x:v>0.28</x:v>
      </x:c>
      <x:c r="P224" t="n">
        <x:v>0.18</x:v>
      </x:c>
      <x:c r="Q224" t="n">
        <x:v>0.18</x:v>
      </x:c>
      <x:c r="R224" t="n">
        <x:v>2.4</x:v>
      </x:c>
      <x:c r="S224" t="n">
        <x:v>68</x:v>
      </x:c>
      <x:c r="T224" t="n">
        <x:v>68</x:v>
      </x:c>
      <x:c r="U224" t="n">
        <x:v>2</x:v>
      </x:c>
      <x:c r="V224" t="n">
        <x:v>0.34</x:v>
      </x:c>
      <x:c r="W224" t="n">
        <x:v>13.2</x:v>
      </x:c>
      <x:c r="X224" t="n">
        <x:v>81</x:v>
      </x:c>
      <x:c r="Y224" t="n">
        <x:v>80</x:v>
      </x:c>
      <x:c r="Z224" t="n">
        <x:v>30</x:v>
      </x:c>
      <x:c r="AA224" t="n">
        <x:v>21</x:v>
      </x:c>
      <x:c r="AB224" t="n">
        <x:v>22</x:v>
      </x:c>
      <x:c r="AC224" t="n">
        <x:v>5</x:v>
      </x:c>
      <x:c r="AD224" t="n">
        <x:v>104</x:v>
      </x:c>
      <x:c r="AE224" t="n">
        <x:v>0.06</x:v>
      </x:c>
      <x:c r="AF224" t="n">
        <x:v>12</x:v>
      </x:c>
      <x:c r="AG224" t="n">
        <x:v>12</x:v>
      </x:c>
      <x:c r="AH224" t="n">
        <x:v>24</x:v>
      </x:c>
      <x:c r="AI224" t="n">
        <x:v>15</x:v>
      </x:c>
      <x:c r="AJ224" t="n">
        <x:v>1</x:v>
      </x:c>
      <x:c r="AK224" t="n">
        <x:v>250</x:v>
      </x:c>
      <x:c r="AL224" t="str">
        <x:v>Direkte elektrisk;</x:v>
      </x:c>
      <x:c r="AM224" t="n">
        <x:v>0</x:v>
      </x:c>
      <x:c r="AN224" t="n">
        <x:v>0</x:v>
      </x:c>
      <x:c r="AO224" t="n">
        <x:v>1</x:v>
      </x:c>
      <x:c r="AP224" t="n">
        <x:v>1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str">
        <x:v>energiattester_export_2025-08-14.json | PDF vedlegg side 5-7</x:v>
      </x:c>
      <x:c r="AV224" s="12" t="n">
        <x:f>IF(COUNT(O224,P224,Q224,R224,K224,L224,M224,N224)=8,O224*K224+P224*L224+Q224*M224+R224*N224,"")</x:f>
        <x:v>575.5999999999999</x:v>
      </x:c>
      <x:c r="AW224" s="12" t="n">
        <x:f>IF(AND(ISNUMBER(AV224),H224&gt;0),AV224/H224,"")</x:f>
        <x:v>0.8342028985507245</x:v>
      </x:c>
      <x:c r="AX224" s="12" t="n">
        <x:f>IF(AND(ISNUMBER(AD224),H224&gt;0),AD224*H224*3600,"")</x:f>
        <x:v>258336000</x:v>
      </x:c>
      <x:c r="AY224" s="12" t="n">
        <x:f>IF(AND(ISNUMBER(Y224),H224&gt;0),Y224*H224,"")</x:f>
        <x:v>55200</x:v>
      </x:c>
      <x:c r="AZ224" t="str">
        <x:v>Høy</x:v>
      </x:c>
    </x:row>
    <x:row r="225" ht="22" customHeight="1">
      <x:c r="A225" t="str">
        <x:v>OT-e08352e92387</x:v>
      </x:c>
      <x:c r="B225" t="n">
        <x:v>2015</x:v>
      </x:c>
      <x:c r="C225" t="str">
        <x:v>Kontorbygg</x:v>
      </x:c>
      <x:c r="D225" t="str">
        <x:v>KONTORER, MED VENTILASJON OG KJØLEANLEGG</x:v>
      </x:c>
      <x:c r="E225" t="str">
        <x:v>E</x:v>
      </x:c>
      <x:c r="F225" t="str">
        <x:v>RED</x:v>
      </x:c>
      <x:c r="G225" t="n">
        <x:v>1980</x:v>
      </x:c>
      <x:c r="H225" t="n">
        <x:v>393</x:v>
      </x:c>
      <x:c r="I225" t="n">
        <x:v>207</x:v>
      </x:c>
      <x:c r="J225" t="str">
        <x:v>PDF/avansert</x:v>
      </x:c>
      <x:c r="K225" t="n">
        <x:v>99</x:v>
      </x:c>
      <x:c r="L225" t="n">
        <x:v>293</x:v>
      </x:c>
      <x:c r="M225" t="n">
        <x:v>253</x:v>
      </x:c>
      <x:c r="N225" t="n">
        <x:v>54</x:v>
      </x:c>
      <x:c r="O225" t="n">
        <x:v>0.28</x:v>
      </x:c>
      <x:c r="P225" t="n">
        <x:v>0.19</x:v>
      </x:c>
      <x:c r="Q225" t="n">
        <x:v>0.16</x:v>
      </x:c>
      <x:c r="R225" t="n">
        <x:v>2.4</x:v>
      </x:c>
      <x:c r="S225" t="n">
        <x:v>68</x:v>
      </x:c>
      <x:c r="T225" t="n">
        <x:v>68</x:v>
      </x:c>
      <x:c r="U225" t="n">
        <x:v>2</x:v>
      </x:c>
      <x:c r="V225" t="n">
        <x:v>0.58</x:v>
      </x:c>
      <x:c r="W225" t="n">
        <x:v>7.81</x:v>
      </x:c>
      <x:c r="X225" t="n">
        <x:v>81</x:v>
      </x:c>
      <x:c r="Y225" t="n">
        <x:v>80</x:v>
      </x:c>
      <x:c r="Z225" t="n">
        <x:v>30</x:v>
      </x:c>
      <x:c r="AA225" t="n">
        <x:v>21</x:v>
      </x:c>
      <x:c r="AB225" t="n">
        <x:v>22</x:v>
      </x:c>
      <x:c r="AC225" t="n">
        <x:v>5</x:v>
      </x:c>
      <x:c r="AD225" t="n">
        <x:v>42.8</x:v>
      </x:c>
      <x:c r="AE225" t="n">
        <x:v>0.06</x:v>
      </x:c>
      <x:c r="AF225" t="n">
        <x:v>12</x:v>
      </x:c>
      <x:c r="AG225" t="n">
        <x:v>12</x:v>
      </x:c>
      <x:c r="AH225" t="n">
        <x:v>24</x:v>
      </x:c>
      <x:c r="AI225" t="n">
        <x:v>8</x:v>
      </x:c>
      <x:c r="AJ225" t="n">
        <x:v>11</x:v>
      </x:c>
      <x:c r="AK225" t="n">
        <x:v>250</x:v>
      </x:c>
      <x:c r="AL225" t="str">
        <x:v>Direkte elektrisk;</x:v>
      </x:c>
      <x:c r="AM225" t="n">
        <x:v>0</x:v>
      </x:c>
      <x:c r="AN225" t="n">
        <x:v>0</x:v>
      </x:c>
      <x:c r="AO225" t="n">
        <x:v>1</x:v>
      </x:c>
      <x:c r="AP225" t="n">
        <x:v>1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str">
        <x:v>energiattester_export_2025-08-14.json | PDF vedlegg side 5-7</x:v>
      </x:c>
      <x:c r="AV225" s="12" t="n">
        <x:f>IF(COUNT(O225,P225,Q225,R225,K225,L225,M225,N225)=8,O225*K225+P225*L225+Q225*M225+R225*N225,"")</x:f>
        <x:v>253.47</x:v>
      </x:c>
      <x:c r="AW225" s="12" t="n">
        <x:f>IF(AND(ISNUMBER(AV225),H225&gt;0),AV225/H225,"")</x:f>
        <x:v>0.6449618320610687</x:v>
      </x:c>
      <x:c r="AX225" s="12" t="n">
        <x:f>IF(AND(ISNUMBER(AD225),H225&gt;0),AD225*H225*3600,"")</x:f>
        <x:v>60553439.99999999</x:v>
      </x:c>
      <x:c r="AY225" s="12" t="n">
        <x:f>IF(AND(ISNUMBER(Y225),H225&gt;0),Y225*H225,"")</x:f>
        <x:v>31440</x:v>
      </x:c>
      <x:c r="AZ225" t="str">
        <x:v>Høy</x:v>
      </x:c>
    </x:row>
    <x:row r="226" ht="22" customHeight="1">
      <x:c r="A226" t="str">
        <x:v>OT-157bbb99b87b</x:v>
      </x:c>
      <x:c r="B226" t="n">
        <x:v>2015</x:v>
      </x:c>
      <x:c r="C226" t="str">
        <x:v>Forretningsbygg</x:v>
      </x:c>
      <x:c r="D226" t="str">
        <x:v>BUTIKK MED KJØLE- / FRYSEROM</x:v>
      </x:c>
      <x:c r="E226" t="str">
        <x:v>C</x:v>
      </x:c>
      <x:c r="F226" t="str">
        <x:v>RED</x:v>
      </x:c>
      <x:c r="G226" t="n">
        <x:v>1995</x:v>
      </x:c>
      <x:c r="H226" t="n">
        <x:v>1021</x:v>
      </x:c>
      <x:c r="I226" t="n">
        <x:v>166.8</x:v>
      </x:c>
      <x:c r="J226" t="str">
        <x:v>PDF/avansert</x:v>
      </x:c>
      <x:c r="K226" t="n">
        <x:v>635</x:v>
      </x:c>
      <x:c r="L226" t="n">
        <x:v>855</x:v>
      </x:c>
      <x:c r="M226" t="n">
        <x:v>856</x:v>
      </x:c>
      <x:c r="N226" t="n">
        <x:v>37</x:v>
      </x:c>
      <x:c r="O226" t="n">
        <x:v>0.25</x:v>
      </x:c>
      <x:c r="P226" t="n">
        <x:v>0.2</x:v>
      </x:c>
      <x:c r="Q226" t="n">
        <x:v>0.18</x:v>
      </x:c>
      <x:c r="R226" t="n">
        <x:v>1.75</x:v>
      </x:c>
      <x:c r="S226" t="n">
        <x:v>81</x:v>
      </x:c>
      <x:c r="T226" t="n">
        <x:v>81</x:v>
      </x:c>
      <x:c r="U226" t="n">
        <x:v>2.3</x:v>
      </x:c>
      <x:c r="V226" t="n">
        <x:v>0.31</x:v>
      </x:c>
      <x:c r="W226" t="n">
        <x:v>9.8</x:v>
      </x:c>
      <x:c r="X226" t="n">
        <x:v>89</x:v>
      </x:c>
      <x:c r="Y226" t="n">
        <x:v>110</x:v>
      </x:c>
      <x:c r="Z226" t="n">
        <x:v>98</x:v>
      </x:c>
      <x:c r="AA226" t="n">
        <x:v>21</x:v>
      </x:c>
      <x:c r="AB226" t="n">
        <x:v>22</x:v>
      </x:c>
      <x:c r="AC226" t="n">
        <x:v>1.94</x:v>
      </x:c>
      <x:c r="AD226" t="n">
        <x:v>104.5</x:v>
      </x:c>
      <x:c r="AE226" t="n">
        <x:v>0.12</x:v>
      </x:c>
      <x:c r="AF226" t="n">
        <x:v>12</x:v>
      </x:c>
      <x:c r="AG226" t="n">
        <x:v>12</x:v>
      </x:c>
      <x:c r="AH226" t="n">
        <x:v>24</x:v>
      </x:c>
      <x:c r="AI226" t="n">
        <x:v>15</x:v>
      </x:c>
      <x:c r="AJ226" t="n">
        <x:v>1</x:v>
      </x:c>
      <x:c r="AK226" t="n">
        <x:v>250</x:v>
      </x:c>
      <x:c r="AL226" t="str">
        <x:v>Direkte elektrisk;</x:v>
      </x:c>
      <x:c r="AM226" t="n">
        <x:v>0</x:v>
      </x:c>
      <x:c r="AN226" t="n">
        <x:v>0</x:v>
      </x:c>
      <x:c r="AO226" t="n">
        <x:v>0</x:v>
      </x:c>
      <x:c r="AP226" t="n">
        <x:v>1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str">
        <x:v>energiattester_export_2025-08-14.json | PDF vedlegg side 5-7</x:v>
      </x:c>
      <x:c r="AV226" s="12" t="n">
        <x:f>IF(COUNT(O226,P226,Q226,R226,K226,L226,M226,N226)=8,O226*K226+P226*L226+Q226*M226+R226*N226,"")</x:f>
        <x:v>548.5799999999999</x:v>
      </x:c>
      <x:c r="AW226" s="12" t="n">
        <x:f>IF(AND(ISNUMBER(AV226),H226&gt;0),AV226/H226,"")</x:f>
        <x:v>0.5372967678746327</x:v>
      </x:c>
      <x:c r="AX226" s="12" t="n">
        <x:f>IF(AND(ISNUMBER(AD226),H226&gt;0),AD226*H226*3600,"")</x:f>
        <x:v>384100200</x:v>
      </x:c>
      <x:c r="AY226" s="12" t="n">
        <x:f>IF(AND(ISNUMBER(Y226),H226&gt;0),Y226*H226,"")</x:f>
        <x:v>112310</x:v>
      </x:c>
      <x:c r="AZ226" t="str">
        <x:v>Høy</x:v>
      </x:c>
    </x:row>
    <x:row r="227" ht="22" customHeight="1">
      <x:c r="A227" t="str">
        <x:v>OT-dc6d80e2fda1</x:v>
      </x:c>
      <x:c r="B227" t="n">
        <x:v>2015</x:v>
      </x:c>
      <x:c r="C227" t="str">
        <x:v>Hoteller</x:v>
      </x:c>
      <x:c r="D227" t="str">
        <x:v>HOTELLBYGNING</x:v>
      </x:c>
      <x:c r="E227" t="str">
        <x:v>E</x:v>
      </x:c>
      <x:c r="F227" t="str">
        <x:v>RED</x:v>
      </x:c>
      <x:c r="G227" t="n">
        <x:v>1979</x:v>
      </x:c>
      <x:c r="H227" t="n">
        <x:v>2326</x:v>
      </x:c>
      <x:c r="I227" t="n">
        <x:v>339.9</x:v>
      </x:c>
      <x:c r="J227" t="str">
        <x:v>PDF/avansert</x:v>
      </x:c>
      <x:c r="K227" t="n">
        <x:v>1397</x:v>
      </x:c>
      <x:c r="L227" t="n">
        <x:v>380</x:v>
      </x:c>
      <x:c r="M227" t="n">
        <x:v>466</x:v>
      </x:c>
      <x:c r="N227" t="n">
        <x:v>324</x:v>
      </x:c>
      <x:c r="O227" t="n">
        <x:v>0.47</x:v>
      </x:c>
      <x:c r="P227" t="n">
        <x:v>0.21</x:v>
      </x:c>
      <x:c r="Q227" t="n">
        <x:v>0.18</x:v>
      </x:c>
      <x:c r="R227" t="n">
        <x:v>2.32</x:v>
      </x:c>
      <x:c r="S227" t="n">
        <x:v>39</x:v>
      </x:c>
      <x:c r="T227" t="n">
        <x:v>39</x:v>
      </x:c>
      <x:c r="U227" t="n">
        <x:v>5.65</x:v>
      </x:c>
      <x:c r="V227" t="n">
        <x:v>1.06</x:v>
      </x:c>
      <x:c r="W227" t="n">
        <x:v>7.91</x:v>
      </x:c>
      <x:c r="X227" t="n">
        <x:v>95</x:v>
      </x:c>
      <x:c r="Y227" t="n">
        <x:v>80</x:v>
      </x:c>
      <x:c r="Z227" t="n">
        <x:v>0</x:v>
      </x:c>
      <x:c r="AA227" t="n">
        <x:v>21</x:v>
      </x:c>
      <x:c r="AB227" t="n">
        <x:v>22</x:v>
      </x:c>
      <x:c r="AC227" t="n">
        <x:v>2.45</x:v>
      </x:c>
      <x:c r="AD227" t="n">
        <x:v>35.7</x:v>
      </x:c>
      <x:c r="AE227" t="n">
        <x:v>0.12</x:v>
      </x:c>
      <x:c r="AF227"/>
      <x:c r="AG227"/>
      <x:c r="AH227"/>
      <x:c r="AI227"/>
      <x:c r="AJ227"/>
      <x:c r="AK227" t="n">
        <x:v>250</x:v>
      </x:c>
      <x:c r="AL227"/>
      <x:c r="AM227" t="n">
        <x:v>0</x:v>
      </x:c>
      <x:c r="AN227" t="n">
        <x:v>0</x:v>
      </x:c>
      <x:c r="AO227" t="n">
        <x:v>1</x:v>
      </x:c>
      <x:c r="AP227" t="n">
        <x:v>0</x:v>
      </x:c>
      <x:c r="AQ227" t="n">
        <x:v>1</x:v>
      </x:c>
      <x:c r="AR227" t="n">
        <x:v>1</x:v>
      </x:c>
      <x:c r="AS227" t="n">
        <x:v>1</x:v>
      </x:c>
      <x:c r="AT227" t="n">
        <x:v>1</x:v>
      </x:c>
      <x:c r="AU227" t="str">
        <x:v>energiattester_export_2025-08-14.json | PDF vedlegg side 5-7</x:v>
      </x:c>
      <x:c r="AV227" s="12" t="n">
        <x:f>IF(COUNT(O227,P227,Q227,R227,K227,L227,M227,N227)=8,O227*K227+P227*L227+Q227*M227+R227*N227,"")</x:f>
        <x:v>1571.9499999999998</x:v>
      </x:c>
      <x:c r="AW227" s="12" t="n">
        <x:f>IF(AND(ISNUMBER(AV227),H227&gt;0),AV227/H227,"")</x:f>
        <x:v>0.675816852966466</x:v>
      </x:c>
      <x:c r="AX227" s="12" t="n">
        <x:f>IF(AND(ISNUMBER(AD227),H227&gt;0),AD227*H227*3600,"")</x:f>
        <x:v>298937520.00000006</x:v>
      </x:c>
      <x:c r="AY227" s="12" t="n">
        <x:f>IF(AND(ISNUMBER(Y227),H227&gt;0),Y227*H227,"")</x:f>
        <x:v>186080</x:v>
      </x:c>
      <x:c r="AZ227" t="str">
        <x:v>Høy</x:v>
      </x:c>
    </x:row>
    <x:row r="228" ht="22" customHeight="1">
      <x:c r="A228" t="str">
        <x:v>OT-acf542e4f270</x:v>
      </x:c>
      <x:c r="B228" t="n">
        <x:v>2015</x:v>
      </x:c>
      <x:c r="C228" t="str">
        <x:v>Kontorbygg</x:v>
      </x:c>
      <x:c r="D228" t="str">
        <x:v>KONTORER, MED VENTILASJON OG KJØLEANLEGG</x:v>
      </x:c>
      <x:c r="E228" t="str">
        <x:v>G</x:v>
      </x:c>
      <x:c r="F228" t="str">
        <x:v>RED</x:v>
      </x:c>
      <x:c r="G228" t="n">
        <x:v>1800</x:v>
      </x:c>
      <x:c r="H228" t="n">
        <x:v>1619</x:v>
      </x:c>
      <x:c r="I228" t="n">
        <x:v>346.5</x:v>
      </x:c>
      <x:c r="J228" t="str">
        <x:v>PDF/avansert</x:v>
      </x:c>
      <x:c r="K228" t="n">
        <x:v>1320</x:v>
      </x:c>
      <x:c r="L228" t="n">
        <x:v>599</x:v>
      </x:c>
      <x:c r="M228" t="n">
        <x:v>485</x:v>
      </x:c>
      <x:c r="N228" t="n">
        <x:v>204</x:v>
      </x:c>
      <x:c r="O228" t="n">
        <x:v>1.01</x:v>
      </x:c>
      <x:c r="P228" t="n">
        <x:v>0.3</x:v>
      </x:c>
      <x:c r="Q228" t="n">
        <x:v>0.53</x:v>
      </x:c>
      <x:c r="R228" t="n">
        <x:v>1.9</x:v>
      </x:c>
      <x:c r="S228" t="n">
        <x:v>60</x:v>
      </x:c>
      <x:c r="T228" t="n">
        <x:v>60</x:v>
      </x:c>
      <x:c r="U228" t="n">
        <x:v>5.83</x:v>
      </x:c>
      <x:c r="V228" t="n">
        <x:v>0.39</x:v>
      </x:c>
      <x:c r="W228" t="n">
        <x:v>10.32</x:v>
      </x:c>
      <x:c r="X228" t="n">
        <x:v>89</x:v>
      </x:c>
      <x:c r="Y228" t="n">
        <x:v>135</x:v>
      </x:c>
      <x:c r="Z228" t="n">
        <x:v>81</x:v>
      </x:c>
      <x:c r="AA228" t="n">
        <x:v>21</x:v>
      </x:c>
      <x:c r="AB228" t="n">
        <x:v>22</x:v>
      </x:c>
      <x:c r="AC228" t="n">
        <x:v>3</x:v>
      </x:c>
      <x:c r="AD228" t="n">
        <x:v>81.2</x:v>
      </x:c>
      <x:c r="AE228" t="n">
        <x:v>0.05</x:v>
      </x:c>
      <x:c r="AF228" t="n">
        <x:v>12</x:v>
      </x:c>
      <x:c r="AG228" t="n">
        <x:v>12</x:v>
      </x:c>
      <x:c r="AH228" t="n">
        <x:v>24</x:v>
      </x:c>
      <x:c r="AI228" t="n">
        <x:v>8</x:v>
      </x:c>
      <x:c r="AJ228" t="n">
        <x:v>11</x:v>
      </x:c>
      <x:c r="AK228" t="n">
        <x:v>240</x:v>
      </x:c>
      <x:c r="AL228" t="str">
        <x:v>Direkte elektrisk;</x:v>
      </x:c>
      <x:c r="AM228" t="n">
        <x:v>1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str">
        <x:v>energiattester_export_2025-08-14.json | PDF vedlegg side 5-7</x:v>
      </x:c>
      <x:c r="AV228" s="12" t="n">
        <x:f>IF(COUNT(O228,P228,Q228,R228,K228,L228,M228,N228)=8,O228*K228+P228*L228+Q228*M228+R228*N228,"")</x:f>
        <x:v>2157.55</x:v>
      </x:c>
      <x:c r="AW228" s="12" t="n">
        <x:f>IF(AND(ISNUMBER(AV228),H228&gt;0),AV228/H228,"")</x:f>
        <x:v>1.3326436071649168</x:v>
      </x:c>
      <x:c r="AX228" s="12" t="n">
        <x:f>IF(AND(ISNUMBER(AD228),H228&gt;0),AD228*H228*3600,"")</x:f>
        <x:v>473266080.00000006</x:v>
      </x:c>
      <x:c r="AY228" s="12" t="n">
        <x:f>IF(AND(ISNUMBER(Y228),H228&gt;0),Y228*H228,"")</x:f>
        <x:v>218565</x:v>
      </x:c>
      <x:c r="AZ228" t="str">
        <x:v>Høy</x:v>
      </x:c>
    </x:row>
    <x:row r="229" ht="22" customHeight="1">
      <x:c r="A229" t="str">
        <x:v>OT-3164d9df5214</x:v>
      </x:c>
      <x:c r="B229" t="n">
        <x:v>2015</x:v>
      </x:c>
      <x:c r="C229" t="str">
        <x:v>Kontorbygg</x:v>
      </x:c>
      <x:c r="D229" t="str">
        <x:v>KONTORER, MED VENTILASJON OG KJØLEANLEGG</x:v>
      </x:c>
      <x:c r="E229" t="str">
        <x:v>G</x:v>
      </x:c>
      <x:c r="F229" t="str">
        <x:v>RED</x:v>
      </x:c>
      <x:c r="G229" t="n">
        <x:v>1915</x:v>
      </x:c>
      <x:c r="H229" t="n">
        <x:v>1658</x:v>
      </x:c>
      <x:c r="I229" t="n">
        <x:v>334.6</x:v>
      </x:c>
      <x:c r="J229" t="str">
        <x:v>PDF/avansert</x:v>
      </x:c>
      <x:c r="K229" t="n">
        <x:v>1297</x:v>
      </x:c>
      <x:c r="L229" t="n">
        <x:v>474</x:v>
      </x:c>
      <x:c r="M229" t="n">
        <x:v>450</x:v>
      </x:c>
      <x:c r="N229" t="n">
        <x:v>279</x:v>
      </x:c>
      <x:c r="O229" t="n">
        <x:v>1</x:v>
      </x:c>
      <x:c r="P229" t="n">
        <x:v>0.45</x:v>
      </x:c>
      <x:c r="Q229" t="n">
        <x:v>0.54</x:v>
      </x:c>
      <x:c r="R229" t="n">
        <x:v>2.48</x:v>
      </x:c>
      <x:c r="S229" t="n">
        <x:v>58</x:v>
      </x:c>
      <x:c r="T229" t="n">
        <x:v>58</x:v>
      </x:c>
      <x:c r="U229" t="n">
        <x:v>4.32</x:v>
      </x:c>
      <x:c r="V229" t="n">
        <x:v>0.43</x:v>
      </x:c>
      <x:c r="W229" t="n">
        <x:v>10</x:v>
      </x:c>
      <x:c r="X229" t="n">
        <x:v>96</x:v>
      </x:c>
      <x:c r="Y229" t="n">
        <x:v>134</x:v>
      </x:c>
      <x:c r="Z229" t="n">
        <x:v>74</x:v>
      </x:c>
      <x:c r="AA229" t="n">
        <x:v>21</x:v>
      </x:c>
      <x:c r="AB229" t="n">
        <x:v>22</x:v>
      </x:c>
      <x:c r="AC229" t="n">
        <x:v>2</x:v>
      </x:c>
      <x:c r="AD229" t="n">
        <x:v>92.1</x:v>
      </x:c>
      <x:c r="AE229" t="n">
        <x:v>0.06</x:v>
      </x:c>
      <x:c r="AF229" t="n">
        <x:v>12</x:v>
      </x:c>
      <x:c r="AG229" t="n">
        <x:v>12</x:v>
      </x:c>
      <x:c r="AH229" t="n">
        <x:v>24</x:v>
      </x:c>
      <x:c r="AI229" t="n">
        <x:v>8</x:v>
      </x:c>
      <x:c r="AJ229" t="n">
        <x:v>11</x:v>
      </x:c>
      <x:c r="AK229" t="n">
        <x:v>250</x:v>
      </x:c>
      <x:c r="AL229" t="str">
        <x:v>Direkte elektrisk; Varmepumpe;</x:v>
      </x:c>
      <x:c r="AM229" t="n">
        <x:v>1</x:v>
      </x:c>
      <x:c r="AN229" t="n">
        <x:v>0</x:v>
      </x:c>
      <x:c r="AO229" t="n">
        <x:v>0</x:v>
      </x:c>
      <x:c r="AP229" t="n">
        <x:v>1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str">
        <x:v>energiattester_export_2025-08-14.json | PDF vedlegg side 5-7</x:v>
      </x:c>
      <x:c r="AV229" s="12" t="n">
        <x:f>IF(COUNT(O229,P229,Q229,R229,K229,L229,M229,N229)=8,O229*K229+P229*L229+Q229*M229+R229*N229,"")</x:f>
        <x:v>2445.22</x:v>
      </x:c>
      <x:c r="AW229" s="12" t="n">
        <x:f>IF(AND(ISNUMBER(AV229),H229&gt;0),AV229/H229,"")</x:f>
        <x:v>1.474800965018094</x:v>
      </x:c>
      <x:c r="AX229" s="12" t="n">
        <x:f>IF(AND(ISNUMBER(AD229),H229&gt;0),AD229*H229*3600,"")</x:f>
        <x:v>549726480</x:v>
      </x:c>
      <x:c r="AY229" s="12" t="n">
        <x:f>IF(AND(ISNUMBER(Y229),H229&gt;0),Y229*H229,"")</x:f>
        <x:v>222172</x:v>
      </x:c>
      <x:c r="AZ229" t="str">
        <x:v>Høy</x:v>
      </x:c>
    </x:row>
    <x:row r="230" ht="22" customHeight="1">
      <x:c r="A230" t="str">
        <x:v>OT-105c0cfd21ef</x:v>
      </x:c>
      <x:c r="B230" t="n">
        <x:v>2015</x:v>
      </x:c>
      <x:c r="C230" t="str">
        <x:v>Kontorbygg</x:v>
      </x:c>
      <x:c r="D230" t="str">
        <x:v>KONTORER, ENKLE</x:v>
      </x:c>
      <x:c r="E230" t="str">
        <x:v>G</x:v>
      </x:c>
      <x:c r="F230" t="str">
        <x:v>RED</x:v>
      </x:c>
      <x:c r="G230" t="n">
        <x:v>1800</x:v>
      </x:c>
      <x:c r="H230" t="n">
        <x:v>1656</x:v>
      </x:c>
      <x:c r="I230" t="n">
        <x:v>463.1</x:v>
      </x:c>
      <x:c r="J230" t="str">
        <x:v>PDF/avansert</x:v>
      </x:c>
      <x:c r="K230" t="n">
        <x:v>1089</x:v>
      </x:c>
      <x:c r="L230" t="n">
        <x:v>786</x:v>
      </x:c>
      <x:c r="M230" t="n">
        <x:v>417</x:v>
      </x:c>
      <x:c r="N230" t="n">
        <x:v>228</x:v>
      </x:c>
      <x:c r="O230" t="n">
        <x:v>1.24</x:v>
      </x:c>
      <x:c r="P230" t="n">
        <x:v>0.43</x:v>
      </x:c>
      <x:c r="Q230" t="n">
        <x:v>0.43</x:v>
      </x:c>
      <x:c r="R230" t="n">
        <x:v>2.28</x:v>
      </x:c>
      <x:c r="S230" t="n">
        <x:v>0</x:v>
      </x:c>
      <x:c r="T230" t="n">
        <x:v>0</x:v>
      </x:c>
      <x:c r="U230" t="n">
        <x:v>2</x:v>
      </x:c>
      <x:c r="V230" t="n">
        <x:v>0.19</x:v>
      </x:c>
      <x:c r="W230" t="n">
        <x:v>10</x:v>
      </x:c>
      <x:c r="X230" t="n">
        <x:v>91</x:v>
      </x:c>
      <x:c r="Y230" t="n">
        <x:v>220</x:v>
      </x:c>
      <x:c r="Z230" t="n">
        <x:v>70</x:v>
      </x:c>
      <x:c r="AA230" t="n">
        <x:v>21</x:v>
      </x:c>
      <x:c r="AB230" t="n">
        <x:v>22</x:v>
      </x:c>
      <x:c r="AC230" t="n">
        <x:v>3</x:v>
      </x:c>
      <x:c r="AD230" t="n">
        <x:v>52.1</x:v>
      </x:c>
      <x:c r="AE230" t="n">
        <x:v>0.05</x:v>
      </x:c>
      <x:c r="AF230" t="n">
        <x:v>12</x:v>
      </x:c>
      <x:c r="AG230" t="n">
        <x:v>12</x:v>
      </x:c>
      <x:c r="AH230" t="n">
        <x:v>24</x:v>
      </x:c>
      <x:c r="AI230" t="n">
        <x:v>8</x:v>
      </x:c>
      <x:c r="AJ230" t="n">
        <x:v>11</x:v>
      </x:c>
      <x:c r="AK230" t="n">
        <x:v>250</x:v>
      </x:c>
      <x:c r="AL230" t="str">
        <x:v>Direkte elektrisk;</x:v>
      </x:c>
      <x:c r="AM230" t="n">
        <x:v>1</x:v>
      </x:c>
      <x:c r="AN230" t="n">
        <x:v>0</x:v>
      </x:c>
      <x:c r="AO230" t="n">
        <x:v>0</x:v>
      </x:c>
      <x:c r="AP230" t="n">
        <x:v>1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str">
        <x:v>energiattester_export_2025-08-14.json | PDF vedlegg side 5-7</x:v>
      </x:c>
      <x:c r="AV230" s="12" t="n">
        <x:f>IF(COUNT(O230,P230,Q230,R230,K230,L230,M230,N230)=8,O230*K230+P230*L230+Q230*M230+R230*N230,"")</x:f>
        <x:v>2387.49</x:v>
      </x:c>
      <x:c r="AW230" s="12" t="n">
        <x:f>IF(AND(ISNUMBER(AV230),H230&gt;0),AV230/H230,"")</x:f>
        <x:v>1.4417210144927535</x:v>
      </x:c>
      <x:c r="AX230" s="12" t="n">
        <x:f>IF(AND(ISNUMBER(AD230),H230&gt;0),AD230*H230*3600,"")</x:f>
        <x:v>310599360</x:v>
      </x:c>
      <x:c r="AY230" s="12" t="n">
        <x:f>IF(AND(ISNUMBER(Y230),H230&gt;0),Y230*H230,"")</x:f>
        <x:v>364320</x:v>
      </x:c>
      <x:c r="AZ230" t="str">
        <x:v>Høy</x:v>
      </x:c>
    </x:row>
    <x:row r="231" ht="22" customHeight="1">
      <x:c r="A231" t="str">
        <x:v>OT-dc5e8c00c34c</x:v>
      </x:c>
      <x:c r="B231" t="n">
        <x:v>2015</x:v>
      </x:c>
      <x:c r="C231" t="str">
        <x:v>Hoteller</x:v>
      </x:c>
      <x:c r="D231" t="str">
        <x:v>HOTELLBYGNING</x:v>
      </x:c>
      <x:c r="E231" t="str">
        <x:v>E</x:v>
      </x:c>
      <x:c r="F231" t="str">
        <x:v>RED</x:v>
      </x:c>
      <x:c r="G231" t="n">
        <x:v>1993</x:v>
      </x:c>
      <x:c r="H231" t="n">
        <x:v>1557</x:v>
      </x:c>
      <x:c r="I231" t="n">
        <x:v>293.7</x:v>
      </x:c>
      <x:c r="J231" t="str">
        <x:v>PDF/avansert</x:v>
      </x:c>
      <x:c r="K231" t="n">
        <x:v>592</x:v>
      </x:c>
      <x:c r="L231" t="n">
        <x:v>846</x:v>
      </x:c>
      <x:c r="M231" t="n">
        <x:v>764</x:v>
      </x:c>
      <x:c r="N231" t="n">
        <x:v>121</x:v>
      </x:c>
      <x:c r="O231" t="n">
        <x:v>0.3</x:v>
      </x:c>
      <x:c r="P231" t="n">
        <x:v>0.2</x:v>
      </x:c>
      <x:c r="Q231" t="n">
        <x:v>0.2</x:v>
      </x:c>
      <x:c r="R231" t="n">
        <x:v>2.02</x:v>
      </x:c>
      <x:c r="S231" t="n">
        <x:v>26</x:v>
      </x:c>
      <x:c r="T231" t="n">
        <x:v>26</x:v>
      </x:c>
      <x:c r="U231" t="n">
        <x:v>0.92</x:v>
      </x:c>
      <x:c r="V231" t="n">
        <x:v>0.29</x:v>
      </x:c>
      <x:c r="W231" t="n">
        <x:v>7</x:v>
      </x:c>
      <x:c r="X231" t="n">
        <x:v>81</x:v>
      </x:c>
      <x:c r="Y231" t="n">
        <x:v>110</x:v>
      </x:c>
      <x:c r="Z231" t="n">
        <x:v>0</x:v>
      </x:c>
      <x:c r="AA231" t="n">
        <x:v>21</x:v>
      </x:c>
      <x:c r="AB231" t="n">
        <x:v>22</x:v>
      </x:c>
      <x:c r="AC231" t="n">
        <x:v>3</x:v>
      </x:c>
      <x:c r="AD231" t="n">
        <x:v>22.4</x:v>
      </x:c>
      <x:c r="AE231" t="n">
        <x:v>0.05</x:v>
      </x:c>
      <x:c r="AF231" t="n">
        <x:v>16</x:v>
      </x:c>
      <x:c r="AG231" t="n">
        <x:v>16</x:v>
      </x:c>
      <x:c r="AH231" t="n">
        <x:v>24</x:v>
      </x:c>
      <x:c r="AI231" t="n">
        <x:v>8</x:v>
      </x:c>
      <x:c r="AJ231" t="n">
        <x:v>1</x:v>
      </x:c>
      <x:c r="AK231" t="n">
        <x:v>250</x:v>
      </x:c>
      <x:c r="AL231" t="str">
        <x:v>Direkte elektrisk;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str">
        <x:v>energiattester_export_2025-08-14.json | PDF vedlegg side 5-7</x:v>
      </x:c>
      <x:c r="AV231" s="12" t="n">
        <x:f>IF(COUNT(O231,P231,Q231,R231,K231,L231,M231,N231)=8,O231*K231+P231*L231+Q231*M231+R231*N231,"")</x:f>
        <x:v>744.02</x:v>
      </x:c>
      <x:c r="AW231" s="12" t="n">
        <x:f>IF(AND(ISNUMBER(AV231),H231&gt;0),AV231/H231,"")</x:f>
        <x:v>0.4778548490687219</x:v>
      </x:c>
      <x:c r="AX231" s="12" t="n">
        <x:f>IF(AND(ISNUMBER(AD231),H231&gt;0),AD231*H231*3600,"")</x:f>
        <x:v>125556479.99999999</x:v>
      </x:c>
      <x:c r="AY231" s="12" t="n">
        <x:f>IF(AND(ISNUMBER(Y231),H231&gt;0),Y231*H231,"")</x:f>
        <x:v>171270</x:v>
      </x:c>
      <x:c r="AZ231" t="str">
        <x:v>Høy</x:v>
      </x:c>
    </x:row>
    <x:row r="232" ht="22" customHeight="1">
      <x:c r="A232" t="str">
        <x:v>OT-2339a77754ca</x:v>
      </x:c>
      <x:c r="B232" t="n">
        <x:v>2015</x:v>
      </x:c>
      <x:c r="C232" t="str">
        <x:v>Kontorbygg</x:v>
      </x:c>
      <x:c r="D232" t="str">
        <x:v>KONTORER, MED VENTILASJON OG KJØLEANLEGG</x:v>
      </x:c>
      <x:c r="E232" t="str">
        <x:v>G</x:v>
      </x:c>
      <x:c r="F232" t="str">
        <x:v>RED</x:v>
      </x:c>
      <x:c r="G232" t="n">
        <x:v>1903</x:v>
      </x:c>
      <x:c r="H232" t="n">
        <x:v>6744</x:v>
      </x:c>
      <x:c r="I232" t="n">
        <x:v>329.2</x:v>
      </x:c>
      <x:c r="J232" t="str">
        <x:v>PDF/avansert</x:v>
      </x:c>
      <x:c r="K232" t="n">
        <x:v>3119</x:v>
      </x:c>
      <x:c r="L232" t="n">
        <x:v>1755</x:v>
      </x:c>
      <x:c r="M232" t="n">
        <x:v>1840</x:v>
      </x:c>
      <x:c r="N232" t="n">
        <x:v>887</x:v>
      </x:c>
      <x:c r="O232" t="n">
        <x:v>1.21</x:v>
      </x:c>
      <x:c r="P232" t="n">
        <x:v>0.61</x:v>
      </x:c>
      <x:c r="Q232" t="n">
        <x:v>0.3</x:v>
      </x:c>
      <x:c r="R232" t="n">
        <x:v>1.76</x:v>
      </x:c>
      <x:c r="S232" t="n">
        <x:v>39</x:v>
      </x:c>
      <x:c r="T232" t="n">
        <x:v>39</x:v>
      </x:c>
      <x:c r="U232" t="n">
        <x:v>2.51</x:v>
      </x:c>
      <x:c r="V232" t="n">
        <x:v>0.3</x:v>
      </x:c>
      <x:c r="W232" t="n">
        <x:v>10</x:v>
      </x:c>
      <x:c r="X232" t="n">
        <x:v>89</x:v>
      </x:c>
      <x:c r="Y232" t="n">
        <x:v>147</x:v>
      </x:c>
      <x:c r="Z232" t="n">
        <x:v>61</x:v>
      </x:c>
      <x:c r="AA232" t="n">
        <x:v>21</x:v>
      </x:c>
      <x:c r="AB232" t="n">
        <x:v>22</x:v>
      </x:c>
      <x:c r="AC232" t="n">
        <x:v>2.23</x:v>
      </x:c>
      <x:c r="AD232" t="n">
        <x:v>75</x:v>
      </x:c>
      <x:c r="AE232" t="n">
        <x:v>0.1</x:v>
      </x:c>
      <x:c r="AF232" t="n">
        <x:v>12</x:v>
      </x:c>
      <x:c r="AG232" t="n">
        <x:v>12</x:v>
      </x:c>
      <x:c r="AH232" t="n">
        <x:v>24</x:v>
      </x:c>
      <x:c r="AI232" t="n">
        <x:v>8</x:v>
      </x:c>
      <x:c r="AJ232" t="n">
        <x:v>11</x:v>
      </x:c>
      <x:c r="AK232" t="n">
        <x:v>240</x:v>
      </x:c>
      <x:c r="AL232" t="str">
        <x:v>Direkte elektrisk;</x:v>
      </x:c>
      <x:c r="AM232" t="n">
        <x:v>1</x:v>
      </x:c>
      <x:c r="AN232" t="n">
        <x:v>0</x:v>
      </x:c>
      <x:c r="AO232" t="n">
        <x:v>1</x:v>
      </x:c>
      <x:c r="AP232" t="n">
        <x:v>1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str">
        <x:v>energiattester_export_2025-08-14.json | PDF vedlegg side 5-7</x:v>
      </x:c>
      <x:c r="AV232" s="12" t="n">
        <x:f>IF(COUNT(O232,P232,Q232,R232,K232,L232,M232,N232)=8,O232*K232+P232*L232+Q232*M232+R232*N232,"")</x:f>
        <x:v>6957.66</x:v>
      </x:c>
      <x:c r="AW232" s="12" t="n">
        <x:f>IF(AND(ISNUMBER(AV232),H232&gt;0),AV232/H232,"")</x:f>
        <x:v>1.0316814946619217</x:v>
      </x:c>
      <x:c r="AX232" s="12" t="n">
        <x:f>IF(AND(ISNUMBER(AD232),H232&gt;0),AD232*H232*3600,"")</x:f>
        <x:v>1820880000</x:v>
      </x:c>
      <x:c r="AY232" s="12" t="n">
        <x:f>IF(AND(ISNUMBER(Y232),H232&gt;0),Y232*H232,"")</x:f>
        <x:v>991368</x:v>
      </x:c>
      <x:c r="AZ232" t="str">
        <x:v>Høy</x:v>
      </x:c>
    </x:row>
    <x:row r="233" ht="22" customHeight="1">
      <x:c r="A233" t="str">
        <x:v>OT-62183bfec797</x:v>
      </x:c>
      <x:c r="B233" t="n">
        <x:v>2015</x:v>
      </x:c>
      <x:c r="C233" t="str">
        <x:v>Forretningsbygg</x:v>
      </x:c>
      <x:c r="D233" t="str">
        <x:v>Butikk</x:v>
      </x:c>
      <x:c r="E233" t="str">
        <x:v>F</x:v>
      </x:c>
      <x:c r="F233" t="str">
        <x:v>GREEN</x:v>
      </x:c>
      <x:c r="G233" t="n">
        <x:v>1975</x:v>
      </x:c>
      <x:c r="H233" t="n">
        <x:v>25120</x:v>
      </x:c>
      <x:c r="I233" t="n">
        <x:v>311.08</x:v>
      </x:c>
      <x:c r="J233" t="str">
        <x:v>PDF/avansert</x:v>
      </x:c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 t="n">
        <x:v>0</x:v>
      </x:c>
      <x:c r="AN233" t="n">
        <x:v>0</x:v>
      </x:c>
      <x:c r="AO233" t="n">
        <x:v>1</x:v>
      </x:c>
      <x:c r="AP233" t="n">
        <x:v>1</x:v>
      </x:c>
      <x:c r="AQ233" t="n">
        <x:v>0</x:v>
      </x:c>
      <x:c r="AR233" t="n">
        <x:v>0</x:v>
      </x:c>
      <x:c r="AS233" t="n">
        <x:v>1</x:v>
      </x:c>
      <x:c r="AT233" t="n">
        <x:v>1</x:v>
      </x:c>
      <x:c r="AU233" t="str">
        <x:v>energiattester_export_2025-08-14.json | PDF vedlegg side 5-7</x:v>
      </x:c>
      <x:c r="AV233" s="12" t="str">
        <x:f>IF(COUNT(O233,P233,Q233,R233,K233,L233,M233,N233)=8,O233*K233+P233*L233+Q233*M233+R233*N233,"")</x:f>
      </x:c>
      <x:c r="AW233" s="12" t="str">
        <x:f>IF(AND(ISNUMBER(AV233),H233&gt;0),AV233/H233,"")</x:f>
      </x:c>
      <x:c r="AX233" s="12" t="str">
        <x:f>IF(AND(ISNUMBER(AD233),H233&gt;0),AD233*H233*3600,"")</x:f>
      </x:c>
      <x:c r="AY233" s="12" t="str">
        <x:f>IF(AND(ISNUMBER(Y233),H233&gt;0),Y233*H233,"")</x:f>
      </x:c>
      <x:c r="AZ233" t="str">
        <x:v>Mangler data</x:v>
      </x:c>
    </x:row>
    <x:row r="234" ht="22" customHeight="1">
      <x:c r="A234" t="str">
        <x:v>OT-66a05d751f18</x:v>
      </x:c>
      <x:c r="B234" t="n">
        <x:v>2015</x:v>
      </x:c>
      <x:c r="C234" t="str">
        <x:v>Kontorbygg</x:v>
      </x:c>
      <x:c r="D234" t="str">
        <x:v>KONTORER, MED VENTILASJON OG KJØLEANLEGG</x:v>
      </x:c>
      <x:c r="E234" t="str">
        <x:v>D</x:v>
      </x:c>
      <x:c r="F234" t="str">
        <x:v>RED</x:v>
      </x:c>
      <x:c r="G234" t="n">
        <x:v>2007</x:v>
      </x:c>
      <x:c r="H234" t="n">
        <x:v>760</x:v>
      </x:c>
      <x:c r="I234" t="n">
        <x:v>172</x:v>
      </x:c>
      <x:c r="J234" t="str">
        <x:v>PDF/avansert</x:v>
      </x:c>
      <x:c r="K234" t="n">
        <x:v>357</x:v>
      </x:c>
      <x:c r="L234" t="n">
        <x:v>380</x:v>
      </x:c>
      <x:c r="M234" t="n">
        <x:v>380</x:v>
      </x:c>
      <x:c r="N234" t="n">
        <x:v>100</x:v>
      </x:c>
      <x:c r="O234" t="n">
        <x:v>0.21</x:v>
      </x:c>
      <x:c r="P234" t="n">
        <x:v>0.13</x:v>
      </x:c>
      <x:c r="Q234" t="n">
        <x:v>0.16</x:v>
      </x:c>
      <x:c r="R234" t="n">
        <x:v>1.22</x:v>
      </x:c>
      <x:c r="S234" t="n">
        <x:v>73</x:v>
      </x:c>
      <x:c r="T234" t="n">
        <x:v>73</x:v>
      </x:c>
      <x:c r="U234" t="n">
        <x:v>2</x:v>
      </x:c>
      <x:c r="V234" t="n">
        <x:v>0.27</x:v>
      </x:c>
      <x:c r="W234" t="n">
        <x:v>10</x:v>
      </x:c>
      <x:c r="X234" t="n">
        <x:v>90</x:v>
      </x:c>
      <x:c r="Y234" t="n">
        <x:v>80</x:v>
      </x:c>
      <x:c r="Z234" t="n">
        <x:v>30</x:v>
      </x:c>
      <x:c r="AA234" t="n">
        <x:v>21</x:v>
      </x:c>
      <x:c r="AB234" t="n">
        <x:v>22</x:v>
      </x:c>
      <x:c r="AC234" t="n">
        <x:v>3</x:v>
      </x:c>
      <x:c r="AD234" t="n">
        <x:v>114.8</x:v>
      </x:c>
      <x:c r="AE234" t="n">
        <x:v>0.09</x:v>
      </x:c>
      <x:c r="AF234" t="n">
        <x:v>12</x:v>
      </x:c>
      <x:c r="AG234" t="n">
        <x:v>12</x:v>
      </x:c>
      <x:c r="AH234" t="n">
        <x:v>24</x:v>
      </x:c>
      <x:c r="AI234" t="n">
        <x:v>8</x:v>
      </x:c>
      <x:c r="AJ234" t="n">
        <x:v>11</x:v>
      </x:c>
      <x:c r="AK234" t="n">
        <x:v>250</x:v>
      </x:c>
      <x:c r="AL234" t="str">
        <x:v>Direkte elektrisk;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1</x:v>
      </x:c>
      <x:c r="AS234" t="n">
        <x:v>1</x:v>
      </x:c>
      <x:c r="AT234" t="n">
        <x:v>1</x:v>
      </x:c>
      <x:c r="AU234" t="str">
        <x:v>energiattester_export_2025-08-14.json | PDF vedlegg side 5-7</x:v>
      </x:c>
      <x:c r="AV234" s="12" t="n">
        <x:f>IF(COUNT(O234,P234,Q234,R234,K234,L234,M234,N234)=8,O234*K234+P234*L234+Q234*M234+R234*N234,"")</x:f>
        <x:v>307.17</x:v>
      </x:c>
      <x:c r="AW234" s="12" t="n">
        <x:f>IF(AND(ISNUMBER(AV234),H234&gt;0),AV234/H234,"")</x:f>
        <x:v>0.404171052631579</x:v>
      </x:c>
      <x:c r="AX234" s="12" t="n">
        <x:f>IF(AND(ISNUMBER(AD234),H234&gt;0),AD234*H234*3600,"")</x:f>
        <x:v>314092800</x:v>
      </x:c>
      <x:c r="AY234" s="12" t="n">
        <x:f>IF(AND(ISNUMBER(Y234),H234&gt;0),Y234*H234,"")</x:f>
        <x:v>60800</x:v>
      </x:c>
      <x:c r="AZ234" t="str">
        <x:v>Høy</x:v>
      </x:c>
    </x:row>
    <x:row r="235" ht="22" customHeight="1">
      <x:c r="A235" t="str">
        <x:v>OT-6f38a6e83b75</x:v>
      </x:c>
      <x:c r="B235" t="n">
        <x:v>2015</x:v>
      </x:c>
      <x:c r="C235" t="str">
        <x:v>Kontorbygg</x:v>
      </x:c>
      <x:c r="D235" t="str">
        <x:v>KONTORER, ENKLE</x:v>
      </x:c>
      <x:c r="E235" t="str">
        <x:v>D</x:v>
      </x:c>
      <x:c r="F235" t="str">
        <x:v>RED</x:v>
      </x:c>
      <x:c r="G235" t="n">
        <x:v>1975</x:v>
      </x:c>
      <x:c r="H235" t="n">
        <x:v>614</x:v>
      </x:c>
      <x:c r="I235" t="n">
        <x:v>166</x:v>
      </x:c>
      <x:c r="J235" t="str">
        <x:v>PDF/avansert</x:v>
      </x:c>
      <x:c r="K235" t="n">
        <x:v>261</x:v>
      </x:c>
      <x:c r="L235" t="n">
        <x:v>614</x:v>
      </x:c>
      <x:c r="M235" t="n">
        <x:v>614</x:v>
      </x:c>
      <x:c r="N235" t="n">
        <x:v>69</x:v>
      </x:c>
      <x:c r="O235" t="n">
        <x:v>0.22</x:v>
      </x:c>
      <x:c r="P235" t="n">
        <x:v>0.2</x:v>
      </x:c>
      <x:c r="Q235" t="n">
        <x:v>0.13</x:v>
      </x:c>
      <x:c r="R235" t="n">
        <x:v>1.21</x:v>
      </x:c>
      <x:c r="S235" t="n">
        <x:v>81</x:v>
      </x:c>
      <x:c r="T235" t="n">
        <x:v>81</x:v>
      </x:c>
      <x:c r="U235" t="n">
        <x:v>2</x:v>
      </x:c>
      <x:c r="V235" t="n">
        <x:v>0.27</x:v>
      </x:c>
      <x:c r="W235" t="n">
        <x:v>10</x:v>
      </x:c>
      <x:c r="X235" t="n">
        <x:v>98</x:v>
      </x:c>
      <x:c r="Y235" t="n">
        <x:v>80</x:v>
      </x:c>
      <x:c r="Z235" t="n">
        <x:v>30</x:v>
      </x:c>
      <x:c r="AA235" t="n">
        <x:v>21</x:v>
      </x:c>
      <x:c r="AB235" t="n">
        <x:v>22</x:v>
      </x:c>
      <x:c r="AC235" t="n">
        <x:v>4.5</x:v>
      </x:c>
      <x:c r="AD235" t="n">
        <x:v>134.2</x:v>
      </x:c>
      <x:c r="AE235" t="n">
        <x:v>0.09</x:v>
      </x:c>
      <x:c r="AF235" t="n">
        <x:v>12</x:v>
      </x:c>
      <x:c r="AG235" t="n">
        <x:v>12</x:v>
      </x:c>
      <x:c r="AH235" t="n">
        <x:v>24</x:v>
      </x:c>
      <x:c r="AI235" t="n">
        <x:v>8</x:v>
      </x:c>
      <x:c r="AJ235" t="n">
        <x:v>11</x:v>
      </x:c>
      <x:c r="AK235" t="n">
        <x:v>250</x:v>
      </x:c>
      <x:c r="AL235" t="str">
        <x:v>Direkte elektrisk;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1</x:v>
      </x:c>
      <x:c r="AT235" t="n">
        <x:v>1</x:v>
      </x:c>
      <x:c r="AU235" t="str">
        <x:v>energiattester_export_2025-08-14.json | PDF vedlegg side 5-7</x:v>
      </x:c>
      <x:c r="AV235" s="12" t="n">
        <x:f>IF(COUNT(O235,P235,Q235,R235,K235,L235,M235,N235)=8,O235*K235+P235*L235+Q235*M235+R235*N235,"")</x:f>
        <x:v>343.53000000000003</x:v>
      </x:c>
      <x:c r="AW235" s="12" t="n">
        <x:f>IF(AND(ISNUMBER(AV235),H235&gt;0),AV235/H235,"")</x:f>
        <x:v>0.5594951140065147</x:v>
      </x:c>
      <x:c r="AX235" s="12" t="n">
        <x:f>IF(AND(ISNUMBER(AD235),H235&gt;0),AD235*H235*3600,"")</x:f>
        <x:v>296635679.99999994</x:v>
      </x:c>
      <x:c r="AY235" s="12" t="n">
        <x:f>IF(AND(ISNUMBER(Y235),H235&gt;0),Y235*H235,"")</x:f>
        <x:v>49120</x:v>
      </x:c>
      <x:c r="AZ235" t="str">
        <x:v>Høy</x:v>
      </x:c>
    </x:row>
    <x:row r="236" ht="22" customHeight="1">
      <x:c r="A236" t="str">
        <x:v>OT-53e8abb67aa1</x:v>
      </x:c>
      <x:c r="B236" t="n">
        <x:v>2015</x:v>
      </x:c>
      <x:c r="C236" t="str">
        <x:v>Kontorbygg</x:v>
      </x:c>
      <x:c r="D236" t="str">
        <x:v>KONTORER, ENKLE</x:v>
      </x:c>
      <x:c r="E236" t="str">
        <x:v>G</x:v>
      </x:c>
      <x:c r="F236" t="str">
        <x:v>RED</x:v>
      </x:c>
      <x:c r="G236" t="n">
        <x:v>1942</x:v>
      </x:c>
      <x:c r="H236" t="n">
        <x:v>1393</x:v>
      </x:c>
      <x:c r="I236" t="n">
        <x:v>464.6</x:v>
      </x:c>
      <x:c r="J236" t="str">
        <x:v>PDF/avansert</x:v>
      </x:c>
      <x:c r="K236" t="n">
        <x:v>671</x:v>
      </x:c>
      <x:c r="L236" t="n">
        <x:v>616</x:v>
      </x:c>
      <x:c r="M236" t="n">
        <x:v>616</x:v>
      </x:c>
      <x:c r="N236" t="n">
        <x:v>217</x:v>
      </x:c>
      <x:c r="O236" t="n">
        <x:v>1.38</x:v>
      </x:c>
      <x:c r="P236" t="n">
        <x:v>0.5</x:v>
      </x:c>
      <x:c r="Q236" t="n">
        <x:v>0.41</x:v>
      </x:c>
      <x:c r="R236" t="n">
        <x:v>2.3</x:v>
      </x:c>
      <x:c r="S236" t="n">
        <x:v>0</x:v>
      </x:c>
      <x:c r="T236" t="n">
        <x:v>0</x:v>
      </x:c>
      <x:c r="U236" t="n">
        <x:v>2.5</x:v>
      </x:c>
      <x:c r="V236" t="n">
        <x:v>0.23</x:v>
      </x:c>
      <x:c r="W236" t="n">
        <x:v>10</x:v>
      </x:c>
      <x:c r="X236" t="n">
        <x:v>91</x:v>
      </x:c>
      <x:c r="Y236" t="n">
        <x:v>224</x:v>
      </x:c>
      <x:c r="Z236" t="n">
        <x:v>71</x:v>
      </x:c>
      <x:c r="AA236" t="n">
        <x:v>21</x:v>
      </x:c>
      <x:c r="AB236" t="n">
        <x:v>22</x:v>
      </x:c>
      <x:c r="AC236" t="n">
        <x:v>3</x:v>
      </x:c>
      <x:c r="AD236" t="n">
        <x:v>72.1</x:v>
      </x:c>
      <x:c r="AE236" t="n">
        <x:v>0.08</x:v>
      </x:c>
      <x:c r="AF236" t="n">
        <x:v>12</x:v>
      </x:c>
      <x:c r="AG236" t="n">
        <x:v>12</x:v>
      </x:c>
      <x:c r="AH236" t="n">
        <x:v>24</x:v>
      </x:c>
      <x:c r="AI236" t="n">
        <x:v>8</x:v>
      </x:c>
      <x:c r="AJ236" t="n">
        <x:v>11</x:v>
      </x:c>
      <x:c r="AK236" t="n">
        <x:v>250</x:v>
      </x:c>
      <x:c r="AL236" t="str">
        <x:v>Direkte elektrisk;</x:v>
      </x:c>
      <x:c r="AM236" t="n">
        <x:v>1</x:v>
      </x:c>
      <x:c r="AN236" t="n">
        <x:v>0</x:v>
      </x:c>
      <x:c r="AO236" t="n">
        <x:v>1</x:v>
      </x:c>
      <x:c r="AP236" t="n">
        <x:v>1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str">
        <x:v>energiattester_export_2025-08-14.json | PDF vedlegg side 5-7</x:v>
      </x:c>
      <x:c r="AV236" s="12" t="n">
        <x:f>IF(COUNT(O236,P236,Q236,R236,K236,L236,M236,N236)=8,O236*K236+P236*L236+Q236*M236+R236*N236,"")</x:f>
        <x:v>1985.6399999999999</x:v>
      </x:c>
      <x:c r="AW236" s="12" t="n">
        <x:f>IF(AND(ISNUMBER(AV236),H236&gt;0),AV236/H236,"")</x:f>
        <x:v>1.4254414931801866</x:v>
      </x:c>
      <x:c r="AX236" s="12" t="n">
        <x:f>IF(AND(ISNUMBER(AD236),H236&gt;0),AD236*H236*3600,"")</x:f>
        <x:v>361567079.99999994</x:v>
      </x:c>
      <x:c r="AY236" s="12" t="n">
        <x:f>IF(AND(ISNUMBER(Y236),H236&gt;0),Y236*H236,"")</x:f>
        <x:v>312032</x:v>
      </x:c>
      <x:c r="AZ236" t="str">
        <x:v>Høy</x:v>
      </x:c>
    </x:row>
    <x:row r="237" ht="22" customHeight="1">
      <x:c r="A237" t="str">
        <x:v>OT-2c8a57377477</x:v>
      </x:c>
      <x:c r="B237" t="n">
        <x:v>2015</x:v>
      </x:c>
      <x:c r="C237" t="str">
        <x:v>Kontorbygg</x:v>
      </x:c>
      <x:c r="D237" t="str">
        <x:v>KONTORER, MED VENTILASJON OG KJØLEANLEGG</x:v>
      </x:c>
      <x:c r="E237" t="str">
        <x:v>D</x:v>
      </x:c>
      <x:c r="F237" t="str">
        <x:v>RED</x:v>
      </x:c>
      <x:c r="G237" t="n">
        <x:v>1991</x:v>
      </x:c>
      <x:c r="H237" t="n">
        <x:v>2668</x:v>
      </x:c>
      <x:c r="I237" t="n">
        <x:v>169.2</x:v>
      </x:c>
      <x:c r="J237" t="str">
        <x:v>PDF/avansert</x:v>
      </x:c>
      <x:c r="K237" t="n">
        <x:v>817</x:v>
      </x:c>
      <x:c r="L237" t="n">
        <x:v>1058</x:v>
      </x:c>
      <x:c r="M237" t="n">
        <x:v>1058</x:v>
      </x:c>
      <x:c r="N237" t="n">
        <x:v>315</x:v>
      </x:c>
      <x:c r="O237" t="n">
        <x:v>0.25</x:v>
      </x:c>
      <x:c r="P237" t="n">
        <x:v>0.16</x:v>
      </x:c>
      <x:c r="Q237" t="n">
        <x:v>0.13</x:v>
      </x:c>
      <x:c r="R237" t="n">
        <x:v>2.01</x:v>
      </x:c>
      <x:c r="S237" t="n">
        <x:v>65</x:v>
      </x:c>
      <x:c r="T237" t="n">
        <x:v>65</x:v>
      </x:c>
      <x:c r="U237" t="n">
        <x:v>3</x:v>
      </x:c>
      <x:c r="V237" t="n">
        <x:v>0.43</x:v>
      </x:c>
      <x:c r="W237" t="n">
        <x:v>7</x:v>
      </x:c>
      <x:c r="X237" t="n">
        <x:v>91</x:v>
      </x:c>
      <x:c r="Y237" t="n">
        <x:v>130</x:v>
      </x:c>
      <x:c r="Z237" t="n">
        <x:v>35</x:v>
      </x:c>
      <x:c r="AA237" t="n">
        <x:v>21</x:v>
      </x:c>
      <x:c r="AB237" t="n">
        <x:v>22</x:v>
      </x:c>
      <x:c r="AC237" t="n">
        <x:v>2.7</x:v>
      </x:c>
      <x:c r="AD237" t="n">
        <x:v>58.8</x:v>
      </x:c>
      <x:c r="AE237" t="n">
        <x:v>0.12</x:v>
      </x:c>
      <x:c r="AF237" t="n">
        <x:v>12</x:v>
      </x:c>
      <x:c r="AG237" t="n">
        <x:v>12</x:v>
      </x:c>
      <x:c r="AH237" t="n">
        <x:v>24</x:v>
      </x:c>
      <x:c r="AI237" t="n">
        <x:v>8</x:v>
      </x:c>
      <x:c r="AJ237" t="n">
        <x:v>11</x:v>
      </x:c>
      <x:c r="AK237" t="n">
        <x:v>240</x:v>
      </x:c>
      <x:c r="AL237" t="str">
        <x:v>Direkte elektrisk;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str">
        <x:v>energiattester_export_2025-08-14.json | PDF vedlegg side 5-7</x:v>
      </x:c>
      <x:c r="AV237" s="12" t="n">
        <x:f>IF(COUNT(O237,P237,Q237,R237,K237,L237,M237,N237)=8,O237*K237+P237*L237+Q237*M237+R237*N237,"")</x:f>
        <x:v>1144.2199999999998</x:v>
      </x:c>
      <x:c r="AW237" s="12" t="n">
        <x:f>IF(AND(ISNUMBER(AV237),H237&gt;0),AV237/H237,"")</x:f>
        <x:v>0.42886806596701643</x:v>
      </x:c>
      <x:c r="AX237" s="12" t="n">
        <x:f>IF(AND(ISNUMBER(AD237),H237&gt;0),AD237*H237*3600,"")</x:f>
        <x:v>564762240</x:v>
      </x:c>
      <x:c r="AY237" s="12" t="n">
        <x:f>IF(AND(ISNUMBER(Y237),H237&gt;0),Y237*H237,"")</x:f>
        <x:v>346840</x:v>
      </x:c>
      <x:c r="AZ237" t="str">
        <x:v>Høy</x:v>
      </x:c>
    </x:row>
    <x:row r="238" ht="22" customHeight="1">
      <x:c r="A238" t="str">
        <x:v>OT-ed3a9d8fb943</x:v>
      </x:c>
      <x:c r="B238" t="n">
        <x:v>2015</x:v>
      </x:c>
      <x:c r="C238" t="str">
        <x:v>Kontorbygg</x:v>
      </x:c>
      <x:c r="D238" t="str">
        <x:v>KONTORER, MED VENTILASJON OG KJØLEANLEGG</x:v>
      </x:c>
      <x:c r="E238" t="str">
        <x:v>F</x:v>
      </x:c>
      <x:c r="F238" t="str">
        <x:v>RED</x:v>
      </x:c>
      <x:c r="G238" t="n">
        <x:v>1969</x:v>
      </x:c>
      <x:c r="H238" t="n">
        <x:v>4000</x:v>
      </x:c>
      <x:c r="I238" t="n">
        <x:v>244.5</x:v>
      </x:c>
      <x:c r="J238" t="str">
        <x:v>PDF/avansert</x:v>
      </x:c>
      <x:c r="K238" t="n">
        <x:v>1802</x:v>
      </x:c>
      <x:c r="L238" t="n">
        <x:v>922</x:v>
      </x:c>
      <x:c r="M238" t="n">
        <x:v>1050</x:v>
      </x:c>
      <x:c r="N238" t="n">
        <x:v>540</x:v>
      </x:c>
      <x:c r="O238" t="n">
        <x:v>0.33</x:v>
      </x:c>
      <x:c r="P238" t="n">
        <x:v>0.89</x:v>
      </x:c>
      <x:c r="Q238" t="n">
        <x:v>0.46</x:v>
      </x:c>
      <x:c r="R238" t="n">
        <x:v>1.84</x:v>
      </x:c>
      <x:c r="S238" t="n">
        <x:v>60</x:v>
      </x:c>
      <x:c r="T238" t="n">
        <x:v>60</x:v>
      </x:c>
      <x:c r="U238" t="n">
        <x:v>2.7</x:v>
      </x:c>
      <x:c r="V238" t="n">
        <x:v>0.57</x:v>
      </x:c>
      <x:c r="W238" t="n">
        <x:v>8.54</x:v>
      </x:c>
      <x:c r="X238" t="n">
        <x:v>76</x:v>
      </x:c>
      <x:c r="Y238" t="n">
        <x:v>75</x:v>
      </x:c>
      <x:c r="Z238" t="n">
        <x:v>46</x:v>
      </x:c>
      <x:c r="AA238" t="n">
        <x:v>21</x:v>
      </x:c>
      <x:c r="AB238" t="n">
        <x:v>22</x:v>
      </x:c>
      <x:c r="AC238" t="n">
        <x:v>3</x:v>
      </x:c>
      <x:c r="AD238" t="n">
        <x:v>88</x:v>
      </x:c>
      <x:c r="AE238" t="n">
        <x:v>0.08</x:v>
      </x:c>
      <x:c r="AF238" t="n">
        <x:v>12</x:v>
      </x:c>
      <x:c r="AG238" t="n">
        <x:v>12</x:v>
      </x:c>
      <x:c r="AH238" t="n">
        <x:v>24</x:v>
      </x:c>
      <x:c r="AI238" t="n">
        <x:v>8</x:v>
      </x:c>
      <x:c r="AJ238" t="n">
        <x:v>11</x:v>
      </x:c>
      <x:c r="AK238" t="n">
        <x:v>250</x:v>
      </x:c>
      <x:c r="AL238" t="str">
        <x:v>Direkte elektrisk; Olje;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1</x:v>
      </x:c>
      <x:c r="AS238" t="n">
        <x:v>0</x:v>
      </x:c>
      <x:c r="AT238" t="n">
        <x:v>1</x:v>
      </x:c>
      <x:c r="AU238" t="str">
        <x:v>energiattester_export_2025-08-14.json | PDF vedlegg side 5-7</x:v>
      </x:c>
      <x:c r="AV238" s="12" t="n">
        <x:f>IF(COUNT(O238,P238,Q238,R238,K238,L238,M238,N238)=8,O238*K238+P238*L238+Q238*M238+R238*N238,"")</x:f>
        <x:v>2891.84</x:v>
      </x:c>
      <x:c r="AW238" s="12" t="n">
        <x:f>IF(AND(ISNUMBER(AV238),H238&gt;0),AV238/H238,"")</x:f>
        <x:v>0.72296</x:v>
      </x:c>
      <x:c r="AX238" s="12" t="n">
        <x:f>IF(AND(ISNUMBER(AD238),H238&gt;0),AD238*H238*3600,"")</x:f>
        <x:v>1267200000</x:v>
      </x:c>
      <x:c r="AY238" s="12" t="n">
        <x:f>IF(AND(ISNUMBER(Y238),H238&gt;0),Y238*H238,"")</x:f>
        <x:v>300000</x:v>
      </x:c>
      <x:c r="AZ238" t="str">
        <x:v>Høy</x:v>
      </x:c>
    </x:row>
    <x:row r="239" ht="22" customHeight="1">
      <x:c r="A239" t="str">
        <x:v>OT-ebcd0b065436</x:v>
      </x:c>
      <x:c r="B239" t="n">
        <x:v>2015</x:v>
      </x:c>
      <x:c r="C239" t="str">
        <x:v>Kontorbygg</x:v>
      </x:c>
      <x:c r="D239" t="str">
        <x:v>KONTORER, MED VENTILASJON OG KJØLEANLEGG</x:v>
      </x:c>
      <x:c r="E239" t="str">
        <x:v>G</x:v>
      </x:c>
      <x:c r="F239" t="str">
        <x:v>RED</x:v>
      </x:c>
      <x:c r="G239" t="n">
        <x:v>1915</x:v>
      </x:c>
      <x:c r="H239" t="n">
        <x:v>1658</x:v>
      </x:c>
      <x:c r="I239" t="n">
        <x:v>334.6</x:v>
      </x:c>
      <x:c r="J239" t="str">
        <x:v>PDF/avansert</x:v>
      </x:c>
      <x:c r="K239" t="n">
        <x:v>1297</x:v>
      </x:c>
      <x:c r="L239" t="n">
        <x:v>474</x:v>
      </x:c>
      <x:c r="M239" t="n">
        <x:v>450</x:v>
      </x:c>
      <x:c r="N239" t="n">
        <x:v>279</x:v>
      </x:c>
      <x:c r="O239" t="n">
        <x:v>1</x:v>
      </x:c>
      <x:c r="P239" t="n">
        <x:v>0.45</x:v>
      </x:c>
      <x:c r="Q239" t="n">
        <x:v>0.54</x:v>
      </x:c>
      <x:c r="R239" t="n">
        <x:v>2.48</x:v>
      </x:c>
      <x:c r="S239" t="n">
        <x:v>58</x:v>
      </x:c>
      <x:c r="T239" t="n">
        <x:v>58</x:v>
      </x:c>
      <x:c r="U239" t="n">
        <x:v>4.32</x:v>
      </x:c>
      <x:c r="V239" t="n">
        <x:v>0.43</x:v>
      </x:c>
      <x:c r="W239" t="n">
        <x:v>10</x:v>
      </x:c>
      <x:c r="X239" t="n">
        <x:v>96</x:v>
      </x:c>
      <x:c r="Y239" t="n">
        <x:v>134</x:v>
      </x:c>
      <x:c r="Z239" t="n">
        <x:v>74</x:v>
      </x:c>
      <x:c r="AA239" t="n">
        <x:v>21</x:v>
      </x:c>
      <x:c r="AB239" t="n">
        <x:v>22</x:v>
      </x:c>
      <x:c r="AC239" t="n">
        <x:v>2</x:v>
      </x:c>
      <x:c r="AD239" t="n">
        <x:v>92.1</x:v>
      </x:c>
      <x:c r="AE239" t="n">
        <x:v>0.06</x:v>
      </x:c>
      <x:c r="AF239" t="n">
        <x:v>12</x:v>
      </x:c>
      <x:c r="AG239" t="n">
        <x:v>12</x:v>
      </x:c>
      <x:c r="AH239" t="n">
        <x:v>24</x:v>
      </x:c>
      <x:c r="AI239" t="n">
        <x:v>8</x:v>
      </x:c>
      <x:c r="AJ239" t="n">
        <x:v>11</x:v>
      </x:c>
      <x:c r="AK239" t="n">
        <x:v>250</x:v>
      </x:c>
      <x:c r="AL239" t="str">
        <x:v>Direkte elektrisk; Varmepumpe;</x:v>
      </x:c>
      <x:c r="AM239" t="n">
        <x:v>1</x:v>
      </x:c>
      <x:c r="AN239" t="n">
        <x:v>0</x:v>
      </x:c>
      <x:c r="AO239" t="n">
        <x:v>0</x:v>
      </x:c>
      <x:c r="AP239" t="n">
        <x:v>1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str">
        <x:v>energiattester_export_2025-08-14.json | PDF vedlegg side 5-7</x:v>
      </x:c>
      <x:c r="AV239" s="12" t="n">
        <x:f>IF(COUNT(O239,P239,Q239,R239,K239,L239,M239,N239)=8,O239*K239+P239*L239+Q239*M239+R239*N239,"")</x:f>
        <x:v>2445.22</x:v>
      </x:c>
      <x:c r="AW239" s="12" t="n">
        <x:f>IF(AND(ISNUMBER(AV239),H239&gt;0),AV239/H239,"")</x:f>
        <x:v>1.474800965018094</x:v>
      </x:c>
      <x:c r="AX239" s="12" t="n">
        <x:f>IF(AND(ISNUMBER(AD239),H239&gt;0),AD239*H239*3600,"")</x:f>
        <x:v>549726480</x:v>
      </x:c>
      <x:c r="AY239" s="12" t="n">
        <x:f>IF(AND(ISNUMBER(Y239),H239&gt;0),Y239*H239,"")</x:f>
        <x:v>222172</x:v>
      </x:c>
      <x:c r="AZ239" t="str">
        <x:v>Høy</x:v>
      </x:c>
    </x:row>
    <x:row r="240" ht="22" customHeight="1">
      <x:c r="A240" t="str">
        <x:v>OT-46d81ec625e5</x:v>
      </x:c>
      <x:c r="B240" t="n">
        <x:v>2015</x:v>
      </x:c>
      <x:c r="C240" t="str">
        <x:v>Forretningsbygg</x:v>
      </x:c>
      <x:c r="D240" t="str">
        <x:v>BUTIKK</x:v>
      </x:c>
      <x:c r="E240" t="str">
        <x:v>C</x:v>
      </x:c>
      <x:c r="F240" t="str">
        <x:v>RED</x:v>
      </x:c>
      <x:c r="G240" t="n">
        <x:v>2002</x:v>
      </x:c>
      <x:c r="H240" t="n">
        <x:v>1616</x:v>
      </x:c>
      <x:c r="I240" t="n">
        <x:v>164.5</x:v>
      </x:c>
      <x:c r="J240" t="str">
        <x:v>PDF/avansert</x:v>
      </x:c>
      <x:c r="K240" t="n">
        <x:v>988</x:v>
      </x:c>
      <x:c r="L240" t="n">
        <x:v>1213</x:v>
      </x:c>
      <x:c r="M240" t="n">
        <x:v>1213</x:v>
      </x:c>
      <x:c r="N240" t="n">
        <x:v>166</x:v>
      </x:c>
      <x:c r="O240" t="n">
        <x:v>0.22</x:v>
      </x:c>
      <x:c r="P240" t="n">
        <x:v>0.15</x:v>
      </x:c>
      <x:c r="Q240" t="n">
        <x:v>0.08</x:v>
      </x:c>
      <x:c r="R240" t="n">
        <x:v>2.01</x:v>
      </x:c>
      <x:c r="S240" t="n">
        <x:v>53</x:v>
      </x:c>
      <x:c r="T240" t="n">
        <x:v>53</x:v>
      </x:c>
      <x:c r="U240" t="n">
        <x:v>1.41</x:v>
      </x:c>
      <x:c r="V240" t="n">
        <x:v>0.16</x:v>
      </x:c>
      <x:c r="W240" t="n">
        <x:v>6.14</x:v>
      </x:c>
      <x:c r="X240" t="n">
        <x:v>81</x:v>
      </x:c>
      <x:c r="Y240" t="n">
        <x:v>65</x:v>
      </x:c>
      <x:c r="Z240" t="n">
        <x:v>0</x:v>
      </x:c>
      <x:c r="AA240" t="n">
        <x:v>21</x:v>
      </x:c>
      <x:c r="AB240" t="n">
        <x:v>22</x:v>
      </x:c>
      <x:c r="AC240" t="n">
        <x:v>1.5</x:v>
      </x:c>
      <x:c r="AD240" t="n">
        <x:v>101.5</x:v>
      </x:c>
      <x:c r="AE240" t="n">
        <x:v>0.09</x:v>
      </x:c>
      <x:c r="AF240" t="n">
        <x:v>12</x:v>
      </x:c>
      <x:c r="AG240" t="n">
        <x:v>12</x:v>
      </x:c>
      <x:c r="AH240" t="n">
        <x:v>24</x:v>
      </x:c>
      <x:c r="AI240" t="n">
        <x:v>8</x:v>
      </x:c>
      <x:c r="AJ240" t="n">
        <x:v>1</x:v>
      </x:c>
      <x:c r="AK240" t="n">
        <x:v>250</x:v>
      </x:c>
      <x:c r="AL240" t="str">
        <x:v>Direkte elektrisk;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1</x:v>
      </x:c>
      <x:c r="AR240" t="n">
        <x:v>0</x:v>
      </x:c>
      <x:c r="AS240" t="n">
        <x:v>0</x:v>
      </x:c>
      <x:c r="AT240" t="n">
        <x:v>0</x:v>
      </x:c>
      <x:c r="AU240" t="str">
        <x:v>energiattester_export_2025-08-14.json | PDF vedlegg side 5-7</x:v>
      </x:c>
      <x:c r="AV240" s="12" t="n">
        <x:f>IF(COUNT(O240,P240,Q240,R240,K240,L240,M240,N240)=8,O240*K240+P240*L240+Q240*M240+R240*N240,"")</x:f>
        <x:v>830.01</x:v>
      </x:c>
      <x:c r="AW240" s="12" t="n">
        <x:f>IF(AND(ISNUMBER(AV240),H240&gt;0),AV240/H240,"")</x:f>
        <x:v>0.5136200495049504</x:v>
      </x:c>
      <x:c r="AX240" s="12" t="n">
        <x:f>IF(AND(ISNUMBER(AD240),H240&gt;0),AD240*H240*3600,"")</x:f>
        <x:v>590486400</x:v>
      </x:c>
      <x:c r="AY240" s="12" t="n">
        <x:f>IF(AND(ISNUMBER(Y240),H240&gt;0),Y240*H240,"")</x:f>
        <x:v>105040</x:v>
      </x:c>
      <x:c r="AZ240" t="str">
        <x:v>Høy</x:v>
      </x:c>
    </x:row>
    <x:row r="241" ht="22" customHeight="1">
      <x:c r="A241" t="str">
        <x:v>OT-87191cb14b58</x:v>
      </x:c>
      <x:c r="B241" t="n">
        <x:v>2015</x:v>
      </x:c>
      <x:c r="C241" t="str">
        <x:v>Forretningsbygg</x:v>
      </x:c>
      <x:c r="D241" t="str">
        <x:v>BUTIKK</x:v>
      </x:c>
      <x:c r="E241" t="str">
        <x:v>D</x:v>
      </x:c>
      <x:c r="F241" t="str">
        <x:v>RED</x:v>
      </x:c>
      <x:c r="G241" t="n">
        <x:v>1961</x:v>
      </x:c>
      <x:c r="H241" t="n">
        <x:v>817</x:v>
      </x:c>
      <x:c r="I241" t="n">
        <x:v>224.5</x:v>
      </x:c>
      <x:c r="J241" t="str">
        <x:v>PDF/avansert</x:v>
      </x:c>
      <x:c r="K241" t="n">
        <x:v>344</x:v>
      </x:c>
      <x:c r="L241" t="n">
        <x:v>0</x:v>
      </x:c>
      <x:c r="M241" t="n">
        <x:v>480</x:v>
      </x:c>
      <x:c r="N241" t="n">
        <x:v>40</x:v>
      </x:c>
      <x:c r="O241" t="n">
        <x:v>0.32</x:v>
      </x:c>
      <x:c r="P241" t="n">
        <x:v>0</x:v>
      </x:c>
      <x:c r="Q241" t="n">
        <x:v>0.15</x:v>
      </x:c>
      <x:c r="R241" t="n">
        <x:v>2.72</x:v>
      </x:c>
      <x:c r="S241" t="n">
        <x:v>70</x:v>
      </x:c>
      <x:c r="T241" t="n">
        <x:v>70</x:v>
      </x:c>
      <x:c r="U241" t="n">
        <x:v>3.2</x:v>
      </x:c>
      <x:c r="V241" t="n">
        <x:v>0.23</x:v>
      </x:c>
      <x:c r="W241" t="n">
        <x:v>13</x:v>
      </x:c>
      <x:c r="X241" t="n">
        <x:v>79</x:v>
      </x:c>
      <x:c r="Y241" t="n">
        <x:v>80</x:v>
      </x:c>
      <x:c r="Z241" t="n">
        <x:v>0</x:v>
      </x:c>
      <x:c r="AA241" t="n">
        <x:v>21</x:v>
      </x:c>
      <x:c r="AB241" t="n">
        <x:v>22</x:v>
      </x:c>
      <x:c r="AC241" t="n">
        <x:v>7.1</x:v>
      </x:c>
      <x:c r="AD241" t="n">
        <x:v>43.1</x:v>
      </x:c>
      <x:c r="AE241" t="n">
        <x:v>0.12</x:v>
      </x:c>
      <x:c r="AF241" t="n">
        <x:v>12</x:v>
      </x:c>
      <x:c r="AG241" t="n">
        <x:v>12</x:v>
      </x:c>
      <x:c r="AH241" t="n">
        <x:v>24</x:v>
      </x:c>
      <x:c r="AI241" t="n">
        <x:v>15</x:v>
      </x:c>
      <x:c r="AJ241" t="n">
        <x:v>1</x:v>
      </x:c>
      <x:c r="AK241" t="n">
        <x:v>250</x:v>
      </x:c>
      <x:c r="AL241" t="str">
        <x:v>Direkte elektrisk;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1</x:v>
      </x:c>
      <x:c r="AS241" t="n">
        <x:v>1</x:v>
      </x:c>
      <x:c r="AT241" t="n">
        <x:v>1</x:v>
      </x:c>
      <x:c r="AU241" t="str">
        <x:v>energiattester_export_2025-08-14.json | PDF vedlegg side 5-7</x:v>
      </x:c>
      <x:c r="AV241" s="12" t="n">
        <x:f>IF(COUNT(O241,P241,Q241,R241,K241,L241,M241,N241)=8,O241*K241+P241*L241+Q241*M241+R241*N241,"")</x:f>
        <x:v>290.88</x:v>
      </x:c>
      <x:c r="AW241" s="12" t="n">
        <x:f>IF(AND(ISNUMBER(AV241),H241&gt;0),AV241/H241,"")</x:f>
        <x:v>0.3560342717258262</x:v>
      </x:c>
      <x:c r="AX241" s="12" t="n">
        <x:f>IF(AND(ISNUMBER(AD241),H241&gt;0),AD241*H241*3600,"")</x:f>
        <x:v>126765720.00000001</x:v>
      </x:c>
      <x:c r="AY241" s="12" t="n">
        <x:f>IF(AND(ISNUMBER(Y241),H241&gt;0),Y241*H241,"")</x:f>
        <x:v>65360</x:v>
      </x:c>
      <x:c r="AZ241" t="str">
        <x:v>Høy</x:v>
      </x:c>
    </x:row>
    <x:row r="242" ht="22" customHeight="1">
      <x:c r="A242" t="str">
        <x:v>OT-937322708458</x:v>
      </x:c>
      <x:c r="B242" t="n">
        <x:v>2015</x:v>
      </x:c>
      <x:c r="C242" t="str">
        <x:v>Kontorbygg</x:v>
      </x:c>
      <x:c r="D242" t="str">
        <x:v>KONTORER, ENKLE</x:v>
      </x:c>
      <x:c r="E242" t="str">
        <x:v>D</x:v>
      </x:c>
      <x:c r="F242" t="str">
        <x:v>RED</x:v>
      </x:c>
      <x:c r="G242" t="n">
        <x:v>1986</x:v>
      </x:c>
      <x:c r="H242" t="n">
        <x:v>409</x:v>
      </x:c>
      <x:c r="I242" t="n">
        <x:v>168.7</x:v>
      </x:c>
      <x:c r="J242" t="str">
        <x:v>PDF/avansert</x:v>
      </x:c>
      <x:c r="K242" t="n">
        <x:v>138</x:v>
      </x:c>
      <x:c r="L242" t="n">
        <x:v>250</x:v>
      </x:c>
      <x:c r="M242" t="n">
        <x:v>250</x:v>
      </x:c>
      <x:c r="N242" t="n">
        <x:v>68</x:v>
      </x:c>
      <x:c r="O242" t="n">
        <x:v>0.33</x:v>
      </x:c>
      <x:c r="P242" t="n">
        <x:v>0.18</x:v>
      </x:c>
      <x:c r="Q242" t="n">
        <x:v>0.34</x:v>
      </x:c>
      <x:c r="R242" t="n">
        <x:v>2.4</x:v>
      </x:c>
      <x:c r="S242" t="n">
        <x:v>82</x:v>
      </x:c>
      <x:c r="T242" t="n">
        <x:v>82</x:v>
      </x:c>
      <x:c r="U242" t="n">
        <x:v>2.5</x:v>
      </x:c>
      <x:c r="V242" t="n">
        <x:v>0.32</x:v>
      </x:c>
      <x:c r="W242" t="n">
        <x:v>7</x:v>
      </x:c>
      <x:c r="X242" t="n">
        <x:v>90</x:v>
      </x:c>
      <x:c r="Y242" t="n">
        <x:v>100</x:v>
      </x:c>
      <x:c r="Z242" t="n">
        <x:v>30</x:v>
      </x:c>
      <x:c r="AA242" t="n">
        <x:v>21</x:v>
      </x:c>
      <x:c r="AB242" t="n">
        <x:v>22</x:v>
      </x:c>
      <x:c r="AC242" t="n">
        <x:v>2.5</x:v>
      </x:c>
      <x:c r="AD242" t="n">
        <x:v>100.2</x:v>
      </x:c>
      <x:c r="AE242" t="n">
        <x:v>0.05</x:v>
      </x:c>
      <x:c r="AF242" t="n">
        <x:v>12</x:v>
      </x:c>
      <x:c r="AG242" t="n">
        <x:v>12</x:v>
      </x:c>
      <x:c r="AH242" t="n">
        <x:v>24</x:v>
      </x:c>
      <x:c r="AI242" t="n">
        <x:v>8</x:v>
      </x:c>
      <x:c r="AJ242" t="n">
        <x:v>11</x:v>
      </x:c>
      <x:c r="AK242" t="n">
        <x:v>250</x:v>
      </x:c>
      <x:c r="AL242" t="str">
        <x:v>Direkte elektrisk;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1</x:v>
      </x:c>
      <x:c r="AS242" t="n">
        <x:v>1</x:v>
      </x:c>
      <x:c r="AT242" t="n">
        <x:v>0</x:v>
      </x:c>
      <x:c r="AU242" t="str">
        <x:v>energiattester_export_2025-08-14.json | PDF vedlegg side 5-7</x:v>
      </x:c>
      <x:c r="AV242" s="12" t="n">
        <x:f>IF(COUNT(O242,P242,Q242,R242,K242,L242,M242,N242)=8,O242*K242+P242*L242+Q242*M242+R242*N242,"")</x:f>
        <x:v>338.74</x:v>
      </x:c>
      <x:c r="AW242" s="12" t="n">
        <x:f>IF(AND(ISNUMBER(AV242),H242&gt;0),AV242/H242,"")</x:f>
        <x:v>0.8282151589242054</x:v>
      </x:c>
      <x:c r="AX242" s="12" t="n">
        <x:f>IF(AND(ISNUMBER(AD242),H242&gt;0),AD242*H242*3600,"")</x:f>
        <x:v>147534480</x:v>
      </x:c>
      <x:c r="AY242" s="12" t="n">
        <x:f>IF(AND(ISNUMBER(Y242),H242&gt;0),Y242*H242,"")</x:f>
        <x:v>40900</x:v>
      </x:c>
      <x:c r="AZ242" t="str">
        <x:v>Høy</x:v>
      </x:c>
    </x:row>
    <x:row r="243" ht="22" customHeight="1">
      <x:c r="A243" t="str">
        <x:v>OT-b7886020821e</x:v>
      </x:c>
      <x:c r="B243" t="n">
        <x:v>2015</x:v>
      </x:c>
      <x:c r="C243" t="str">
        <x:v>Forretningsbygg</x:v>
      </x:c>
      <x:c r="D243" t="str">
        <x:v>BUTIKK</x:v>
      </x:c>
      <x:c r="E243" t="str">
        <x:v>B</x:v>
      </x:c>
      <x:c r="F243" t="str">
        <x:v>RED</x:v>
      </x:c>
      <x:c r="G243" t="n">
        <x:v>2011</x:v>
      </x:c>
      <x:c r="H243" t="n">
        <x:v>2141</x:v>
      </x:c>
      <x:c r="I243" t="n">
        <x:v>1</x:v>
      </x:c>
      <x:c r="J243" t="str">
        <x:v>PDF/avansert</x:v>
      </x:c>
      <x:c r="K243" t="n">
        <x:v>414</x:v>
      </x:c>
      <x:c r="L243" t="n">
        <x:v>1151</x:v>
      </x:c>
      <x:c r="M243" t="n">
        <x:v>990</x:v>
      </x:c>
      <x:c r="N243" t="n">
        <x:v>470</x:v>
      </x:c>
      <x:c r="O243" t="n">
        <x:v>0.18</x:v>
      </x:c>
      <x:c r="P243" t="n">
        <x:v>0.13</x:v>
      </x:c>
      <x:c r="Q243" t="n">
        <x:v>0.08</x:v>
      </x:c>
      <x:c r="R243" t="n">
        <x:v>1.23</x:v>
      </x:c>
      <x:c r="S243" t="n">
        <x:v>82</x:v>
      </x:c>
      <x:c r="T243" t="n">
        <x:v>82</x:v>
      </x:c>
      <x:c r="U243" t="n">
        <x:v>1.83</x:v>
      </x:c>
      <x:c r="V243" t="n">
        <x:v>0.23</x:v>
      </x:c>
      <x:c r="W243" t="n">
        <x:v>13</x:v>
      </x:c>
      <x:c r="X243" t="n">
        <x:v>81</x:v>
      </x:c>
      <x:c r="Y243" t="n">
        <x:v>99</x:v>
      </x:c>
      <x:c r="Z243" t="n">
        <x:v>39</x:v>
      </x:c>
      <x:c r="AA243" t="n">
        <x:v>21</x:v>
      </x:c>
      <x:c r="AB243" t="n">
        <x:v>22</x:v>
      </x:c>
      <x:c r="AC243" t="n">
        <x:v>2.5</x:v>
      </x:c>
      <x:c r="AD243" t="n">
        <x:v>126.1</x:v>
      </x:c>
      <x:c r="AE243" t="n">
        <x:v>0.09</x:v>
      </x:c>
      <x:c r="AF243" t="n">
        <x:v>12</x:v>
      </x:c>
      <x:c r="AG243" t="n">
        <x:v>12</x:v>
      </x:c>
      <x:c r="AH243" t="n">
        <x:v>24</x:v>
      </x:c>
      <x:c r="AI243" t="n">
        <x:v>15</x:v>
      </x:c>
      <x:c r="AJ243" t="n">
        <x:v>1</x:v>
      </x:c>
      <x:c r="AK243" t="n">
        <x:v>250</x:v>
      </x:c>
      <x:c r="AL243" t="str">
        <x:v>Direkte elektrisk;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1</x:v>
      </x:c>
      <x:c r="AR243" t="n">
        <x:v>1</x:v>
      </x:c>
      <x:c r="AS243" t="n">
        <x:v>1</x:v>
      </x:c>
      <x:c r="AT243" t="n">
        <x:v>1</x:v>
      </x:c>
      <x:c r="AU243" t="str">
        <x:v>energiattester_export_2025-08-14.json | PDF vedlegg side 5-7</x:v>
      </x:c>
      <x:c r="AV243" s="12" t="n">
        <x:f>IF(COUNT(O243,P243,Q243,R243,K243,L243,M243,N243)=8,O243*K243+P243*L243+Q243*M243+R243*N243,"")</x:f>
        <x:v>881.45</x:v>
      </x:c>
      <x:c r="AW243" s="12" t="n">
        <x:f>IF(AND(ISNUMBER(AV243),H243&gt;0),AV243/H243,"")</x:f>
        <x:v>0.4117001401214386</x:v>
      </x:c>
      <x:c r="AX243" s="12" t="n">
        <x:f>IF(AND(ISNUMBER(AD243),H243&gt;0),AD243*H243*3600,"")</x:f>
        <x:v>971928359.9999999</x:v>
      </x:c>
      <x:c r="AY243" s="12" t="n">
        <x:f>IF(AND(ISNUMBER(Y243),H243&gt;0),Y243*H243,"")</x:f>
        <x:v>211959</x:v>
      </x:c>
      <x:c r="AZ243" t="str">
        <x:v>Høy</x:v>
      </x:c>
    </x:row>
    <x:row r="244" ht="22" customHeight="1">
      <x:c r="A244" t="str">
        <x:v>OT-9bdc78f231a5</x:v>
      </x:c>
      <x:c r="B244" t="n">
        <x:v>2015</x:v>
      </x:c>
      <x:c r="C244" t="str">
        <x:v>Forretningsbygg</x:v>
      </x:c>
      <x:c r="D244" t="str">
        <x:v>BUTIKK</x:v>
      </x:c>
      <x:c r="E244" t="str">
        <x:v>G</x:v>
      </x:c>
      <x:c r="F244" t="str">
        <x:v>RED</x:v>
      </x:c>
      <x:c r="G244" t="n">
        <x:v>1975</x:v>
      </x:c>
      <x:c r="H244" t="n">
        <x:v>865</x:v>
      </x:c>
      <x:c r="I244" t="n">
        <x:v>1</x:v>
      </x:c>
      <x:c r="J244" t="str">
        <x:v>PDF/avansert</x:v>
      </x:c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 t="n">
        <x:v>0</x:v>
      </x:c>
      <x:c r="AN244" t="n">
        <x:v>0</x:v>
      </x:c>
      <x:c r="AO244" t="n">
        <x:v>1</x:v>
      </x:c>
      <x:c r="AP244" t="n">
        <x:v>1</x:v>
      </x:c>
      <x:c r="AQ244" t="n">
        <x:v>1</x:v>
      </x:c>
      <x:c r="AR244" t="n">
        <x:v>1</x:v>
      </x:c>
      <x:c r="AS244" t="n">
        <x:v>1</x:v>
      </x:c>
      <x:c r="AT244" t="n">
        <x:v>1</x:v>
      </x:c>
      <x:c r="AU244" t="str">
        <x:v>energiattester_export_2025-08-14.json | PDF vedlegg side 5-7</x:v>
      </x:c>
      <x:c r="AV244" s="12" t="str">
        <x:f>IF(COUNT(O244,P244,Q244,R244,K244,L244,M244,N244)=8,O244*K244+P244*L244+Q244*M244+R244*N244,"")</x:f>
      </x:c>
      <x:c r="AW244" s="12" t="str">
        <x:f>IF(AND(ISNUMBER(AV244),H244&gt;0),AV244/H244,"")</x:f>
      </x:c>
      <x:c r="AX244" s="12" t="str">
        <x:f>IF(AND(ISNUMBER(AD244),H244&gt;0),AD244*H244*3600,"")</x:f>
      </x:c>
      <x:c r="AY244" s="12" t="str">
        <x:f>IF(AND(ISNUMBER(Y244),H244&gt;0),Y244*H244,"")</x:f>
      </x:c>
      <x:c r="AZ244" t="str">
        <x:v>Mangler data</x:v>
      </x:c>
    </x:row>
    <x:row r="245" ht="22" customHeight="1">
      <x:c r="A245" t="str">
        <x:v>OT-4ade5e0734a7</x:v>
      </x:c>
      <x:c r="B245" t="n">
        <x:v>2015</x:v>
      </x:c>
      <x:c r="C245" t="str">
        <x:v>Forretningsbygg</x:v>
      </x:c>
      <x:c r="D245" t="str">
        <x:v>BUTIKK</x:v>
      </x:c>
      <x:c r="E245" t="str">
        <x:v>E</x:v>
      </x:c>
      <x:c r="F245" t="str">
        <x:v>RED</x:v>
      </x:c>
      <x:c r="G245" t="n">
        <x:v>1989</x:v>
      </x:c>
      <x:c r="H245" t="n">
        <x:v>1649</x:v>
      </x:c>
      <x:c r="I245" t="n">
        <x:v>280.3</x:v>
      </x:c>
      <x:c r="J245" t="str">
        <x:v>PDF/avansert</x:v>
      </x:c>
      <x:c r="K245" t="n">
        <x:v>459</x:v>
      </x:c>
      <x:c r="L245" t="n">
        <x:v>636</x:v>
      </x:c>
      <x:c r="M245" t="n">
        <x:v>1012</x:v>
      </x:c>
      <x:c r="N245" t="n">
        <x:v>224</x:v>
      </x:c>
      <x:c r="O245" t="n">
        <x:v>0.3</x:v>
      </x:c>
      <x:c r="P245" t="n">
        <x:v>0.2</x:v>
      </x:c>
      <x:c r="Q245" t="n">
        <x:v>0.1</x:v>
      </x:c>
      <x:c r="R245" t="n">
        <x:v>1.73</x:v>
      </x:c>
      <x:c r="S245" t="n">
        <x:v>42</x:v>
      </x:c>
      <x:c r="T245" t="n">
        <x:v>42</x:v>
      </x:c>
      <x:c r="U245" t="n">
        <x:v>2.92</x:v>
      </x:c>
      <x:c r="V245" t="n">
        <x:v>0.23</x:v>
      </x:c>
      <x:c r="W245" t="n">
        <x:v>13</x:v>
      </x:c>
      <x:c r="X245" t="n">
        <x:v>81</x:v>
      </x:c>
      <x:c r="Y245" t="n">
        <x:v>102</x:v>
      </x:c>
      <x:c r="Z245" t="n">
        <x:v>0</x:v>
      </x:c>
      <x:c r="AA245" t="n">
        <x:v>21</x:v>
      </x:c>
      <x:c r="AB245" t="n">
        <x:v>22</x:v>
      </x:c>
      <x:c r="AC245" t="n">
        <x:v>5</x:v>
      </x:c>
      <x:c r="AD245" t="n">
        <x:v>111.4</x:v>
      </x:c>
      <x:c r="AE245" t="n">
        <x:v>0.09</x:v>
      </x:c>
      <x:c r="AF245" t="n">
        <x:v>12</x:v>
      </x:c>
      <x:c r="AG245" t="n">
        <x:v>12</x:v>
      </x:c>
      <x:c r="AH245" t="n">
        <x:v>24</x:v>
      </x:c>
      <x:c r="AI245" t="n">
        <x:v>15</x:v>
      </x:c>
      <x:c r="AJ245" t="n">
        <x:v>1</x:v>
      </x:c>
      <x:c r="AK245" t="n">
        <x:v>250</x:v>
      </x:c>
      <x:c r="AL245" t="str">
        <x:v>Direkte elektrisk;</x:v>
      </x:c>
      <x:c r="AM245"/>
      <x:c r="AN245"/>
      <x:c r="AO245"/>
      <x:c r="AP245"/>
      <x:c r="AQ245"/>
      <x:c r="AR245"/>
      <x:c r="AS245"/>
      <x:c r="AT245"/>
      <x:c r="AU245" t="str">
        <x:v>energiattester_export_2025-08-14.json | PDF vedlegg side 5-7</x:v>
      </x:c>
      <x:c r="AV245" s="12" t="n">
        <x:f>IF(COUNT(O245,P245,Q245,R245,K245,L245,M245,N245)=8,O245*K245+P245*L245+Q245*M245+R245*N245,"")</x:f>
        <x:v>753.6199999999999</x:v>
      </x:c>
      <x:c r="AW245" s="12" t="n">
        <x:f>IF(AND(ISNUMBER(AV245),H245&gt;0),AV245/H245,"")</x:f>
        <x:v>0.4570163735597331</x:v>
      </x:c>
      <x:c r="AX245" s="12" t="n">
        <x:f>IF(AND(ISNUMBER(AD245),H245&gt;0),AD245*H245*3600,"")</x:f>
        <x:v>661314960</x:v>
      </x:c>
      <x:c r="AY245" s="12" t="n">
        <x:f>IF(AND(ISNUMBER(Y245),H245&gt;0),Y245*H245,"")</x:f>
        <x:v>168198</x:v>
      </x:c>
      <x:c r="AZ245" t="str">
        <x:v>Høy</x:v>
      </x:c>
    </x:row>
    <x:row r="246" ht="22" customHeight="1">
      <x:c r="A246" t="str">
        <x:v>OT-43853c1b6fe8</x:v>
      </x:c>
      <x:c r="B246" t="n">
        <x:v>2015</x:v>
      </x:c>
      <x:c r="C246" t="str">
        <x:v>Kontorbygg</x:v>
      </x:c>
      <x:c r="D246" t="str">
        <x:v>KONTORER, MED VENTILASJON OG KJØLEANLEGG</x:v>
      </x:c>
      <x:c r="E246" t="str">
        <x:v>G</x:v>
      </x:c>
      <x:c r="F246" t="str">
        <x:v>RED</x:v>
      </x:c>
      <x:c r="G246" t="n">
        <x:v>1957</x:v>
      </x:c>
      <x:c r="H246" t="n">
        <x:v>1435</x:v>
      </x:c>
      <x:c r="I246" t="n">
        <x:v>394.6</x:v>
      </x:c>
      <x:c r="J246" t="str">
        <x:v>PDF/avansert</x:v>
      </x:c>
      <x:c r="K246" t="n">
        <x:v>355</x:v>
      </x:c>
      <x:c r="L246" t="n">
        <x:v>593</x:v>
      </x:c>
      <x:c r="M246" t="n">
        <x:v>56</x:v>
      </x:c>
      <x:c r="N246" t="n">
        <x:v>118</x:v>
      </x:c>
      <x:c r="O246" t="n">
        <x:v>0.9</x:v>
      </x:c>
      <x:c r="P246" t="n">
        <x:v>0.9</x:v>
      </x:c>
      <x:c r="Q246" t="n">
        <x:v>0.64</x:v>
      </x:c>
      <x:c r="R246" t="n">
        <x:v>1.26</x:v>
      </x:c>
      <x:c r="S246" t="n">
        <x:v>54</x:v>
      </x:c>
      <x:c r="T246" t="n">
        <x:v>54</x:v>
      </x:c>
      <x:c r="U246" t="n">
        <x:v>2.4</x:v>
      </x:c>
      <x:c r="V246" t="n">
        <x:v>0.28</x:v>
      </x:c>
      <x:c r="W246" t="n">
        <x:v>10.8</x:v>
      </x:c>
      <x:c r="X246" t="n">
        <x:v>89</x:v>
      </x:c>
      <x:c r="Y246" t="n">
        <x:v>120</x:v>
      </x:c>
      <x:c r="Z246" t="n">
        <x:v>0</x:v>
      </x:c>
      <x:c r="AA246" t="n">
        <x:v>21</x:v>
      </x:c>
      <x:c r="AB246" t="n">
        <x:v>22</x:v>
      </x:c>
      <x:c r="AC246" t="n">
        <x:v>4.5</x:v>
      </x:c>
      <x:c r="AD246" t="n">
        <x:v>38.2</x:v>
      </x:c>
      <x:c r="AE246" t="n">
        <x:v>0.12</x:v>
      </x:c>
      <x:c r="AF246" t="n">
        <x:v>12</x:v>
      </x:c>
      <x:c r="AG246" t="n">
        <x:v>12</x:v>
      </x:c>
      <x:c r="AH246" t="n">
        <x:v>24</x:v>
      </x:c>
      <x:c r="AI246" t="n">
        <x:v>8</x:v>
      </x:c>
      <x:c r="AJ246" t="n">
        <x:v>11</x:v>
      </x:c>
      <x:c r="AK246" t="n">
        <x:v>240</x:v>
      </x:c>
      <x:c r="AL246" t="str">
        <x:v>Direkte elektrisk;</x:v>
      </x:c>
      <x:c r="AM246" t="n">
        <x:v>0</x:v>
      </x:c>
      <x:c r="AN246" t="n">
        <x:v>0</x:v>
      </x:c>
      <x:c r="AO246" t="n">
        <x:v>1</x:v>
      </x:c>
      <x:c r="AP246" t="n">
        <x:v>0</x:v>
      </x:c>
      <x:c r="AQ246" t="n">
        <x:v>1</x:v>
      </x:c>
      <x:c r="AR246" t="n">
        <x:v>1</x:v>
      </x:c>
      <x:c r="AS246" t="n">
        <x:v>1</x:v>
      </x:c>
      <x:c r="AT246" t="n">
        <x:v>1</x:v>
      </x:c>
      <x:c r="AU246" t="str">
        <x:v>energiattester_export_2025-08-14.json | PDF vedlegg side 5-7</x:v>
      </x:c>
      <x:c r="AV246" s="12" t="n">
        <x:f>IF(COUNT(O246,P246,Q246,R246,K246,L246,M246,N246)=8,O246*K246+P246*L246+Q246*M246+R246*N246,"")</x:f>
        <x:v>1037.72</x:v>
      </x:c>
      <x:c r="AW246" s="12" t="n">
        <x:f>IF(AND(ISNUMBER(AV246),H246&gt;0),AV246/H246,"")</x:f>
        <x:v>0.7231498257839721</x:v>
      </x:c>
      <x:c r="AX246" s="12" t="n">
        <x:f>IF(AND(ISNUMBER(AD246),H246&gt;0),AD246*H246*3600,"")</x:f>
        <x:v>197341200.00000003</x:v>
      </x:c>
      <x:c r="AY246" s="12" t="n">
        <x:f>IF(AND(ISNUMBER(Y246),H246&gt;0),Y246*H246,"")</x:f>
        <x:v>172200</x:v>
      </x:c>
      <x:c r="AZ246" t="str">
        <x:v>Høy</x:v>
      </x:c>
    </x:row>
    <x:row r="247" ht="22" customHeight="1">
      <x:c r="A247" t="str">
        <x:v>OT-63643b98ddf2</x:v>
      </x:c>
      <x:c r="B247" t="n">
        <x:v>2015</x:v>
      </x:c>
      <x:c r="C247" t="str">
        <x:v>Kontorbygg</x:v>
      </x:c>
      <x:c r="D247" t="str">
        <x:v>KONTORER, MED VENTILASJON OG KJØLEANLEGG</x:v>
      </x:c>
      <x:c r="E247" t="str">
        <x:v>E</x:v>
      </x:c>
      <x:c r="F247" t="str">
        <x:v>ORANGE</x:v>
      </x:c>
      <x:c r="G247" t="n">
        <x:v>1988</x:v>
      </x:c>
      <x:c r="H247" t="n">
        <x:v>288</x:v>
      </x:c>
      <x:c r="I247" t="n">
        <x:v>212.3</x:v>
      </x:c>
      <x:c r="J247" t="str">
        <x:v>PDF/avansert</x:v>
      </x:c>
      <x:c r="K247" t="n">
        <x:v>174</x:v>
      </x:c>
      <x:c r="L247" t="n">
        <x:v>162</x:v>
      </x:c>
      <x:c r="M247" t="n">
        <x:v>0</x:v>
      </x:c>
      <x:c r="N247" t="n">
        <x:v>36</x:v>
      </x:c>
      <x:c r="O247" t="n">
        <x:v>0.24</x:v>
      </x:c>
      <x:c r="P247" t="n">
        <x:v>0.15</x:v>
      </x:c>
      <x:c r="Q247" t="n">
        <x:v>0</x:v>
      </x:c>
      <x:c r="R247" t="n">
        <x:v>1.44</x:v>
      </x:c>
      <x:c r="S247" t="n">
        <x:v>70</x:v>
      </x:c>
      <x:c r="T247" t="n">
        <x:v>70</x:v>
      </x:c>
      <x:c r="U247" t="n">
        <x:v>2.4</x:v>
      </x:c>
      <x:c r="V247" t="n">
        <x:v>0.3</x:v>
      </x:c>
      <x:c r="W247" t="n">
        <x:v>10</x:v>
      </x:c>
      <x:c r="X247" t="n">
        <x:v>138</x:v>
      </x:c>
      <x:c r="Y247" t="n">
        <x:v>50</x:v>
      </x:c>
      <x:c r="Z247" t="n">
        <x:v>20</x:v>
      </x:c>
      <x:c r="AA247" t="n">
        <x:v>21</x:v>
      </x:c>
      <x:c r="AB247" t="n">
        <x:v>22</x:v>
      </x:c>
      <x:c r="AC247" t="n">
        <x:v>3.5</x:v>
      </x:c>
      <x:c r="AD247" t="n">
        <x:v>60.4</x:v>
      </x:c>
      <x:c r="AE247" t="n">
        <x:v>0.12</x:v>
      </x:c>
      <x:c r="AF247" t="n">
        <x:v>12</x:v>
      </x:c>
      <x:c r="AG247" t="n">
        <x:v>12</x:v>
      </x:c>
      <x:c r="AH247" t="n">
        <x:v>24</x:v>
      </x:c>
      <x:c r="AI247" t="n">
        <x:v>8</x:v>
      </x:c>
      <x:c r="AJ247" t="n">
        <x:v>11</x:v>
      </x:c>
      <x:c r="AK247" t="n">
        <x:v>240</x:v>
      </x:c>
      <x:c r="AL247" t="str">
        <x:v>Gass; Varmepumpe;</x:v>
      </x:c>
      <x:c r="AM247" t="n">
        <x:v>0</x:v>
      </x:c>
      <x:c r="AN247" t="n">
        <x:v>0</x:v>
      </x:c>
      <x:c r="AO247" t="n">
        <x:v>1</x:v>
      </x:c>
      <x:c r="AP247" t="n">
        <x:v>0</x:v>
      </x:c>
      <x:c r="AQ247" t="n">
        <x:v>1</x:v>
      </x:c>
      <x:c r="AR247" t="n">
        <x:v>1</x:v>
      </x:c>
      <x:c r="AS247" t="n">
        <x:v>1</x:v>
      </x:c>
      <x:c r="AT247" t="n">
        <x:v>1</x:v>
      </x:c>
      <x:c r="AU247" t="str">
        <x:v>energiattester_export_2025-08-14.json | PDF vedlegg side 5-7</x:v>
      </x:c>
      <x:c r="AV247" s="12" t="n">
        <x:f>IF(COUNT(O247,P247,Q247,R247,K247,L247,M247,N247)=8,O247*K247+P247*L247+Q247*M247+R247*N247,"")</x:f>
        <x:v>117.9</x:v>
      </x:c>
      <x:c r="AW247" s="12" t="n">
        <x:f>IF(AND(ISNUMBER(AV247),H247&gt;0),AV247/H247,"")</x:f>
        <x:v>0.40937500000000004</x:v>
      </x:c>
      <x:c r="AX247" s="12" t="n">
        <x:f>IF(AND(ISNUMBER(AD247),H247&gt;0),AD247*H247*3600,"")</x:f>
        <x:v>62622720</x:v>
      </x:c>
      <x:c r="AY247" s="12" t="n">
        <x:f>IF(AND(ISNUMBER(Y247),H247&gt;0),Y247*H247,"")</x:f>
        <x:v>14400</x:v>
      </x:c>
      <x:c r="AZ247" t="str">
        <x:v>Høy</x:v>
      </x:c>
    </x:row>
    <x:row r="248" ht="22" customHeight="1">
      <x:c r="A248" t="str">
        <x:v>OT-c0d4dc36a919</x:v>
      </x:c>
      <x:c r="B248" t="n">
        <x:v>2015</x:v>
      </x:c>
      <x:c r="C248" t="str">
        <x:v>Forretningsbygg</x:v>
      </x:c>
      <x:c r="D248" t="str">
        <x:v>BUTIKK</x:v>
      </x:c>
      <x:c r="E248" t="str">
        <x:v>G</x:v>
      </x:c>
      <x:c r="F248" t="str">
        <x:v>RED</x:v>
      </x:c>
      <x:c r="G248" t="n">
        <x:v>1981</x:v>
      </x:c>
      <x:c r="H248" t="n">
        <x:v>1300</x:v>
      </x:c>
      <x:c r="I248" t="n">
        <x:v>613.7</x:v>
      </x:c>
      <x:c r="J248" t="str">
        <x:v>PDF/avansert</x:v>
      </x:c>
      <x:c r="K248" t="n">
        <x:v>671</x:v>
      </x:c>
      <x:c r="L248" t="n">
        <x:v>717</x:v>
      </x:c>
      <x:c r="M248" t="n">
        <x:v>650</x:v>
      </x:c>
      <x:c r="N248" t="n">
        <x:v>73</x:v>
      </x:c>
      <x:c r="O248" t="n">
        <x:v>0.87</x:v>
      </x:c>
      <x:c r="P248" t="n">
        <x:v>0.17</x:v>
      </x:c>
      <x:c r="Q248" t="n">
        <x:v>1.1</x:v>
      </x:c>
      <x:c r="R248" t="n">
        <x:v>2.54</x:v>
      </x:c>
      <x:c r="S248" t="n">
        <x:v>0</x:v>
      </x:c>
      <x:c r="T248" t="n">
        <x:v>0</x:v>
      </x:c>
      <x:c r="U248" t="n">
        <x:v>4</x:v>
      </x:c>
      <x:c r="V248" t="n">
        <x:v>0.31</x:v>
      </x:c>
      <x:c r="W248" t="n">
        <x:v>13</x:v>
      </x:c>
      <x:c r="X248" t="n">
        <x:v>89</x:v>
      </x:c>
      <x:c r="Y248" t="n">
        <x:v>270</x:v>
      </x:c>
      <x:c r="Z248" t="n">
        <x:v>0</x:v>
      </x:c>
      <x:c r="AA248" t="n">
        <x:v>21</x:v>
      </x:c>
      <x:c r="AB248" t="n">
        <x:v>22</x:v>
      </x:c>
      <x:c r="AC248" t="n">
        <x:v>1.5</x:v>
      </x:c>
      <x:c r="AD248" t="n">
        <x:v>199.4</x:v>
      </x:c>
      <x:c r="AE248" t="n">
        <x:v>0.08</x:v>
      </x:c>
      <x:c r="AF248" t="n">
        <x:v>12</x:v>
      </x:c>
      <x:c r="AG248" t="n">
        <x:v>12</x:v>
      </x:c>
      <x:c r="AH248" t="n">
        <x:v>24</x:v>
      </x:c>
      <x:c r="AI248" t="n">
        <x:v>15</x:v>
      </x:c>
      <x:c r="AJ248" t="n">
        <x:v>1</x:v>
      </x:c>
      <x:c r="AK248" t="n">
        <x:v>250</x:v>
      </x:c>
      <x:c r="AL248" t="str">
        <x:v>Direkte elektrisk;</x:v>
      </x:c>
      <x:c r="AM248"/>
      <x:c r="AN248"/>
      <x:c r="AO248"/>
      <x:c r="AP248"/>
      <x:c r="AQ248"/>
      <x:c r="AR248"/>
      <x:c r="AS248"/>
      <x:c r="AT248"/>
      <x:c r="AU248" t="str">
        <x:v>energiattester_export_2025-08-14.json | PDF vedlegg side 5-7</x:v>
      </x:c>
      <x:c r="AV248" s="12" t="n">
        <x:f>IF(COUNT(O248,P248,Q248,R248,K248,L248,M248,N248)=8,O248*K248+P248*L248+Q248*M248+R248*N248,"")</x:f>
        <x:v>1606.0800000000002</x:v>
      </x:c>
      <x:c r="AW248" s="12" t="n">
        <x:f>IF(AND(ISNUMBER(AV248),H248&gt;0),AV248/H248,"")</x:f>
        <x:v>1.2354461538461539</x:v>
      </x:c>
      <x:c r="AX248" s="12" t="n">
        <x:f>IF(AND(ISNUMBER(AD248),H248&gt;0),AD248*H248*3600,"")</x:f>
        <x:v>933192000</x:v>
      </x:c>
      <x:c r="AY248" s="12" t="n">
        <x:f>IF(AND(ISNUMBER(Y248),H248&gt;0),Y248*H248,"")</x:f>
        <x:v>351000</x:v>
      </x:c>
      <x:c r="AZ248" t="str">
        <x:v>Høy</x:v>
      </x:c>
    </x:row>
    <x:row r="249" ht="22" customHeight="1">
      <x:c r="A249" t="str">
        <x:v>OT-1b17f07a55ef</x:v>
      </x:c>
      <x:c r="B249" t="n">
        <x:v>2015</x:v>
      </x:c>
      <x:c r="C249" t="str">
        <x:v>Forretningsbygg</x:v>
      </x:c>
      <x:c r="D249" t="str">
        <x:v>BUTIKK MED KJØLE- / FRYSEROM</x:v>
      </x:c>
      <x:c r="E249" t="str">
        <x:v>G</x:v>
      </x:c>
      <x:c r="F249" t="str">
        <x:v>ORANGE</x:v>
      </x:c>
      <x:c r="G249" t="n">
        <x:v>1969</x:v>
      </x:c>
      <x:c r="H249" t="n">
        <x:v>1853</x:v>
      </x:c>
      <x:c r="I249" t="n">
        <x:v>448.6</x:v>
      </x:c>
      <x:c r="J249" t="str">
        <x:v>PDF/avansert</x:v>
      </x:c>
      <x:c r="K249" t="n">
        <x:v>770</x:v>
      </x:c>
      <x:c r="L249" t="n">
        <x:v>1658</x:v>
      </x:c>
      <x:c r="M249" t="n">
        <x:v>1381</x:v>
      </x:c>
      <x:c r="N249" t="n">
        <x:v>120</x:v>
      </x:c>
      <x:c r="O249" t="n">
        <x:v>0.21</x:v>
      </x:c>
      <x:c r="P249" t="n">
        <x:v>0.76</x:v>
      </x:c>
      <x:c r="Q249" t="n">
        <x:v>0.13</x:v>
      </x:c>
      <x:c r="R249" t="n">
        <x:v>2.7</x:v>
      </x:c>
      <x:c r="S249" t="n">
        <x:v>0</x:v>
      </x:c>
      <x:c r="T249" t="n">
        <x:v>0</x:v>
      </x:c>
      <x:c r="U249" t="n">
        <x:v>4</x:v>
      </x:c>
      <x:c r="V249" t="n">
        <x:v>0.31</x:v>
      </x:c>
      <x:c r="W249" t="n">
        <x:v>13</x:v>
      </x:c>
      <x:c r="X249" t="n">
        <x:v>186</x:v>
      </x:c>
      <x:c r="Y249" t="n">
        <x:v>215</x:v>
      </x:c>
      <x:c r="Z249" t="n">
        <x:v>40</x:v>
      </x:c>
      <x:c r="AA249" t="n">
        <x:v>21</x:v>
      </x:c>
      <x:c r="AB249" t="n">
        <x:v>22</x:v>
      </x:c>
      <x:c r="AC249" t="n">
        <x:v>1.5</x:v>
      </x:c>
      <x:c r="AD249" t="n">
        <x:v>119.4</x:v>
      </x:c>
      <x:c r="AE249" t="n">
        <x:v>0.07</x:v>
      </x:c>
      <x:c r="AF249" t="n">
        <x:v>12</x:v>
      </x:c>
      <x:c r="AG249" t="n">
        <x:v>12</x:v>
      </x:c>
      <x:c r="AH249" t="n">
        <x:v>24</x:v>
      </x:c>
      <x:c r="AI249" t="n">
        <x:v>15</x:v>
      </x:c>
      <x:c r="AJ249" t="n">
        <x:v>1</x:v>
      </x:c>
      <x:c r="AK249" t="n">
        <x:v>250</x:v>
      </x:c>
      <x:c r="AL249" t="str">
        <x:v>Direkte elektrisk; Olje; Varmepumpe;</x:v>
      </x:c>
      <x:c r="AM249" t="n">
        <x:v>1</x:v>
      </x:c>
      <x:c r="AN249" t="n">
        <x:v>0</x:v>
      </x:c>
      <x:c r="AO249" t="n">
        <x:v>0</x:v>
      </x:c>
      <x:c r="AP249" t="n">
        <x:v>1</x:v>
      </x:c>
      <x:c r="AQ249" t="n">
        <x:v>0</x:v>
      </x:c>
      <x:c r="AR249" t="n">
        <x:v>0</x:v>
      </x:c>
      <x:c r="AS249" t="n">
        <x:v>0</x:v>
      </x:c>
      <x:c r="AT249" t="n">
        <x:v>1</x:v>
      </x:c>
      <x:c r="AU249" t="str">
        <x:v>energiattester_export_2025-08-14.json | PDF vedlegg side 5-7</x:v>
      </x:c>
      <x:c r="AV249" s="12" t="n">
        <x:f>IF(COUNT(O249,P249,Q249,R249,K249,L249,M249,N249)=8,O249*K249+P249*L249+Q249*M249+R249*N249,"")</x:f>
        <x:v>1925.31</x:v>
      </x:c>
      <x:c r="AW249" s="12" t="n">
        <x:f>IF(AND(ISNUMBER(AV249),H249&gt;0),AV249/H249,"")</x:f>
        <x:v>1.0390232056125202</x:v>
      </x:c>
      <x:c r="AX249" s="12" t="n">
        <x:f>IF(AND(ISNUMBER(AD249),H249&gt;0),AD249*H249*3600,"")</x:f>
        <x:v>796493520</x:v>
      </x:c>
      <x:c r="AY249" s="12" t="n">
        <x:f>IF(AND(ISNUMBER(Y249),H249&gt;0),Y249*H249,"")</x:f>
        <x:v>398395</x:v>
      </x:c>
      <x:c r="AZ249" t="str">
        <x:v>Høy</x:v>
      </x:c>
    </x:row>
    <x:row r="250" ht="22" customHeight="1">
      <x:c r="A250" t="str">
        <x:v>OT-85fe67d9271e</x:v>
      </x:c>
      <x:c r="B250" t="n">
        <x:v>2015</x:v>
      </x:c>
      <x:c r="C250" t="str">
        <x:v>Kontorbygg</x:v>
      </x:c>
      <x:c r="D250" t="str">
        <x:v>KONTORER, ENKLE</x:v>
      </x:c>
      <x:c r="E250" t="str">
        <x:v>F</x:v>
      </x:c>
      <x:c r="F250" t="str">
        <x:v>RED</x:v>
      </x:c>
      <x:c r="G250" t="n">
        <x:v>1962</x:v>
      </x:c>
      <x:c r="H250" t="n">
        <x:v>2416</x:v>
      </x:c>
      <x:c r="I250" t="n">
        <x:v>236.4</x:v>
      </x:c>
      <x:c r="J250" t="str">
        <x:v>PDF/avansert</x:v>
      </x:c>
      <x:c r="K250" t="n">
        <x:v>1015</x:v>
      </x:c>
      <x:c r="L250" t="n">
        <x:v>1072</x:v>
      </x:c>
      <x:c r="M250" t="n">
        <x:v>1061</x:v>
      </x:c>
      <x:c r="N250" t="n">
        <x:v>259</x:v>
      </x:c>
      <x:c r="O250" t="n">
        <x:v>0.63</x:v>
      </x:c>
      <x:c r="P250" t="n">
        <x:v>0.26</x:v>
      </x:c>
      <x:c r="Q250" t="n">
        <x:v>0.25</x:v>
      </x:c>
      <x:c r="R250" t="n">
        <x:v>2.25</x:v>
      </x:c>
      <x:c r="S250" t="n">
        <x:v>48</x:v>
      </x:c>
      <x:c r="T250" t="n">
        <x:v>48</x:v>
      </x:c>
      <x:c r="U250" t="n">
        <x:v>3.96</x:v>
      </x:c>
      <x:c r="V250" t="n">
        <x:v>0.43</x:v>
      </x:c>
      <x:c r="W250" t="n">
        <x:v>7</x:v>
      </x:c>
      <x:c r="X250" t="n">
        <x:v>77</x:v>
      </x:c>
      <x:c r="Y250" t="n">
        <x:v>149</x:v>
      </x:c>
      <x:c r="Z250" t="n">
        <x:v>15</x:v>
      </x:c>
      <x:c r="AA250" t="n">
        <x:v>21</x:v>
      </x:c>
      <x:c r="AB250" t="n">
        <x:v>22</x:v>
      </x:c>
      <x:c r="AC250" t="n">
        <x:v>2.29</x:v>
      </x:c>
      <x:c r="AD250" t="n">
        <x:v>43.6</x:v>
      </x:c>
      <x:c r="AE250" t="n">
        <x:v>0.1</x:v>
      </x:c>
      <x:c r="AF250" t="n">
        <x:v>12</x:v>
      </x:c>
      <x:c r="AG250" t="n">
        <x:v>12</x:v>
      </x:c>
      <x:c r="AH250" t="n">
        <x:v>24</x:v>
      </x:c>
      <x:c r="AI250" t="n">
        <x:v>8</x:v>
      </x:c>
      <x:c r="AJ250" t="n">
        <x:v>11</x:v>
      </x:c>
      <x:c r="AK250" t="n">
        <x:v>250</x:v>
      </x:c>
      <x:c r="AL250" t="str">
        <x:v>Direkte elektrisk; Olje; Annen;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1</x:v>
      </x:c>
      <x:c r="AR250" t="n">
        <x:v>1</x:v>
      </x:c>
      <x:c r="AS250" t="n">
        <x:v>1</x:v>
      </x:c>
      <x:c r="AT250" t="n">
        <x:v>0</x:v>
      </x:c>
      <x:c r="AU250" t="str">
        <x:v>energiattester_export_2025-08-14.json | PDF vedlegg side 5-7</x:v>
      </x:c>
      <x:c r="AV250" s="12" t="n">
        <x:f>IF(COUNT(O250,P250,Q250,R250,K250,L250,M250,N250)=8,O250*K250+P250*L250+Q250*M250+R250*N250,"")</x:f>
        <x:v>1766.17</x:v>
      </x:c>
      <x:c r="AW250" s="12" t="n">
        <x:f>IF(AND(ISNUMBER(AV250),H250&gt;0),AV250/H250,"")</x:f>
        <x:v>0.7310306291390729</x:v>
      </x:c>
      <x:c r="AX250" s="12" t="n">
        <x:f>IF(AND(ISNUMBER(AD250),H250&gt;0),AD250*H250*3600,"")</x:f>
        <x:v>379215360</x:v>
      </x:c>
      <x:c r="AY250" s="12" t="n">
        <x:f>IF(AND(ISNUMBER(Y250),H250&gt;0),Y250*H250,"")</x:f>
        <x:v>359984</x:v>
      </x:c>
      <x:c r="AZ250" t="str">
        <x:v>Høy</x:v>
      </x:c>
    </x:row>
    <x:row r="251" ht="22" customHeight="1">
      <x:c r="A251" t="str">
        <x:v>OT-e3555afe84c6</x:v>
      </x:c>
      <x:c r="B251" t="n">
        <x:v>2015</x:v>
      </x:c>
      <x:c r="C251" t="str">
        <x:v>Hoteller</x:v>
      </x:c>
      <x:c r="D251" t="str">
        <x:v>HOTELLBYGNING</x:v>
      </x:c>
      <x:c r="E251" t="str">
        <x:v>C</x:v>
      </x:c>
      <x:c r="F251" t="str">
        <x:v>RED</x:v>
      </x:c>
      <x:c r="G251" t="n">
        <x:v>1966</x:v>
      </x:c>
      <x:c r="H251" t="n">
        <x:v>2997</x:v>
      </x:c>
      <x:c r="I251" t="n">
        <x:v>225</x:v>
      </x:c>
      <x:c r="J251" t="str">
        <x:v>PDF/avansert</x:v>
      </x:c>
      <x:c r="K251" t="n">
        <x:v>1445</x:v>
      </x:c>
      <x:c r="L251" t="n">
        <x:v>556</x:v>
      </x:c>
      <x:c r="M251" t="n">
        <x:v>556</x:v>
      </x:c>
      <x:c r="N251" t="n">
        <x:v>346</x:v>
      </x:c>
      <x:c r="O251" t="n">
        <x:v>0.3</x:v>
      </x:c>
      <x:c r="P251" t="n">
        <x:v>0.2</x:v>
      </x:c>
      <x:c r="Q251" t="n">
        <x:v>0.23</x:v>
      </x:c>
      <x:c r="R251" t="n">
        <x:v>2.36</x:v>
      </x:c>
      <x:c r="S251" t="n">
        <x:v>74</x:v>
      </x:c>
      <x:c r="T251" t="n">
        <x:v>74</x:v>
      </x:c>
      <x:c r="U251" t="n">
        <x:v>2.11</x:v>
      </x:c>
      <x:c r="V251" t="n">
        <x:v>0.45</x:v>
      </x:c>
      <x:c r="W251" t="n">
        <x:v>10</x:v>
      </x:c>
      <x:c r="X251" t="n">
        <x:v>90</x:v>
      </x:c>
      <x:c r="Y251" t="n">
        <x:v>80</x:v>
      </x:c>
      <x:c r="Z251" t="n">
        <x:v>5</x:v>
      </x:c>
      <x:c r="AA251" t="n">
        <x:v>21</x:v>
      </x:c>
      <x:c r="AB251" t="n">
        <x:v>22</x:v>
      </x:c>
      <x:c r="AC251" t="n">
        <x:v>2</x:v>
      </x:c>
      <x:c r="AD251" t="n">
        <x:v>57.8</x:v>
      </x:c>
      <x:c r="AE251" t="n">
        <x:v>0.12</x:v>
      </x:c>
      <x:c r="AF251" t="n">
        <x:v>16</x:v>
      </x:c>
      <x:c r="AG251" t="n">
        <x:v>16</x:v>
      </x:c>
      <x:c r="AH251" t="n">
        <x:v>24</x:v>
      </x:c>
      <x:c r="AI251" t="n">
        <x:v>8</x:v>
      </x:c>
      <x:c r="AJ251" t="n">
        <x:v>1</x:v>
      </x:c>
      <x:c r="AK251" t="n">
        <x:v>250</x:v>
      </x:c>
      <x:c r="AL251" t="str">
        <x:v>Direkte elektrisk;</x:v>
      </x:c>
      <x:c r="AM251" t="n">
        <x:v>0</x:v>
      </x:c>
      <x:c r="AN251" t="n">
        <x:v>0</x:v>
      </x:c>
      <x:c r="AO251" t="n">
        <x:v>0</x:v>
      </x:c>
      <x:c r="AP251" t="n">
        <x:v>1</x:v>
      </x:c>
      <x:c r="AQ251" t="n">
        <x:v>1</x:v>
      </x:c>
      <x:c r="AR251" t="n">
        <x:v>0</x:v>
      </x:c>
      <x:c r="AS251" t="n">
        <x:v>0</x:v>
      </x:c>
      <x:c r="AT251" t="n">
        <x:v>1</x:v>
      </x:c>
      <x:c r="AU251" t="str">
        <x:v>energiattester_export_2025-08-14.json | PDF vedlegg side 5-7</x:v>
      </x:c>
      <x:c r="AV251" s="12" t="n">
        <x:f>IF(COUNT(O251,P251,Q251,R251,K251,L251,M251,N251)=8,O251*K251+P251*L251+Q251*M251+R251*N251,"")</x:f>
        <x:v>1489.1399999999999</x:v>
      </x:c>
      <x:c r="AW251" s="12" t="n">
        <x:f>IF(AND(ISNUMBER(AV251),H251&gt;0),AV251/H251,"")</x:f>
        <x:v>0.4968768768768768</x:v>
      </x:c>
      <x:c r="AX251" s="12" t="n">
        <x:f>IF(AND(ISNUMBER(AD251),H251&gt;0),AD251*H251*3600,"")</x:f>
        <x:v>623615760</x:v>
      </x:c>
      <x:c r="AY251" s="12" t="n">
        <x:f>IF(AND(ISNUMBER(Y251),H251&gt;0),Y251*H251,"")</x:f>
        <x:v>239760</x:v>
      </x:c>
      <x:c r="AZ251" t="str">
        <x:v>Høy</x:v>
      </x:c>
    </x:row>
    <x:row r="252" ht="22" customHeight="1">
      <x:c r="A252" t="str">
        <x:v>OT-0eefbfe4abe4</x:v>
      </x:c>
      <x:c r="B252" t="n">
        <x:v>2015</x:v>
      </x:c>
      <x:c r="C252" t="str">
        <x:v>Kontorbygg</x:v>
      </x:c>
      <x:c r="D252" t="str">
        <x:v>KONTORER, ENKLE</x:v>
      </x:c>
      <x:c r="E252" t="str">
        <x:v>G</x:v>
      </x:c>
      <x:c r="F252" t="str">
        <x:v>RED</x:v>
      </x:c>
      <x:c r="G252" t="n">
        <x:v>1945</x:v>
      </x:c>
      <x:c r="H252" t="n">
        <x:v>1393</x:v>
      </x:c>
      <x:c r="I252" t="n">
        <x:v>464.6</x:v>
      </x:c>
      <x:c r="J252" t="str">
        <x:v>PDF/avansert</x:v>
      </x:c>
      <x:c r="K252" t="n">
        <x:v>671</x:v>
      </x:c>
      <x:c r="L252" t="n">
        <x:v>616</x:v>
      </x:c>
      <x:c r="M252" t="n">
        <x:v>616</x:v>
      </x:c>
      <x:c r="N252" t="n">
        <x:v>217</x:v>
      </x:c>
      <x:c r="O252" t="n">
        <x:v>1.38</x:v>
      </x:c>
      <x:c r="P252" t="n">
        <x:v>0.5</x:v>
      </x:c>
      <x:c r="Q252" t="n">
        <x:v>0.41</x:v>
      </x:c>
      <x:c r="R252" t="n">
        <x:v>2.3</x:v>
      </x:c>
      <x:c r="S252" t="n">
        <x:v>0</x:v>
      </x:c>
      <x:c r="T252" t="n">
        <x:v>0</x:v>
      </x:c>
      <x:c r="U252" t="n">
        <x:v>2.5</x:v>
      </x:c>
      <x:c r="V252" t="n">
        <x:v>0.23</x:v>
      </x:c>
      <x:c r="W252" t="n">
        <x:v>10</x:v>
      </x:c>
      <x:c r="X252" t="n">
        <x:v>91</x:v>
      </x:c>
      <x:c r="Y252" t="n">
        <x:v>224</x:v>
      </x:c>
      <x:c r="Z252" t="n">
        <x:v>71</x:v>
      </x:c>
      <x:c r="AA252" t="n">
        <x:v>21</x:v>
      </x:c>
      <x:c r="AB252" t="n">
        <x:v>22</x:v>
      </x:c>
      <x:c r="AC252" t="n">
        <x:v>3</x:v>
      </x:c>
      <x:c r="AD252" t="n">
        <x:v>72.1</x:v>
      </x:c>
      <x:c r="AE252" t="n">
        <x:v>0.08</x:v>
      </x:c>
      <x:c r="AF252" t="n">
        <x:v>12</x:v>
      </x:c>
      <x:c r="AG252" t="n">
        <x:v>12</x:v>
      </x:c>
      <x:c r="AH252" t="n">
        <x:v>24</x:v>
      </x:c>
      <x:c r="AI252" t="n">
        <x:v>8</x:v>
      </x:c>
      <x:c r="AJ252" t="n">
        <x:v>11</x:v>
      </x:c>
      <x:c r="AK252" t="n">
        <x:v>250</x:v>
      </x:c>
      <x:c r="AL252" t="str">
        <x:v>Direkte elektrisk;</x:v>
      </x:c>
      <x:c r="AM252" t="n">
        <x:v>1</x:v>
      </x:c>
      <x:c r="AN252" t="n">
        <x:v>0</x:v>
      </x:c>
      <x:c r="AO252" t="n">
        <x:v>1</x:v>
      </x:c>
      <x:c r="AP252" t="n">
        <x:v>1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str">
        <x:v>energiattester_export_2025-08-14.json | PDF vedlegg side 5-7</x:v>
      </x:c>
      <x:c r="AV252" s="12" t="n">
        <x:f>IF(COUNT(O252,P252,Q252,R252,K252,L252,M252,N252)=8,O252*K252+P252*L252+Q252*M252+R252*N252,"")</x:f>
        <x:v>1985.6399999999999</x:v>
      </x:c>
      <x:c r="AW252" s="12" t="n">
        <x:f>IF(AND(ISNUMBER(AV252),H252&gt;0),AV252/H252,"")</x:f>
        <x:v>1.4254414931801866</x:v>
      </x:c>
      <x:c r="AX252" s="12" t="n">
        <x:f>IF(AND(ISNUMBER(AD252),H252&gt;0),AD252*H252*3600,"")</x:f>
        <x:v>361567079.99999994</x:v>
      </x:c>
      <x:c r="AY252" s="12" t="n">
        <x:f>IF(AND(ISNUMBER(Y252),H252&gt;0),Y252*H252,"")</x:f>
        <x:v>312032</x:v>
      </x:c>
      <x:c r="AZ252" t="str">
        <x:v>Høy</x:v>
      </x:c>
    </x:row>
    <x:row r="253" ht="22" customHeight="1">
      <x:c r="A253" t="str">
        <x:v>OT-be2f7b963fbb</x:v>
      </x:c>
      <x:c r="B253" t="n">
        <x:v>2015</x:v>
      </x:c>
      <x:c r="C253" t="str">
        <x:v>Hoteller</x:v>
      </x:c>
      <x:c r="D253" t="str">
        <x:v>RESTAURANTBYGNING</x:v>
      </x:c>
      <x:c r="E253" t="str">
        <x:v>G</x:v>
      </x:c>
      <x:c r="F253" t="str">
        <x:v>RED</x:v>
      </x:c>
      <x:c r="G253" t="n">
        <x:v>1874</x:v>
      </x:c>
      <x:c r="H253" t="n">
        <x:v>160</x:v>
      </x:c>
      <x:c r="I253" t="n">
        <x:v>426</x:v>
      </x:c>
      <x:c r="J253" t="str">
        <x:v>PDF/avansert</x:v>
      </x:c>
      <x:c r="K253" t="n">
        <x:v>84</x:v>
      </x:c>
      <x:c r="L253" t="n">
        <x:v>166</x:v>
      </x:c>
      <x:c r="M253" t="n">
        <x:v>0</x:v>
      </x:c>
      <x:c r="N253" t="n">
        <x:v>24</x:v>
      </x:c>
      <x:c r="O253" t="n">
        <x:v>1.44</x:v>
      </x:c>
      <x:c r="P253" t="n">
        <x:v>1.2</x:v>
      </x:c>
      <x:c r="Q253" t="n">
        <x:v>0</x:v>
      </x:c>
      <x:c r="R253" t="n">
        <x:v>2.69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13</x:v>
      </x:c>
      <x:c r="X253" t="n">
        <x:v>98</x:v>
      </x:c>
      <x:c r="Y253" t="n">
        <x:v>50</x:v>
      </x:c>
      <x:c r="Z253" t="n">
        <x:v>0</x:v>
      </x:c>
      <x:c r="AA253" t="n">
        <x:v>21</x:v>
      </x:c>
      <x:c r="AB253" t="n">
        <x:v>22</x:v>
      </x:c>
      <x:c r="AC253" t="n">
        <x:v>3</x:v>
      </x:c>
      <x:c r="AD253" t="n">
        <x:v>9.2</x:v>
      </x:c>
      <x:c r="AE253" t="n">
        <x:v>0.12</x:v>
      </x:c>
      <x:c r="AF253" t="n">
        <x:v>16</x:v>
      </x:c>
      <x:c r="AG253" t="n">
        <x:v>16</x:v>
      </x:c>
      <x:c r="AH253" t="n">
        <x:v>24</x:v>
      </x:c>
      <x:c r="AI253" t="n">
        <x:v>8</x:v>
      </x:c>
      <x:c r="AJ253" t="n">
        <x:v>1</x:v>
      </x:c>
      <x:c r="AK253" t="n">
        <x:v>250</x:v>
      </x:c>
      <x:c r="AL253" t="str">
        <x:v>Direkte elektrisk;</x:v>
      </x:c>
      <x:c r="AM253" t="n">
        <x:v>0</x:v>
      </x:c>
      <x:c r="AN253" t="n">
        <x:v>0</x:v>
      </x:c>
      <x:c r="AO253" t="n">
        <x:v>0</x:v>
      </x:c>
      <x:c r="AP253" t="n">
        <x:v>1</x:v>
      </x:c>
      <x:c r="AQ253" t="n">
        <x:v>0</x:v>
      </x:c>
      <x:c r="AR253" t="n">
        <x:v>1</x:v>
      </x:c>
      <x:c r="AS253" t="n">
        <x:v>0</x:v>
      </x:c>
      <x:c r="AT253" t="n">
        <x:v>0</x:v>
      </x:c>
      <x:c r="AU253" t="str">
        <x:v>energiattester_export_2025-08-14.json | PDF vedlegg side 5-7</x:v>
      </x:c>
      <x:c r="AV253" s="12" t="n">
        <x:f>IF(COUNT(O253,P253,Q253,R253,K253,L253,M253,N253)=8,O253*K253+P253*L253+Q253*M253+R253*N253,"")</x:f>
        <x:v>384.71999999999997</x:v>
      </x:c>
      <x:c r="AW253" s="12" t="n">
        <x:f>IF(AND(ISNUMBER(AV253),H253&gt;0),AV253/H253,"")</x:f>
        <x:v>2.4044999999999996</x:v>
      </x:c>
      <x:c r="AX253" s="12" t="n">
        <x:f>IF(AND(ISNUMBER(AD253),H253&gt;0),AD253*H253*3600,"")</x:f>
        <x:v>5299200</x:v>
      </x:c>
      <x:c r="AY253" s="12" t="n">
        <x:f>IF(AND(ISNUMBER(Y253),H253&gt;0),Y253*H253,"")</x:f>
        <x:v>8000</x:v>
      </x:c>
      <x:c r="AZ253" t="str">
        <x:v>Høy</x:v>
      </x:c>
    </x:row>
    <x:row r="254" ht="22" customHeight="1">
      <x:c r="A254" t="str">
        <x:v>OT-3cdba1e07f71</x:v>
      </x:c>
      <x:c r="B254" t="n">
        <x:v>2015</x:v>
      </x:c>
      <x:c r="C254" t="str">
        <x:v>Kontorbygg</x:v>
      </x:c>
      <x:c r="D254" t="str">
        <x:v>KONTORER, ENKLE</x:v>
      </x:c>
      <x:c r="E254" t="str">
        <x:v>E</x:v>
      </x:c>
      <x:c r="F254" t="str">
        <x:v>RED</x:v>
      </x:c>
      <x:c r="G254" t="n">
        <x:v>1985</x:v>
      </x:c>
      <x:c r="H254" t="n">
        <x:v>823</x:v>
      </x:c>
      <x:c r="I254" t="n">
        <x:v>195.9</x:v>
      </x:c>
      <x:c r="J254" t="str">
        <x:v>PDF/avansert</x:v>
      </x:c>
      <x:c r="K254" t="n">
        <x:v>225</x:v>
      </x:c>
      <x:c r="L254" t="n">
        <x:v>423</x:v>
      </x:c>
      <x:c r="M254" t="n">
        <x:v>400</x:v>
      </x:c>
      <x:c r="N254" t="n">
        <x:v>131</x:v>
      </x:c>
      <x:c r="O254" t="n">
        <x:v>0.28</x:v>
      </x:c>
      <x:c r="P254" t="n">
        <x:v>0.2</x:v>
      </x:c>
      <x:c r="Q254" t="n">
        <x:v>0.17</x:v>
      </x:c>
      <x:c r="R254" t="n">
        <x:v>1.47</x:v>
      </x:c>
      <x:c r="S254" t="n">
        <x:v>70</x:v>
      </x:c>
      <x:c r="T254" t="n">
        <x:v>70</x:v>
      </x:c>
      <x:c r="U254" t="n">
        <x:v>3</x:v>
      </x:c>
      <x:c r="V254" t="n">
        <x:v>0.3</x:v>
      </x:c>
      <x:c r="W254" t="n">
        <x:v>10</x:v>
      </x:c>
      <x:c r="X254" t="n">
        <x:v>91</x:v>
      </x:c>
      <x:c r="Y254" t="n">
        <x:v>110</x:v>
      </x:c>
      <x:c r="Z254" t="n">
        <x:v>30</x:v>
      </x:c>
      <x:c r="AA254" t="n">
        <x:v>21</x:v>
      </x:c>
      <x:c r="AB254" t="n">
        <x:v>22</x:v>
      </x:c>
      <x:c r="AC254" t="n">
        <x:v>3</x:v>
      </x:c>
      <x:c r="AD254" t="n">
        <x:v>39.1</x:v>
      </x:c>
      <x:c r="AE254" t="n">
        <x:v>0.12</x:v>
      </x:c>
      <x:c r="AF254" t="n">
        <x:v>12</x:v>
      </x:c>
      <x:c r="AG254" t="n">
        <x:v>12</x:v>
      </x:c>
      <x:c r="AH254" t="n">
        <x:v>24</x:v>
      </x:c>
      <x:c r="AI254" t="n">
        <x:v>8</x:v>
      </x:c>
      <x:c r="AJ254" t="n">
        <x:v>11</x:v>
      </x:c>
      <x:c r="AK254" t="n">
        <x:v>250</x:v>
      </x:c>
      <x:c r="AL254" t="str">
        <x:v>Direkte elektrisk;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str">
        <x:v>energiattester_export_2025-08-14.json | PDF vedlegg side 5-7</x:v>
      </x:c>
      <x:c r="AV254" s="12" t="n">
        <x:f>IF(COUNT(O254,P254,Q254,R254,K254,L254,M254,N254)=8,O254*K254+P254*L254+Q254*M254+R254*N254,"")</x:f>
        <x:v>408.17</x:v>
      </x:c>
      <x:c r="AW254" s="12" t="n">
        <x:f>IF(AND(ISNUMBER(AV254),H254&gt;0),AV254/H254,"")</x:f>
        <x:v>0.49595382746051037</x:v>
      </x:c>
      <x:c r="AX254" s="12" t="n">
        <x:f>IF(AND(ISNUMBER(AD254),H254&gt;0),AD254*H254*3600,"")</x:f>
        <x:v>115845480.00000001</x:v>
      </x:c>
      <x:c r="AY254" s="12" t="n">
        <x:f>IF(AND(ISNUMBER(Y254),H254&gt;0),Y254*H254,"")</x:f>
        <x:v>90530</x:v>
      </x:c>
      <x:c r="AZ254" t="str">
        <x:v>Høy</x:v>
      </x:c>
    </x:row>
    <x:row r="255" ht="22" customHeight="1">
      <x:c r="A255" t="str">
        <x:v>OT-1c8b4c5c4e19</x:v>
      </x:c>
      <x:c r="B255" t="n">
        <x:v>2015</x:v>
      </x:c>
      <x:c r="C255" t="str">
        <x:v>Kontorbygg</x:v>
      </x:c>
      <x:c r="D255" t="str">
        <x:v>KONTORER, MED VENTILASJON OG KJØLEANLEGG</x:v>
      </x:c>
      <x:c r="E255" t="str">
        <x:v>C</x:v>
      </x:c>
      <x:c r="F255" t="str">
        <x:v>RED</x:v>
      </x:c>
      <x:c r="G255" t="n">
        <x:v>1961</x:v>
      </x:c>
      <x:c r="H255" t="n">
        <x:v>942</x:v>
      </x:c>
      <x:c r="I255" t="n">
        <x:v>123.1</x:v>
      </x:c>
      <x:c r="J255" t="str">
        <x:v>PDF/avansert</x:v>
      </x:c>
      <x:c r="K255" t="n">
        <x:v>254</x:v>
      </x:c>
      <x:c r="L255" t="n">
        <x:v>396</x:v>
      </x:c>
      <x:c r="M255" t="n">
        <x:v>396</x:v>
      </x:c>
      <x:c r="N255" t="n">
        <x:v>53</x:v>
      </x:c>
      <x:c r="O255" t="n">
        <x:v>0.18</x:v>
      </x:c>
      <x:c r="P255" t="n">
        <x:v>0.13</x:v>
      </x:c>
      <x:c r="Q255" t="n">
        <x:v>0.13</x:v>
      </x:c>
      <x:c r="R255" t="n">
        <x:v>1.2</x:v>
      </x:c>
      <x:c r="S255" t="n">
        <x:v>81</x:v>
      </x:c>
      <x:c r="T255" t="n">
        <x:v>81</x:v>
      </x:c>
      <x:c r="U255" t="n">
        <x:v>2</x:v>
      </x:c>
      <x:c r="V255" t="n">
        <x:v>0.04</x:v>
      </x:c>
      <x:c r="W255" t="n">
        <x:v>10.8</x:v>
      </x:c>
      <x:c r="X255" t="n">
        <x:v>98</x:v>
      </x:c>
      <x:c r="Y255" t="n">
        <x:v>160</x:v>
      </x:c>
      <x:c r="Z255" t="n">
        <x:v>60</x:v>
      </x:c>
      <x:c r="AA255" t="n">
        <x:v>21</x:v>
      </x:c>
      <x:c r="AB255" t="n">
        <x:v>22</x:v>
      </x:c>
      <x:c r="AC255" t="n">
        <x:v>2</x:v>
      </x:c>
      <x:c r="AD255" t="n">
        <x:v>63.6</x:v>
      </x:c>
      <x:c r="AE255" t="n">
        <x:v>0.06</x:v>
      </x:c>
      <x:c r="AF255" t="n">
        <x:v>12</x:v>
      </x:c>
      <x:c r="AG255" t="n">
        <x:v>12</x:v>
      </x:c>
      <x:c r="AH255" t="n">
        <x:v>24</x:v>
      </x:c>
      <x:c r="AI255" t="n">
        <x:v>8</x:v>
      </x:c>
      <x:c r="AJ255" t="n">
        <x:v>11</x:v>
      </x:c>
      <x:c r="AK255" t="n">
        <x:v>250</x:v>
      </x:c>
      <x:c r="AL255" t="str">
        <x:v>Direkte elektrisk;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str">
        <x:v>energiattester_export_2025-08-14.json | PDF vedlegg side 5-7</x:v>
      </x:c>
      <x:c r="AV255" s="12" t="n">
        <x:f>IF(COUNT(O255,P255,Q255,R255,K255,L255,M255,N255)=8,O255*K255+P255*L255+Q255*M255+R255*N255,"")</x:f>
        <x:v>212.28</x:v>
      </x:c>
      <x:c r="AW255" s="12" t="n">
        <x:f>IF(AND(ISNUMBER(AV255),H255&gt;0),AV255/H255,"")</x:f>
        <x:v>0.22535031847133757</x:v>
      </x:c>
      <x:c r="AX255" s="12" t="n">
        <x:f>IF(AND(ISNUMBER(AD255),H255&gt;0),AD255*H255*3600,"")</x:f>
        <x:v>215680320.00000003</x:v>
      </x:c>
      <x:c r="AY255" s="12" t="n">
        <x:f>IF(AND(ISNUMBER(Y255),H255&gt;0),Y255*H255,"")</x:f>
        <x:v>150720</x:v>
      </x:c>
      <x:c r="AZ255" t="str">
        <x:v>Høy</x:v>
      </x:c>
    </x:row>
    <x:row r="256" ht="22" customHeight="1">
      <x:c r="A256" t="str">
        <x:v>OT-2f21cf8daf00</x:v>
      </x:c>
      <x:c r="B256" t="n">
        <x:v>2015</x:v>
      </x:c>
      <x:c r="C256" t="str">
        <x:v>Kontorbygg</x:v>
      </x:c>
      <x:c r="D256" t="str">
        <x:v>KONTORER, ENKLE</x:v>
      </x:c>
      <x:c r="E256" t="str">
        <x:v>D</x:v>
      </x:c>
      <x:c r="F256" t="str">
        <x:v>RED</x:v>
      </x:c>
      <x:c r="G256" t="n">
        <x:v>2010</x:v>
      </x:c>
      <x:c r="H256" t="n">
        <x:v>408</x:v>
      </x:c>
      <x:c r="I256" t="n">
        <x:v>176.8</x:v>
      </x:c>
      <x:c r="J256" t="str">
        <x:v>PDF/avansert</x:v>
      </x:c>
      <x:c r="K256" t="n">
        <x:v>236</x:v>
      </x:c>
      <x:c r="L256" t="n">
        <x:v>134</x:v>
      </x:c>
      <x:c r="M256" t="n">
        <x:v>156</x:v>
      </x:c>
      <x:c r="N256" t="n">
        <x:v>154</x:v>
      </x:c>
      <x:c r="O256" t="n">
        <x:v>0.18</x:v>
      </x:c>
      <x:c r="P256" t="n">
        <x:v>0.13</x:v>
      </x:c>
      <x:c r="Q256" t="n">
        <x:v>0.12</x:v>
      </x:c>
      <x:c r="R256" t="n">
        <x:v>1.41</x:v>
      </x:c>
      <x:c r="S256" t="n">
        <x:v>70</x:v>
      </x:c>
      <x:c r="T256" t="n">
        <x:v>70</x:v>
      </x:c>
      <x:c r="U256" t="n">
        <x:v>2</x:v>
      </x:c>
      <x:c r="V256" t="n">
        <x:v>0.29</x:v>
      </x:c>
      <x:c r="W256" t="n">
        <x:v>7</x:v>
      </x:c>
      <x:c r="X256" t="n">
        <x:v>80</x:v>
      </x:c>
      <x:c r="Y256" t="n">
        <x:v>80</x:v>
      </x:c>
      <x:c r="Z256" t="n">
        <x:v>30</x:v>
      </x:c>
      <x:c r="AA256" t="n">
        <x:v>21</x:v>
      </x:c>
      <x:c r="AB256" t="n">
        <x:v>22</x:v>
      </x:c>
      <x:c r="AC256" t="n">
        <x:v>1.5</x:v>
      </x:c>
      <x:c r="AD256" t="n">
        <x:v>31.3</x:v>
      </x:c>
      <x:c r="AE256" t="n">
        <x:v>0.06</x:v>
      </x:c>
      <x:c r="AF256" t="n">
        <x:v>12</x:v>
      </x:c>
      <x:c r="AG256" t="n">
        <x:v>12</x:v>
      </x:c>
      <x:c r="AH256" t="n">
        <x:v>24</x:v>
      </x:c>
      <x:c r="AI256" t="n">
        <x:v>8</x:v>
      </x:c>
      <x:c r="AJ256" t="n">
        <x:v>11</x:v>
      </x:c>
      <x:c r="AK256" t="n">
        <x:v>240</x:v>
      </x:c>
      <x:c r="AL256" t="str">
        <x:v>Direkte elektrisk;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str">
        <x:v>energiattester_export_2025-08-14.json | PDF vedlegg side 5-7</x:v>
      </x:c>
      <x:c r="AV256" s="12" t="n">
        <x:f>IF(COUNT(O256,P256,Q256,R256,K256,L256,M256,N256)=8,O256*K256+P256*L256+Q256*M256+R256*N256,"")</x:f>
        <x:v>295.76</x:v>
      </x:c>
      <x:c r="AW256" s="12" t="n">
        <x:f>IF(AND(ISNUMBER(AV256),H256&gt;0),AV256/H256,"")</x:f>
        <x:v>0.7249019607843137</x:v>
      </x:c>
      <x:c r="AX256" s="12" t="n">
        <x:f>IF(AND(ISNUMBER(AD256),H256&gt;0),AD256*H256*3600,"")</x:f>
        <x:v>45973440</x:v>
      </x:c>
      <x:c r="AY256" s="12" t="n">
        <x:f>IF(AND(ISNUMBER(Y256),H256&gt;0),Y256*H256,"")</x:f>
        <x:v>32640</x:v>
      </x:c>
      <x:c r="AZ256" t="str">
        <x:v>Høy</x:v>
      </x:c>
    </x:row>
    <x:row r="257" ht="22" customHeight="1">
      <x:c r="A257" t="str">
        <x:v>OT-6ce70348a2fb</x:v>
      </x:c>
      <x:c r="B257" t="n">
        <x:v>2015</x:v>
      </x:c>
      <x:c r="C257" t="str">
        <x:v>Kontorbygg</x:v>
      </x:c>
      <x:c r="D257" t="str">
        <x:v>Kontorer, med ventilasjon og kjøleanlegg</x:v>
      </x:c>
      <x:c r="E257" t="str">
        <x:v>G</x:v>
      </x:c>
      <x:c r="F257" t="str">
        <x:v>GREEN</x:v>
      </x:c>
      <x:c r="G257" t="n">
        <x:v>2008</x:v>
      </x:c>
      <x:c r="H257" t="n">
        <x:v>535</x:v>
      </x:c>
      <x:c r="I257" t="n">
        <x:v>285.19</x:v>
      </x:c>
      <x:c r="J257" t="str">
        <x:v>PDF/avansert</x:v>
      </x:c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 t="str">
        <x:v>energiattester_export_2025-08-14.json | PDF vedlegg side 5-7</x:v>
      </x:c>
      <x:c r="AV257" s="12" t="str">
        <x:f>IF(COUNT(O257,P257,Q257,R257,K257,L257,M257,N257)=8,O257*K257+P257*L257+Q257*M257+R257*N257,"")</x:f>
      </x:c>
      <x:c r="AW257" s="12" t="str">
        <x:f>IF(AND(ISNUMBER(AV257),H257&gt;0),AV257/H257,"")</x:f>
      </x:c>
      <x:c r="AX257" s="12" t="str">
        <x:f>IF(AND(ISNUMBER(AD257),H257&gt;0),AD257*H257*3600,"")</x:f>
      </x:c>
      <x:c r="AY257" s="12" t="str">
        <x:f>IF(AND(ISNUMBER(Y257),H257&gt;0),Y257*H257,"")</x:f>
      </x:c>
      <x:c r="AZ257" t="str">
        <x:v>Mangler data</x:v>
      </x:c>
    </x:row>
    <x:row r="258" ht="22" customHeight="1">
      <x:c r="A258" t="str">
        <x:v>OT-1b2fd771a316</x:v>
      </x:c>
      <x:c r="B258" t="n">
        <x:v>2015</x:v>
      </x:c>
      <x:c r="C258" t="str">
        <x:v>Kontorbygg</x:v>
      </x:c>
      <x:c r="D258" t="str">
        <x:v>KONTORER, MED VENTILASJON OG KJØLEANLEGG</x:v>
      </x:c>
      <x:c r="E258" t="str">
        <x:v>G</x:v>
      </x:c>
      <x:c r="F258" t="str">
        <x:v>RED</x:v>
      </x:c>
      <x:c r="G258" t="n">
        <x:v>1920</x:v>
      </x:c>
      <x:c r="H258" t="n">
        <x:v>6744</x:v>
      </x:c>
      <x:c r="I258" t="n">
        <x:v>329.2</x:v>
      </x:c>
      <x:c r="J258" t="str">
        <x:v>PDF/avansert</x:v>
      </x:c>
      <x:c r="K258" t="n">
        <x:v>3119</x:v>
      </x:c>
      <x:c r="L258" t="n">
        <x:v>1755</x:v>
      </x:c>
      <x:c r="M258" t="n">
        <x:v>1840</x:v>
      </x:c>
      <x:c r="N258" t="n">
        <x:v>887</x:v>
      </x:c>
      <x:c r="O258" t="n">
        <x:v>1.21</x:v>
      </x:c>
      <x:c r="P258" t="n">
        <x:v>0.61</x:v>
      </x:c>
      <x:c r="Q258" t="n">
        <x:v>0.3</x:v>
      </x:c>
      <x:c r="R258" t="n">
        <x:v>1.76</x:v>
      </x:c>
      <x:c r="S258" t="n">
        <x:v>39</x:v>
      </x:c>
      <x:c r="T258" t="n">
        <x:v>39</x:v>
      </x:c>
      <x:c r="U258" t="n">
        <x:v>2.51</x:v>
      </x:c>
      <x:c r="V258" t="n">
        <x:v>0.3</x:v>
      </x:c>
      <x:c r="W258" t="n">
        <x:v>10</x:v>
      </x:c>
      <x:c r="X258" t="n">
        <x:v>89</x:v>
      </x:c>
      <x:c r="Y258" t="n">
        <x:v>147</x:v>
      </x:c>
      <x:c r="Z258" t="n">
        <x:v>61</x:v>
      </x:c>
      <x:c r="AA258" t="n">
        <x:v>21</x:v>
      </x:c>
      <x:c r="AB258" t="n">
        <x:v>22</x:v>
      </x:c>
      <x:c r="AC258" t="n">
        <x:v>2.23</x:v>
      </x:c>
      <x:c r="AD258" t="n">
        <x:v>75</x:v>
      </x:c>
      <x:c r="AE258" t="n">
        <x:v>0.1</x:v>
      </x:c>
      <x:c r="AF258" t="n">
        <x:v>12</x:v>
      </x:c>
      <x:c r="AG258" t="n">
        <x:v>12</x:v>
      </x:c>
      <x:c r="AH258" t="n">
        <x:v>24</x:v>
      </x:c>
      <x:c r="AI258" t="n">
        <x:v>8</x:v>
      </x:c>
      <x:c r="AJ258" t="n">
        <x:v>11</x:v>
      </x:c>
      <x:c r="AK258" t="n">
        <x:v>240</x:v>
      </x:c>
      <x:c r="AL258" t="str">
        <x:v>Direkte elektrisk;</x:v>
      </x:c>
      <x:c r="AM258" t="n">
        <x:v>1</x:v>
      </x:c>
      <x:c r="AN258" t="n">
        <x:v>0</x:v>
      </x:c>
      <x:c r="AO258" t="n">
        <x:v>1</x:v>
      </x:c>
      <x:c r="AP258" t="n">
        <x:v>1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str">
        <x:v>energiattester_export_2025-08-14.json | PDF vedlegg side 5-7</x:v>
      </x:c>
      <x:c r="AV258" s="12" t="n">
        <x:f>IF(COUNT(O258,P258,Q258,R258,K258,L258,M258,N258)=8,O258*K258+P258*L258+Q258*M258+R258*N258,"")</x:f>
        <x:v>6957.66</x:v>
      </x:c>
      <x:c r="AW258" s="12" t="n">
        <x:f>IF(AND(ISNUMBER(AV258),H258&gt;0),AV258/H258,"")</x:f>
        <x:v>1.0316814946619217</x:v>
      </x:c>
      <x:c r="AX258" s="12" t="n">
        <x:f>IF(AND(ISNUMBER(AD258),H258&gt;0),AD258*H258*3600,"")</x:f>
        <x:v>1820880000</x:v>
      </x:c>
      <x:c r="AY258" s="12" t="n">
        <x:f>IF(AND(ISNUMBER(Y258),H258&gt;0),Y258*H258,"")</x:f>
        <x:v>991368</x:v>
      </x:c>
      <x:c r="AZ258" t="str">
        <x:v>Høy</x:v>
      </x:c>
    </x:row>
    <x:row r="259" ht="22" customHeight="1">
      <x:c r="A259" t="str">
        <x:v>OT-c81ffc5ae2b1</x:v>
      </x:c>
      <x:c r="B259" t="n">
        <x:v>2015</x:v>
      </x:c>
      <x:c r="C259" t="str">
        <x:v>Kontorbygg</x:v>
      </x:c>
      <x:c r="D259" t="str">
        <x:v>KONTORER, MED VENTILASJON OG KJØLEANLEGG</x:v>
      </x:c>
      <x:c r="E259" t="str">
        <x:v>E</x:v>
      </x:c>
      <x:c r="F259" t="str">
        <x:v>RED</x:v>
      </x:c>
      <x:c r="G259" t="n">
        <x:v>1984</x:v>
      </x:c>
      <x:c r="H259" t="n">
        <x:v>1538</x:v>
      </x:c>
      <x:c r="I259" t="n">
        <x:v>195.2</x:v>
      </x:c>
      <x:c r="J259" t="str">
        <x:v>PDF/avansert</x:v>
      </x:c>
      <x:c r="K259" t="n">
        <x:v>726</x:v>
      </x:c>
      <x:c r="L259" t="n">
        <x:v>586</x:v>
      </x:c>
      <x:c r="M259" t="n">
        <x:v>581</x:v>
      </x:c>
      <x:c r="N259" t="n">
        <x:v>167</x:v>
      </x:c>
      <x:c r="O259" t="n">
        <x:v>0.3</x:v>
      </x:c>
      <x:c r="P259" t="n">
        <x:v>0.21</x:v>
      </x:c>
      <x:c r="Q259" t="n">
        <x:v>0.11</x:v>
      </x:c>
      <x:c r="R259" t="n">
        <x:v>2.41</x:v>
      </x:c>
      <x:c r="S259" t="n">
        <x:v>77</x:v>
      </x:c>
      <x:c r="T259" t="n">
        <x:v>77</x:v>
      </x:c>
      <x:c r="U259" t="n">
        <x:v>3.47</x:v>
      </x:c>
      <x:c r="V259" t="n">
        <x:v>0</x:v>
      </x:c>
      <x:c r="W259" t="n">
        <x:v>7</x:v>
      </x:c>
      <x:c r="X259" t="n">
        <x:v>89</x:v>
      </x:c>
      <x:c r="Y259" t="n">
        <x:v>80</x:v>
      </x:c>
      <x:c r="Z259" t="n">
        <x:v>0</x:v>
      </x:c>
      <x:c r="AA259" t="n">
        <x:v>21</x:v>
      </x:c>
      <x:c r="AB259" t="n">
        <x:v>22</x:v>
      </x:c>
      <x:c r="AC259" t="n">
        <x:v>8.4</x:v>
      </x:c>
      <x:c r="AD259" t="n">
        <x:v>16.4</x:v>
      </x:c>
      <x:c r="AE259" t="n">
        <x:v>0.1</x:v>
      </x:c>
      <x:c r="AF259"/>
      <x:c r="AG259"/>
      <x:c r="AH259"/>
      <x:c r="AI259"/>
      <x:c r="AJ259"/>
      <x:c r="AK259" t="n">
        <x:v>250</x:v>
      </x:c>
      <x:c r="AL259"/>
      <x:c r="AM259" t="n">
        <x:v>0</x:v>
      </x:c>
      <x:c r="AN259" t="n">
        <x:v>0</x:v>
      </x:c>
      <x:c r="AO259" t="n">
        <x:v>1</x:v>
      </x:c>
      <x:c r="AP259" t="n">
        <x:v>1</x:v>
      </x:c>
      <x:c r="AQ259" t="n">
        <x:v>1</x:v>
      </x:c>
      <x:c r="AR259" t="n">
        <x:v>1</x:v>
      </x:c>
      <x:c r="AS259" t="n">
        <x:v>1</x:v>
      </x:c>
      <x:c r="AT259" t="n">
        <x:v>1</x:v>
      </x:c>
      <x:c r="AU259" t="str">
        <x:v>energiattester_export_2025-08-14.json | PDF vedlegg side 5-7</x:v>
      </x:c>
      <x:c r="AV259" s="12" t="n">
        <x:f>IF(COUNT(O259,P259,Q259,R259,K259,L259,M259,N259)=8,O259*K259+P259*L259+Q259*M259+R259*N259,"")</x:f>
        <x:v>807.24</x:v>
      </x:c>
      <x:c r="AW259" s="12" t="n">
        <x:f>IF(AND(ISNUMBER(AV259),H259&gt;0),AV259/H259,"")</x:f>
        <x:v>0.5248634590377114</x:v>
      </x:c>
      <x:c r="AX259" s="12" t="n">
        <x:f>IF(AND(ISNUMBER(AD259),H259&gt;0),AD259*H259*3600,"")</x:f>
        <x:v>90803519.99999999</x:v>
      </x:c>
      <x:c r="AY259" s="12" t="n">
        <x:f>IF(AND(ISNUMBER(Y259),H259&gt;0),Y259*H259,"")</x:f>
        <x:v>123040</x:v>
      </x:c>
      <x:c r="AZ259" t="str">
        <x:v>Høy</x:v>
      </x:c>
    </x:row>
    <x:row r="260" ht="22" customHeight="1">
      <x:c r="A260" t="str">
        <x:v>OT-c90f2e385d06</x:v>
      </x:c>
      <x:c r="B260" t="n">
        <x:v>2015</x:v>
      </x:c>
      <x:c r="C260" t="str">
        <x:v>Kontorbygg</x:v>
      </x:c>
      <x:c r="D260" t="str">
        <x:v>KONTORER, MED VENTILASJON OG KJØLEANLEGG</x:v>
      </x:c>
      <x:c r="E260" t="str">
        <x:v>E</x:v>
      </x:c>
      <x:c r="F260" t="str">
        <x:v>RED</x:v>
      </x:c>
      <x:c r="G260" t="n">
        <x:v>1993</x:v>
      </x:c>
      <x:c r="H260" t="n">
        <x:v>1075</x:v>
      </x:c>
      <x:c r="I260" t="n">
        <x:v>180.5</x:v>
      </x:c>
      <x:c r="J260" t="str">
        <x:v>PDF/avansert</x:v>
      </x:c>
      <x:c r="K260" t="n">
        <x:v>777</x:v>
      </x:c>
      <x:c r="L260" t="n">
        <x:v>471</x:v>
      </x:c>
      <x:c r="M260" t="n">
        <x:v>0</x:v>
      </x:c>
      <x:c r="N260" t="n">
        <x:v>80</x:v>
      </x:c>
      <x:c r="O260" t="n">
        <x:v>0.25</x:v>
      </x:c>
      <x:c r="P260" t="n">
        <x:v>0.19</x:v>
      </x:c>
      <x:c r="Q260" t="n">
        <x:v>0</x:v>
      </x:c>
      <x:c r="R260" t="n">
        <x:v>2</x:v>
      </x:c>
      <x:c r="S260" t="n">
        <x:v>70</x:v>
      </x:c>
      <x:c r="T260" t="n">
        <x:v>70</x:v>
      </x:c>
      <x:c r="U260" t="n">
        <x:v>3.15</x:v>
      </x:c>
      <x:c r="V260" t="n">
        <x:v>0</x:v>
      </x:c>
      <x:c r="W260" t="n">
        <x:v>7</x:v>
      </x:c>
      <x:c r="X260" t="n">
        <x:v>86</x:v>
      </x:c>
      <x:c r="Y260" t="n">
        <x:v>90</x:v>
      </x:c>
      <x:c r="Z260" t="n">
        <x:v>0</x:v>
      </x:c>
      <x:c r="AA260" t="n">
        <x:v>21</x:v>
      </x:c>
      <x:c r="AB260" t="n">
        <x:v>22</x:v>
      </x:c>
      <x:c r="AC260" t="n">
        <x:v>2.9</x:v>
      </x:c>
      <x:c r="AD260" t="n">
        <x:v>7.5</x:v>
      </x:c>
      <x:c r="AE260" t="n">
        <x:v>0.05</x:v>
      </x:c>
      <x:c r="AF260" t="n">
        <x:v>12</x:v>
      </x:c>
      <x:c r="AG260" t="n">
        <x:v>12</x:v>
      </x:c>
      <x:c r="AH260" t="n">
        <x:v>24</x:v>
      </x:c>
      <x:c r="AI260" t="n">
        <x:v>8</x:v>
      </x:c>
      <x:c r="AJ260" t="n">
        <x:v>11</x:v>
      </x:c>
      <x:c r="AK260" t="n">
        <x:v>250</x:v>
      </x:c>
      <x:c r="AL260" t="str">
        <x:v>Direkte elektrisk;</x:v>
      </x:c>
      <x:c r="AM260" t="n">
        <x:v>1</x:v>
      </x:c>
      <x:c r="AN260" t="n">
        <x:v>0</x:v>
      </x:c>
      <x:c r="AO260" t="n">
        <x:v>1</x:v>
      </x:c>
      <x:c r="AP260" t="n">
        <x:v>1</x:v>
      </x:c>
      <x:c r="AQ260" t="n">
        <x:v>0</x:v>
      </x:c>
      <x:c r="AR260" t="n">
        <x:v>1</x:v>
      </x:c>
      <x:c r="AS260" t="n">
        <x:v>1</x:v>
      </x:c>
      <x:c r="AT260" t="n">
        <x:v>1</x:v>
      </x:c>
      <x:c r="AU260" t="str">
        <x:v>energiattester_export_2025-08-14.json | PDF vedlegg side 5-7</x:v>
      </x:c>
      <x:c r="AV260" s="12" t="n">
        <x:f>IF(COUNT(O260,P260,Q260,R260,K260,L260,M260,N260)=8,O260*K260+P260*L260+Q260*M260+R260*N260,"")</x:f>
        <x:v>443.74</x:v>
      </x:c>
      <x:c r="AW260" s="12" t="n">
        <x:f>IF(AND(ISNUMBER(AV260),H260&gt;0),AV260/H260,"")</x:f>
        <x:v>0.41278139534883723</x:v>
      </x:c>
      <x:c r="AX260" s="12" t="n">
        <x:f>IF(AND(ISNUMBER(AD260),H260&gt;0),AD260*H260*3600,"")</x:f>
        <x:v>29025000</x:v>
      </x:c>
      <x:c r="AY260" s="12" t="n">
        <x:f>IF(AND(ISNUMBER(Y260),H260&gt;0),Y260*H260,"")</x:f>
        <x:v>96750</x:v>
      </x:c>
      <x:c r="AZ260" t="str">
        <x:v>Høy</x:v>
      </x:c>
    </x:row>
    <x:row r="261" ht="22" customHeight="1">
      <x:c r="A261" t="str">
        <x:v>OT-2500a909e05b</x:v>
      </x:c>
      <x:c r="B261" t="n">
        <x:v>2015</x:v>
      </x:c>
      <x:c r="C261" t="str">
        <x:v>Kontorbygg</x:v>
      </x:c>
      <x:c r="D261" t="str">
        <x:v>KONTORER, MED VENTILASJON OG KJØLEANLEGG</x:v>
      </x:c>
      <x:c r="E261" t="str">
        <x:v>F</x:v>
      </x:c>
      <x:c r="F261" t="str">
        <x:v>RED</x:v>
      </x:c>
      <x:c r="G261" t="n">
        <x:v>1980</x:v>
      </x:c>
      <x:c r="H261" t="n">
        <x:v>1262</x:v>
      </x:c>
      <x:c r="I261" t="n">
        <x:v>273.4</x:v>
      </x:c>
      <x:c r="J261" t="str">
        <x:v>PDF/avansert</x:v>
      </x:c>
      <x:c r="K261" t="n">
        <x:v>561</x:v>
      </x:c>
      <x:c r="L261" t="n">
        <x:v>561</x:v>
      </x:c>
      <x:c r="M261" t="n">
        <x:v>717</x:v>
      </x:c>
      <x:c r="N261" t="n">
        <x:v>195</x:v>
      </x:c>
      <x:c r="O261" t="n">
        <x:v>0.34</x:v>
      </x:c>
      <x:c r="P261" t="n">
        <x:v>0.3</x:v>
      </x:c>
      <x:c r="Q261" t="n">
        <x:v>0.17</x:v>
      </x:c>
      <x:c r="R261" t="n">
        <x:v>2.79</x:v>
      </x:c>
      <x:c r="S261" t="n">
        <x:v>48</x:v>
      </x:c>
      <x:c r="T261" t="n">
        <x:v>48</x:v>
      </x:c>
      <x:c r="U261" t="n">
        <x:v>3.26</x:v>
      </x:c>
      <x:c r="V261" t="n">
        <x:v>0.12</x:v>
      </x:c>
      <x:c r="W261" t="n">
        <x:v>7.93</x:v>
      </x:c>
      <x:c r="X261" t="n">
        <x:v>75</x:v>
      </x:c>
      <x:c r="Y261" t="n">
        <x:v>97</x:v>
      </x:c>
      <x:c r="Z261" t="n">
        <x:v>0</x:v>
      </x:c>
      <x:c r="AA261" t="n">
        <x:v>21</x:v>
      </x:c>
      <x:c r="AB261" t="n">
        <x:v>22</x:v>
      </x:c>
      <x:c r="AC261" t="n">
        <x:v>3.5</x:v>
      </x:c>
      <x:c r="AD261" t="n">
        <x:v>16.5</x:v>
      </x:c>
      <x:c r="AE261" t="n">
        <x:v>0.09</x:v>
      </x:c>
      <x:c r="AF261"/>
      <x:c r="AG261"/>
      <x:c r="AH261"/>
      <x:c r="AI261"/>
      <x:c r="AJ261"/>
      <x:c r="AK261" t="n">
        <x:v>250</x:v>
      </x:c>
      <x:c r="AL261"/>
      <x:c r="AM261" t="n">
        <x:v>1</x:v>
      </x:c>
      <x:c r="AN261" t="n">
        <x:v>0</x:v>
      </x:c>
      <x:c r="AO261" t="n">
        <x:v>1</x:v>
      </x:c>
      <x:c r="AP261" t="n">
        <x:v>1</x:v>
      </x:c>
      <x:c r="AQ261" t="n">
        <x:v>1</x:v>
      </x:c>
      <x:c r="AR261" t="n">
        <x:v>1</x:v>
      </x:c>
      <x:c r="AS261" t="n">
        <x:v>1</x:v>
      </x:c>
      <x:c r="AT261" t="n">
        <x:v>1</x:v>
      </x:c>
      <x:c r="AU261" t="str">
        <x:v>energiattester_export_2025-08-14.json | PDF vedlegg side 5-7</x:v>
      </x:c>
      <x:c r="AV261" s="12" t="n">
        <x:f>IF(COUNT(O261,P261,Q261,R261,K261,L261,M261,N261)=8,O261*K261+P261*L261+Q261*M261+R261*N261,"")</x:f>
        <x:v>1024.98</x:v>
      </x:c>
      <x:c r="AW261" s="12" t="n">
        <x:f>IF(AND(ISNUMBER(AV261),H261&gt;0),AV261/H261,"")</x:f>
        <x:v>0.8121870047543581</x:v>
      </x:c>
      <x:c r="AX261" s="12" t="n">
        <x:f>IF(AND(ISNUMBER(AD261),H261&gt;0),AD261*H261*3600,"")</x:f>
        <x:v>74962800</x:v>
      </x:c>
      <x:c r="AY261" s="12" t="n">
        <x:f>IF(AND(ISNUMBER(Y261),H261&gt;0),Y261*H261,"")</x:f>
        <x:v>122414</x:v>
      </x:c>
      <x:c r="AZ261" t="str">
        <x:v>Høy</x:v>
      </x:c>
    </x:row>
    <x:row r="262" ht="22" customHeight="1">
      <x:c r="A262" t="str">
        <x:v>OT-abc6e336b779</x:v>
      </x:c>
      <x:c r="B262" t="n">
        <x:v>2015</x:v>
      </x:c>
      <x:c r="C262" t="str">
        <x:v>Kontorbygg</x:v>
      </x:c>
      <x:c r="D262" t="str">
        <x:v>KONTORER, MED VENTILASJON OG KJØLEANLEGG</x:v>
      </x:c>
      <x:c r="E262" t="str">
        <x:v>E</x:v>
      </x:c>
      <x:c r="F262" t="str">
        <x:v>GREEN</x:v>
      </x:c>
      <x:c r="G262" t="n">
        <x:v>1952</x:v>
      </x:c>
      <x:c r="H262" t="n">
        <x:v>1248</x:v>
      </x:c>
      <x:c r="I262" t="n">
        <x:v>206.8</x:v>
      </x:c>
      <x:c r="J262" t="str">
        <x:v>PDF/avansert</x:v>
      </x:c>
      <x:c r="K262" t="n">
        <x:v>964</x:v>
      </x:c>
      <x:c r="L262" t="n">
        <x:v>504</x:v>
      </x:c>
      <x:c r="M262" t="n">
        <x:v>504</x:v>
      </x:c>
      <x:c r="N262" t="n">
        <x:v>308</x:v>
      </x:c>
      <x:c r="O262" t="n">
        <x:v>0.24</x:v>
      </x:c>
      <x:c r="P262" t="n">
        <x:v>0.19</x:v>
      </x:c>
      <x:c r="Q262" t="n">
        <x:v>0.21</x:v>
      </x:c>
      <x:c r="R262" t="n">
        <x:v>1.6</x:v>
      </x:c>
      <x:c r="S262" t="n">
        <x:v>73</x:v>
      </x:c>
      <x:c r="T262" t="n">
        <x:v>73</x:v>
      </x:c>
      <x:c r="U262" t="n">
        <x:v>2.37</x:v>
      </x:c>
      <x:c r="V262" t="n">
        <x:v>0.59</x:v>
      </x:c>
      <x:c r="W262" t="n">
        <x:v>8.05</x:v>
      </x:c>
      <x:c r="X262" t="n">
        <x:v>61</x:v>
      </x:c>
      <x:c r="Y262" t="n">
        <x:v>80</x:v>
      </x:c>
      <x:c r="Z262" t="n">
        <x:v>30</x:v>
      </x:c>
      <x:c r="AA262" t="n">
        <x:v>21</x:v>
      </x:c>
      <x:c r="AB262" t="n">
        <x:v>22</x:v>
      </x:c>
      <x:c r="AC262" t="n">
        <x:v>3</x:v>
      </x:c>
      <x:c r="AD262" t="n">
        <x:v>34.9</x:v>
      </x:c>
      <x:c r="AE262" t="n">
        <x:v>0.03</x:v>
      </x:c>
      <x:c r="AF262" t="n">
        <x:v>12</x:v>
      </x:c>
      <x:c r="AG262" t="n">
        <x:v>12</x:v>
      </x:c>
      <x:c r="AH262" t="n">
        <x:v>24</x:v>
      </x:c>
      <x:c r="AI262" t="n">
        <x:v>8</x:v>
      </x:c>
      <x:c r="AJ262" t="n">
        <x:v>11</x:v>
      </x:c>
      <x:c r="AK262" t="n">
        <x:v>250</x:v>
      </x:c>
      <x:c r="AL262" t="str">
        <x:v>Biobrensel;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1</x:v>
      </x:c>
      <x:c r="AT262" t="n">
        <x:v>1</x:v>
      </x:c>
      <x:c r="AU262" t="str">
        <x:v>energiattester_export_2025-08-14.json | PDF vedlegg side 5-7</x:v>
      </x:c>
      <x:c r="AV262" s="12" t="n">
        <x:f>IF(COUNT(O262,P262,Q262,R262,K262,L262,M262,N262)=8,O262*K262+P262*L262+Q262*M262+R262*N262,"")</x:f>
        <x:v>925.76</x:v>
      </x:c>
      <x:c r="AW262" s="12" t="n">
        <x:f>IF(AND(ISNUMBER(AV262),H262&gt;0),AV262/H262,"")</x:f>
        <x:v>0.7417948717948718</x:v>
      </x:c>
      <x:c r="AX262" s="12" t="n">
        <x:f>IF(AND(ISNUMBER(AD262),H262&gt;0),AD262*H262*3600,"")</x:f>
        <x:v>156798720</x:v>
      </x:c>
      <x:c r="AY262" s="12" t="n">
        <x:f>IF(AND(ISNUMBER(Y262),H262&gt;0),Y262*H262,"")</x:f>
        <x:v>99840</x:v>
      </x:c>
      <x:c r="AZ262" t="str">
        <x:v>Høy</x:v>
      </x:c>
    </x:row>
    <x:row r="263" ht="22" customHeight="1">
      <x:c r="A263" t="str">
        <x:v>OT-b33a98f35de5</x:v>
      </x:c>
      <x:c r="B263" t="n">
        <x:v>2015</x:v>
      </x:c>
      <x:c r="C263" t="str">
        <x:v>Kontorbygg</x:v>
      </x:c>
      <x:c r="D263" t="str">
        <x:v>Kontorer, med ventilasjon og kjøleanlegg</x:v>
      </x:c>
      <x:c r="E263" t="str">
        <x:v>C</x:v>
      </x:c>
      <x:c r="F263" t="str">
        <x:v>GREEN</x:v>
      </x:c>
      <x:c r="G263" t="n">
        <x:v>2014</x:v>
      </x:c>
      <x:c r="H263" t="n">
        <x:v>146</x:v>
      </x:c>
      <x:c r="I263" t="n">
        <x:v>126.53</x:v>
      </x:c>
      <x:c r="J263" t="str">
        <x:v>PDF/avansert</x:v>
      </x:c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/>
      <x:c r="AR263"/>
      <x:c r="AS263"/>
      <x:c r="AT263"/>
      <x:c r="AU263" t="str">
        <x:v>energiattester_export_2025-08-14.json | PDF vedlegg side 5-7</x:v>
      </x:c>
      <x:c r="AV263" s="12" t="str">
        <x:f>IF(COUNT(O263,P263,Q263,R263,K263,L263,M263,N263)=8,O263*K263+P263*L263+Q263*M263+R263*N263,"")</x:f>
      </x:c>
      <x:c r="AW263" s="12" t="str">
        <x:f>IF(AND(ISNUMBER(AV263),H263&gt;0),AV263/H263,"")</x:f>
      </x:c>
      <x:c r="AX263" s="12" t="str">
        <x:f>IF(AND(ISNUMBER(AD263),H263&gt;0),AD263*H263*3600,"")</x:f>
      </x:c>
      <x:c r="AY263" s="12" t="str">
        <x:f>IF(AND(ISNUMBER(Y263),H263&gt;0),Y263*H263,"")</x:f>
      </x:c>
      <x:c r="AZ263" t="str">
        <x:v>Mangler data</x:v>
      </x:c>
    </x:row>
    <x:row r="264" ht="22" customHeight="1">
      <x:c r="A264" t="str">
        <x:v>OT-8df1c0e7ea38</x:v>
      </x:c>
      <x:c r="B264" t="n">
        <x:v>2015</x:v>
      </x:c>
      <x:c r="C264" t="str">
        <x:v>Kontorbygg</x:v>
      </x:c>
      <x:c r="D264" t="str">
        <x:v>Kontorer, med ventilasjon og kjøleanlegg</x:v>
      </x:c>
      <x:c r="E264" t="str">
        <x:v>D</x:v>
      </x:c>
      <x:c r="F264" t="str">
        <x:v>GREEN</x:v>
      </x:c>
      <x:c r="G264" t="n">
        <x:v>2014</x:v>
      </x:c>
      <x:c r="H264" t="n">
        <x:v>240</x:v>
      </x:c>
      <x:c r="I264" t="n">
        <x:v>163.2</x:v>
      </x:c>
      <x:c r="J264" t="str">
        <x:v>PDF/avansert</x:v>
      </x:c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 t="str">
        <x:v>energiattester_export_2025-08-14.json | PDF vedlegg side 5-7</x:v>
      </x:c>
      <x:c r="AV264" s="12" t="str">
        <x:f>IF(COUNT(O264,P264,Q264,R264,K264,L264,M264,N264)=8,O264*K264+P264*L264+Q264*M264+R264*N264,"")</x:f>
      </x:c>
      <x:c r="AW264" s="12" t="str">
        <x:f>IF(AND(ISNUMBER(AV264),H264&gt;0),AV264/H264,"")</x:f>
      </x:c>
      <x:c r="AX264" s="12" t="str">
        <x:f>IF(AND(ISNUMBER(AD264),H264&gt;0),AD264*H264*3600,"")</x:f>
      </x:c>
      <x:c r="AY264" s="12" t="str">
        <x:f>IF(AND(ISNUMBER(Y264),H264&gt;0),Y264*H264,"")</x:f>
      </x:c>
      <x:c r="AZ264" t="str">
        <x:v>Mangler data</x:v>
      </x:c>
    </x:row>
    <x:row r="265" ht="22" customHeight="1">
      <x:c r="A265" t="str">
        <x:v>OT-f1a82b2e839e</x:v>
      </x:c>
      <x:c r="B265" t="n">
        <x:v>2015</x:v>
      </x:c>
      <x:c r="C265" t="str">
        <x:v>Kontorbygg</x:v>
      </x:c>
      <x:c r="D265" t="str">
        <x:v>KONTORER, ENKLE</x:v>
      </x:c>
      <x:c r="E265" t="str">
        <x:v>E</x:v>
      </x:c>
      <x:c r="F265" t="str">
        <x:v>RED</x:v>
      </x:c>
      <x:c r="G265" t="n">
        <x:v>1902</x:v>
      </x:c>
      <x:c r="H265" t="n">
        <x:v>949</x:v>
      </x:c>
      <x:c r="I265" t="n">
        <x:v>200.9</x:v>
      </x:c>
      <x:c r="J265" t="str">
        <x:v>PDF/avansert</x:v>
      </x:c>
      <x:c r="K265" t="n">
        <x:v>586</x:v>
      </x:c>
      <x:c r="L265" t="n">
        <x:v>340</x:v>
      </x:c>
      <x:c r="M265" t="n">
        <x:v>268</x:v>
      </x:c>
      <x:c r="N265" t="n">
        <x:v>137</x:v>
      </x:c>
      <x:c r="O265" t="n">
        <x:v>0.22</x:v>
      </x:c>
      <x:c r="P265" t="n">
        <x:v>0.15</x:v>
      </x:c>
      <x:c r="Q265" t="n">
        <x:v>0.15</x:v>
      </x:c>
      <x:c r="R265" t="n">
        <x:v>1.6</x:v>
      </x:c>
      <x:c r="S265" t="n">
        <x:v>75</x:v>
      </x:c>
      <x:c r="T265" t="n">
        <x:v>75</x:v>
      </x:c>
      <x:c r="U265" t="n">
        <x:v>2.2</x:v>
      </x:c>
      <x:c r="V265" t="n">
        <x:v>0.31</x:v>
      </x:c>
      <x:c r="W265" t="n">
        <x:v>11.5</x:v>
      </x:c>
      <x:c r="X265" t="n">
        <x:v>82</x:v>
      </x:c>
      <x:c r="Y265" t="n">
        <x:v>55</x:v>
      </x:c>
      <x:c r="Z265" t="n">
        <x:v>0</x:v>
      </x:c>
      <x:c r="AA265" t="n">
        <x:v>21</x:v>
      </x:c>
      <x:c r="AB265" t="n">
        <x:v>22</x:v>
      </x:c>
      <x:c r="AC265" t="n">
        <x:v>4.5</x:v>
      </x:c>
      <x:c r="AD265" t="n">
        <x:v>78.9</x:v>
      </x:c>
      <x:c r="AE265" t="n">
        <x:v>0.14</x:v>
      </x:c>
      <x:c r="AF265" t="n">
        <x:v>12</x:v>
      </x:c>
      <x:c r="AG265" t="n">
        <x:v>12</x:v>
      </x:c>
      <x:c r="AH265" t="n">
        <x:v>24</x:v>
      </x:c>
      <x:c r="AI265" t="n">
        <x:v>8</x:v>
      </x:c>
      <x:c r="AJ265" t="n">
        <x:v>11</x:v>
      </x:c>
      <x:c r="AK265" t="n">
        <x:v>240</x:v>
      </x:c>
      <x:c r="AL265" t="str">
        <x:v>Direkte elektrisk;</x:v>
      </x:c>
      <x:c r="AM265" t="n">
        <x:v>0</x:v>
      </x:c>
      <x:c r="AN265" t="n">
        <x:v>0</x:v>
      </x:c>
      <x:c r="AO265" t="n">
        <x:v>1</x:v>
      </x:c>
      <x:c r="AP265" t="n">
        <x:v>0</x:v>
      </x:c>
      <x:c r="AQ265" t="n">
        <x:v>0</x:v>
      </x:c>
      <x:c r="AR265" t="n">
        <x:v>1</x:v>
      </x:c>
      <x:c r="AS265" t="n">
        <x:v>0</x:v>
      </x:c>
      <x:c r="AT265" t="n">
        <x:v>0</x:v>
      </x:c>
      <x:c r="AU265" t="str">
        <x:v>energiattester_export_2025-08-14.json | PDF vedlegg side 5-7</x:v>
      </x:c>
      <x:c r="AV265" s="12" t="n">
        <x:f>IF(COUNT(O265,P265,Q265,R265,K265,L265,M265,N265)=8,O265*K265+P265*L265+Q265*M265+R265*N265,"")</x:f>
        <x:v>439.32</x:v>
      </x:c>
      <x:c r="AW265" s="12" t="n">
        <x:f>IF(AND(ISNUMBER(AV265),H265&gt;0),AV265/H265,"")</x:f>
        <x:v>0.4629293993677555</x:v>
      </x:c>
      <x:c r="AX265" s="12" t="n">
        <x:f>IF(AND(ISNUMBER(AD265),H265&gt;0),AD265*H265*3600,"")</x:f>
        <x:v>269553960</x:v>
      </x:c>
      <x:c r="AY265" s="12" t="n">
        <x:f>IF(AND(ISNUMBER(Y265),H265&gt;0),Y265*H265,"")</x:f>
        <x:v>52195</x:v>
      </x:c>
      <x:c r="AZ265" t="str">
        <x:v>Høy</x:v>
      </x:c>
    </x:row>
    <x:row r="266" ht="22" customHeight="1">
      <x:c r="A266" t="str">
        <x:v>OT-402d32b9d424</x:v>
      </x:c>
      <x:c r="B266" t="n">
        <x:v>2015</x:v>
      </x:c>
      <x:c r="C266" t="str">
        <x:v>Kontorbygg</x:v>
      </x:c>
      <x:c r="D266" t="str">
        <x:v>KONTORER, ENKLE</x:v>
      </x:c>
      <x:c r="E266" t="str">
        <x:v>E</x:v>
      </x:c>
      <x:c r="F266" t="str">
        <x:v>RED</x:v>
      </x:c>
      <x:c r="G266" t="n">
        <x:v>1902</x:v>
      </x:c>
      <x:c r="H266" t="n">
        <x:v>794</x:v>
      </x:c>
      <x:c r="I266" t="n">
        <x:v>200.9</x:v>
      </x:c>
      <x:c r="J266" t="str">
        <x:v>PDF/avansert</x:v>
      </x:c>
      <x:c r="K266" t="n">
        <x:v>586</x:v>
      </x:c>
      <x:c r="L266" t="n">
        <x:v>340</x:v>
      </x:c>
      <x:c r="M266" t="n">
        <x:v>268</x:v>
      </x:c>
      <x:c r="N266" t="n">
        <x:v>137</x:v>
      </x:c>
      <x:c r="O266" t="n">
        <x:v>0.22</x:v>
      </x:c>
      <x:c r="P266" t="n">
        <x:v>0.15</x:v>
      </x:c>
      <x:c r="Q266" t="n">
        <x:v>0.15</x:v>
      </x:c>
      <x:c r="R266" t="n">
        <x:v>1.6</x:v>
      </x:c>
      <x:c r="S266" t="n">
        <x:v>75</x:v>
      </x:c>
      <x:c r="T266" t="n">
        <x:v>75</x:v>
      </x:c>
      <x:c r="U266" t="n">
        <x:v>2.2</x:v>
      </x:c>
      <x:c r="V266" t="n">
        <x:v>0.31</x:v>
      </x:c>
      <x:c r="W266" t="n">
        <x:v>11.5</x:v>
      </x:c>
      <x:c r="X266" t="n">
        <x:v>82</x:v>
      </x:c>
      <x:c r="Y266" t="n">
        <x:v>55</x:v>
      </x:c>
      <x:c r="Z266" t="n">
        <x:v>0</x:v>
      </x:c>
      <x:c r="AA266" t="n">
        <x:v>21</x:v>
      </x:c>
      <x:c r="AB266" t="n">
        <x:v>22</x:v>
      </x:c>
      <x:c r="AC266" t="n">
        <x:v>4.5</x:v>
      </x:c>
      <x:c r="AD266" t="n">
        <x:v>78.9</x:v>
      </x:c>
      <x:c r="AE266" t="n">
        <x:v>0.14</x:v>
      </x:c>
      <x:c r="AF266" t="n">
        <x:v>12</x:v>
      </x:c>
      <x:c r="AG266" t="n">
        <x:v>12</x:v>
      </x:c>
      <x:c r="AH266" t="n">
        <x:v>24</x:v>
      </x:c>
      <x:c r="AI266" t="n">
        <x:v>8</x:v>
      </x:c>
      <x:c r="AJ266" t="n">
        <x:v>11</x:v>
      </x:c>
      <x:c r="AK266" t="n">
        <x:v>240</x:v>
      </x:c>
      <x:c r="AL266" t="str">
        <x:v>Direkte elektrisk;</x:v>
      </x:c>
      <x:c r="AM266" t="n">
        <x:v>0</x:v>
      </x:c>
      <x:c r="AN266" t="n">
        <x:v>0</x:v>
      </x:c>
      <x:c r="AO266" t="n">
        <x:v>1</x:v>
      </x:c>
      <x:c r="AP266" t="n">
        <x:v>0</x:v>
      </x:c>
      <x:c r="AQ266" t="n">
        <x:v>0</x:v>
      </x:c>
      <x:c r="AR266" t="n">
        <x:v>1</x:v>
      </x:c>
      <x:c r="AS266" t="n">
        <x:v>0</x:v>
      </x:c>
      <x:c r="AT266" t="n">
        <x:v>0</x:v>
      </x:c>
      <x:c r="AU266" t="str">
        <x:v>energiattester_export_2025-08-14.json | PDF vedlegg side 5-7</x:v>
      </x:c>
      <x:c r="AV266" s="12" t="n">
        <x:f>IF(COUNT(O266,P266,Q266,R266,K266,L266,M266,N266)=8,O266*K266+P266*L266+Q266*M266+R266*N266,"")</x:f>
        <x:v>439.32</x:v>
      </x:c>
      <x:c r="AW266" s="12" t="n">
        <x:f>IF(AND(ISNUMBER(AV266),H266&gt;0),AV266/H266,"")</x:f>
        <x:v>0.5532997481108313</x:v>
      </x:c>
      <x:c r="AX266" s="12" t="n">
        <x:f>IF(AND(ISNUMBER(AD266),H266&gt;0),AD266*H266*3600,"")</x:f>
        <x:v>225527760.00000003</x:v>
      </x:c>
      <x:c r="AY266" s="12" t="n">
        <x:f>IF(AND(ISNUMBER(Y266),H266&gt;0),Y266*H266,"")</x:f>
        <x:v>43670</x:v>
      </x:c>
      <x:c r="AZ266" t="str">
        <x:v>Høy</x:v>
      </x:c>
    </x:row>
    <x:row r="267" ht="22" customHeight="1">
      <x:c r="A267" t="str">
        <x:v>OT-ef84336b64ec</x:v>
      </x:c>
      <x:c r="B267" t="n">
        <x:v>2015</x:v>
      </x:c>
      <x:c r="C267" t="str">
        <x:v>Kontorbygg</x:v>
      </x:c>
      <x:c r="D267" t="str">
        <x:v>Kontorer, enkle</x:v>
      </x:c>
      <x:c r="E267" t="str">
        <x:v>G</x:v>
      </x:c>
      <x:c r="F267" t="str">
        <x:v>GREEN</x:v>
      </x:c>
      <x:c r="G267" t="n">
        <x:v>2008</x:v>
      </x:c>
      <x:c r="H267" t="n">
        <x:v>550</x:v>
      </x:c>
      <x:c r="I267" t="n">
        <x:v>276</x:v>
      </x:c>
      <x:c r="J267" t="str">
        <x:v>PDF/avansert</x:v>
      </x:c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str">
        <x:v>energiattester_export_2025-08-14.json | PDF vedlegg side 5-7</x:v>
      </x:c>
      <x:c r="AV267" s="12" t="str">
        <x:f>IF(COUNT(O267,P267,Q267,R267,K267,L267,M267,N267)=8,O267*K267+P267*L267+Q267*M267+R267*N267,"")</x:f>
      </x:c>
      <x:c r="AW267" s="12" t="str">
        <x:f>IF(AND(ISNUMBER(AV267),H267&gt;0),AV267/H267,"")</x:f>
      </x:c>
      <x:c r="AX267" s="12" t="str">
        <x:f>IF(AND(ISNUMBER(AD267),H267&gt;0),AD267*H267*3600,"")</x:f>
      </x:c>
      <x:c r="AY267" s="12" t="str">
        <x:f>IF(AND(ISNUMBER(Y267),H267&gt;0),Y267*H267,"")</x:f>
      </x:c>
      <x:c r="AZ267" t="str">
        <x:v>Mangler data</x:v>
      </x:c>
    </x:row>
    <x:row r="268" ht="22" customHeight="1">
      <x:c r="A268" t="str">
        <x:v>OT-23ad395ae046</x:v>
      </x:c>
      <x:c r="B268" t="n">
        <x:v>2015</x:v>
      </x:c>
      <x:c r="C268" t="str">
        <x:v>Forretningsbygg</x:v>
      </x:c>
      <x:c r="D268" t="str">
        <x:v>BUTIKK MED KJØLE- / FRYSEROM</x:v>
      </x:c>
      <x:c r="E268" t="str">
        <x:v>C</x:v>
      </x:c>
      <x:c r="F268" t="str">
        <x:v>RED</x:v>
      </x:c>
      <x:c r="G268" t="n">
        <x:v>2005</x:v>
      </x:c>
      <x:c r="H268" t="n">
        <x:v>1785</x:v>
      </x:c>
      <x:c r="I268" t="n">
        <x:v>207.7</x:v>
      </x:c>
      <x:c r="J268" t="str">
        <x:v>PDF/avansert</x:v>
      </x:c>
      <x:c r="K268" t="n">
        <x:v>2628</x:v>
      </x:c>
      <x:c r="L268" t="n">
        <x:v>1785</x:v>
      </x:c>
      <x:c r="M268" t="n">
        <x:v>1785</x:v>
      </x:c>
      <x:c r="N268" t="n">
        <x:v>101</x:v>
      </x:c>
      <x:c r="O268" t="n">
        <x:v>0.22</x:v>
      </x:c>
      <x:c r="P268" t="n">
        <x:v>0.14</x:v>
      </x:c>
      <x:c r="Q268" t="n">
        <x:v>0.13</x:v>
      </x:c>
      <x:c r="R268" t="n">
        <x:v>2.5</x:v>
      </x:c>
      <x:c r="S268" t="n">
        <x:v>75</x:v>
      </x:c>
      <x:c r="T268" t="n">
        <x:v>75</x:v>
      </x:c>
      <x:c r="U268" t="n">
        <x:v>2</x:v>
      </x:c>
      <x:c r="V268" t="n">
        <x:v>0.23</x:v>
      </x:c>
      <x:c r="W268" t="n">
        <x:v>13</x:v>
      </x:c>
      <x:c r="X268" t="n">
        <x:v>90</x:v>
      </x:c>
      <x:c r="Y268" t="n">
        <x:v>80</x:v>
      </x:c>
      <x:c r="Z268" t="n">
        <x:v>0</x:v>
      </x:c>
      <x:c r="AA268" t="n">
        <x:v>21</x:v>
      </x:c>
      <x:c r="AB268" t="n">
        <x:v>22</x:v>
      </x:c>
      <x:c r="AC268" t="n">
        <x:v>1.54</x:v>
      </x:c>
      <x:c r="AD268" t="n">
        <x:v>154.3</x:v>
      </x:c>
      <x:c r="AE268" t="n">
        <x:v>0.15</x:v>
      </x:c>
      <x:c r="AF268" t="n">
        <x:v>12</x:v>
      </x:c>
      <x:c r="AG268" t="n">
        <x:v>12</x:v>
      </x:c>
      <x:c r="AH268" t="n">
        <x:v>24</x:v>
      </x:c>
      <x:c r="AI268" t="n">
        <x:v>15</x:v>
      </x:c>
      <x:c r="AJ268" t="n">
        <x:v>1</x:v>
      </x:c>
      <x:c r="AK268" t="n">
        <x:v>250</x:v>
      </x:c>
      <x:c r="AL268" t="str">
        <x:v>Direkte elektrisk;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1</x:v>
      </x:c>
      <x:c r="AR268" t="n">
        <x:v>1</x:v>
      </x:c>
      <x:c r="AS268" t="n">
        <x:v>1</x:v>
      </x:c>
      <x:c r="AT268" t="n">
        <x:v>1</x:v>
      </x:c>
      <x:c r="AU268" t="str">
        <x:v>energiattester_export_2025-08-14.json | PDF vedlegg side 5-7</x:v>
      </x:c>
      <x:c r="AV268" s="12" t="n">
        <x:f>IF(COUNT(O268,P268,Q268,R268,K268,L268,M268,N268)=8,O268*K268+P268*L268+Q268*M268+R268*N268,"")</x:f>
        <x:v>1312.61</x:v>
      </x:c>
      <x:c r="AW268" s="12" t="n">
        <x:f>IF(AND(ISNUMBER(AV268),H268&gt;0),AV268/H268,"")</x:f>
        <x:v>0.7353557422969187</x:v>
      </x:c>
      <x:c r="AX268" s="12" t="n">
        <x:f>IF(AND(ISNUMBER(AD268),H268&gt;0),AD268*H268*3600,"")</x:f>
        <x:v>991531800</x:v>
      </x:c>
      <x:c r="AY268" s="12" t="n">
        <x:f>IF(AND(ISNUMBER(Y268),H268&gt;0),Y268*H268,"")</x:f>
        <x:v>142800</x:v>
      </x:c>
      <x:c r="AZ268" t="str">
        <x:v>Høy</x:v>
      </x:c>
    </x:row>
    <x:row r="269" ht="22" customHeight="1">
      <x:c r="A269" t="str">
        <x:v>OT-03380cedd118</x:v>
      </x:c>
      <x:c r="B269" t="n">
        <x:v>2015</x:v>
      </x:c>
      <x:c r="C269" t="str">
        <x:v>Forretningsbygg</x:v>
      </x:c>
      <x:c r="D269" t="str">
        <x:v>BUTIKK MED KJØLE- / FRYSEROM</x:v>
      </x:c>
      <x:c r="E269" t="str">
        <x:v>C</x:v>
      </x:c>
      <x:c r="F269" t="str">
        <x:v>RED</x:v>
      </x:c>
      <x:c r="G269" t="n">
        <x:v>2005</x:v>
      </x:c>
      <x:c r="H269" t="n">
        <x:v>1785</x:v>
      </x:c>
      <x:c r="I269" t="n">
        <x:v>207.3</x:v>
      </x:c>
      <x:c r="J269" t="str">
        <x:v>PDF/avansert</x:v>
      </x:c>
      <x:c r="K269" t="n">
        <x:v>2623</x:v>
      </x:c>
      <x:c r="L269" t="n">
        <x:v>1785</x:v>
      </x:c>
      <x:c r="M269" t="n">
        <x:v>1785</x:v>
      </x:c>
      <x:c r="N269" t="n">
        <x:v>106</x:v>
      </x:c>
      <x:c r="O269" t="n">
        <x:v>0.22</x:v>
      </x:c>
      <x:c r="P269" t="n">
        <x:v>0.14</x:v>
      </x:c>
      <x:c r="Q269" t="n">
        <x:v>0.13</x:v>
      </x:c>
      <x:c r="R269" t="n">
        <x:v>2.52</x:v>
      </x:c>
      <x:c r="S269" t="n">
        <x:v>75</x:v>
      </x:c>
      <x:c r="T269" t="n">
        <x:v>75</x:v>
      </x:c>
      <x:c r="U269" t="n">
        <x:v>2</x:v>
      </x:c>
      <x:c r="V269" t="n">
        <x:v>0.23</x:v>
      </x:c>
      <x:c r="W269" t="n">
        <x:v>13</x:v>
      </x:c>
      <x:c r="X269" t="n">
        <x:v>90</x:v>
      </x:c>
      <x:c r="Y269" t="n">
        <x:v>80</x:v>
      </x:c>
      <x:c r="Z269" t="n">
        <x:v>0</x:v>
      </x:c>
      <x:c r="AA269" t="n">
        <x:v>21</x:v>
      </x:c>
      <x:c r="AB269" t="n">
        <x:v>22</x:v>
      </x:c>
      <x:c r="AC269" t="n">
        <x:v>1.54</x:v>
      </x:c>
      <x:c r="AD269" t="n">
        <x:v>154.3</x:v>
      </x:c>
      <x:c r="AE269" t="n">
        <x:v>0.15</x:v>
      </x:c>
      <x:c r="AF269" t="n">
        <x:v>12</x:v>
      </x:c>
      <x:c r="AG269" t="n">
        <x:v>12</x:v>
      </x:c>
      <x:c r="AH269" t="n">
        <x:v>24</x:v>
      </x:c>
      <x:c r="AI269" t="n">
        <x:v>15</x:v>
      </x:c>
      <x:c r="AJ269" t="n">
        <x:v>1</x:v>
      </x:c>
      <x:c r="AK269" t="n">
        <x:v>250</x:v>
      </x:c>
      <x:c r="AL269" t="str">
        <x:v>Direkte elektrisk;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1</x:v>
      </x:c>
      <x:c r="AR269" t="n">
        <x:v>1</x:v>
      </x:c>
      <x:c r="AS269" t="n">
        <x:v>1</x:v>
      </x:c>
      <x:c r="AT269" t="n">
        <x:v>1</x:v>
      </x:c>
      <x:c r="AU269" t="str">
        <x:v>energiattester_export_2025-08-14.json | PDF vedlegg side 5-7</x:v>
      </x:c>
      <x:c r="AV269" s="12" t="n">
        <x:f>IF(COUNT(O269,P269,Q269,R269,K269,L269,M269,N269)=8,O269*K269+P269*L269+Q269*M269+R269*N269,"")</x:f>
        <x:v>1326.13</x:v>
      </x:c>
      <x:c r="AW269" s="12" t="n">
        <x:f>IF(AND(ISNUMBER(AV269),H269&gt;0),AV269/H269,"")</x:f>
        <x:v>0.7429299719887956</x:v>
      </x:c>
      <x:c r="AX269" s="12" t="n">
        <x:f>IF(AND(ISNUMBER(AD269),H269&gt;0),AD269*H269*3600,"")</x:f>
        <x:v>991531800</x:v>
      </x:c>
      <x:c r="AY269" s="12" t="n">
        <x:f>IF(AND(ISNUMBER(Y269),H269&gt;0),Y269*H269,"")</x:f>
        <x:v>142800</x:v>
      </x:c>
      <x:c r="AZ269" t="str">
        <x:v>Høy</x:v>
      </x:c>
    </x:row>
    <x:row r="270" ht="22" customHeight="1">
      <x:c r="A270" t="str">
        <x:v>OT-e610e893f472</x:v>
      </x:c>
      <x:c r="B270" t="n">
        <x:v>2015</x:v>
      </x:c>
      <x:c r="C270" t="str">
        <x:v>Kontorbygg</x:v>
      </x:c>
      <x:c r="D270" t="str">
        <x:v>KONTORER, MED VENTILASJON OG KJØLEANLEGG</x:v>
      </x:c>
      <x:c r="E270" t="str">
        <x:v>E</x:v>
      </x:c>
      <x:c r="F270" t="str">
        <x:v>RED</x:v>
      </x:c>
      <x:c r="G270" t="n">
        <x:v>1988</x:v>
      </x:c>
      <x:c r="H270" t="n">
        <x:v>1543</x:v>
      </x:c>
      <x:c r="I270" t="n">
        <x:v>1</x:v>
      </x:c>
      <x:c r="J270" t="str">
        <x:v>PDF/avansert</x:v>
      </x:c>
      <x:c r="K270" t="n">
        <x:v>1401</x:v>
      </x:c>
      <x:c r="L270" t="n">
        <x:v>495</x:v>
      </x:c>
      <x:c r="M270" t="n">
        <x:v>439</x:v>
      </x:c>
      <x:c r="N270" t="n">
        <x:v>150</x:v>
      </x:c>
      <x:c r="O270" t="n">
        <x:v>0.3</x:v>
      </x:c>
      <x:c r="P270" t="n">
        <x:v>0.2</x:v>
      </x:c>
      <x:c r="Q270" t="n">
        <x:v>0.18</x:v>
      </x:c>
      <x:c r="R270" t="n">
        <x:v>2.4</x:v>
      </x:c>
      <x:c r="S270" t="n">
        <x:v>70</x:v>
      </x:c>
      <x:c r="T270" t="n">
        <x:v>70</x:v>
      </x:c>
      <x:c r="U270" t="n">
        <x:v>2.99</x:v>
      </x:c>
      <x:c r="V270" t="n">
        <x:v>0.43</x:v>
      </x:c>
      <x:c r="W270" t="n">
        <x:v>7</x:v>
      </x:c>
      <x:c r="X270" t="n">
        <x:v>81</x:v>
      </x:c>
      <x:c r="Y270" t="n">
        <x:v>94</x:v>
      </x:c>
      <x:c r="Z270" t="n">
        <x:v>30</x:v>
      </x:c>
      <x:c r="AA270" t="n">
        <x:v>21</x:v>
      </x:c>
      <x:c r="AB270" t="n">
        <x:v>22</x:v>
      </x:c>
      <x:c r="AC270" t="n">
        <x:v>5</x:v>
      </x:c>
      <x:c r="AD270" t="n">
        <x:v>72.4</x:v>
      </x:c>
      <x:c r="AE270" t="n">
        <x:v>0.06</x:v>
      </x:c>
      <x:c r="AF270"/>
      <x:c r="AG270"/>
      <x:c r="AH270"/>
      <x:c r="AI270"/>
      <x:c r="AJ270"/>
      <x:c r="AK270" t="n">
        <x:v>250</x:v>
      </x:c>
      <x:c r="AL270"/>
      <x:c r="AM270" t="n">
        <x:v>0</x:v>
      </x:c>
      <x:c r="AN270" t="n">
        <x:v>0</x:v>
      </x:c>
      <x:c r="AO270" t="n">
        <x:v>0</x:v>
      </x:c>
      <x:c r="AP270" t="n">
        <x:v>1</x:v>
      </x:c>
      <x:c r="AQ270" t="n">
        <x:v>1</x:v>
      </x:c>
      <x:c r="AR270" t="n">
        <x:v>1</x:v>
      </x:c>
      <x:c r="AS270" t="n">
        <x:v>1</x:v>
      </x:c>
      <x:c r="AT270" t="n">
        <x:v>1</x:v>
      </x:c>
      <x:c r="AU270" t="str">
        <x:v>energiattester_export_2025-08-14.json | PDF vedlegg side 5-7</x:v>
      </x:c>
      <x:c r="AV270" s="12" t="n">
        <x:f>IF(COUNT(O270,P270,Q270,R270,K270,L270,M270,N270)=8,O270*K270+P270*L270+Q270*M270+R270*N270,"")</x:f>
        <x:v>958.3199999999999</x:v>
      </x:c>
      <x:c r="AW270" s="12" t="n">
        <x:f>IF(AND(ISNUMBER(AV270),H270&gt;0),AV270/H270,"")</x:f>
        <x:v>0.6210758263123785</x:v>
      </x:c>
      <x:c r="AX270" s="12" t="n">
        <x:f>IF(AND(ISNUMBER(AD270),H270&gt;0),AD270*H270*3600,"")</x:f>
        <x:v>402167520.00000006</x:v>
      </x:c>
      <x:c r="AY270" s="12" t="n">
        <x:f>IF(AND(ISNUMBER(Y270),H270&gt;0),Y270*H270,"")</x:f>
        <x:v>145042</x:v>
      </x:c>
      <x:c r="AZ270" t="str">
        <x:v>Høy</x:v>
      </x:c>
    </x:row>
    <x:row r="271" ht="22" customHeight="1">
      <x:c r="A271" t="str">
        <x:v>OT-de9c40869721</x:v>
      </x:c>
      <x:c r="B271" t="n">
        <x:v>2015</x:v>
      </x:c>
      <x:c r="C271" t="str">
        <x:v>Kontorbygg</x:v>
      </x:c>
      <x:c r="D271" t="str">
        <x:v>KONTORER, ENKLE</x:v>
      </x:c>
      <x:c r="E271" t="str">
        <x:v>D</x:v>
      </x:c>
      <x:c r="F271" t="str">
        <x:v>RED</x:v>
      </x:c>
      <x:c r="G271" t="n">
        <x:v>2014</x:v>
      </x:c>
      <x:c r="H271" t="n">
        <x:v>6266</x:v>
      </x:c>
      <x:c r="I271" t="n">
        <x:v>158.4</x:v>
      </x:c>
      <x:c r="J271" t="str">
        <x:v>PDF/avansert</x:v>
      </x:c>
      <x:c r="K271" t="n">
        <x:v>1523</x:v>
      </x:c>
      <x:c r="L271" t="n">
        <x:v>1906</x:v>
      </x:c>
      <x:c r="M271" t="n">
        <x:v>1109</x:v>
      </x:c>
      <x:c r="N271" t="n">
        <x:v>1704</x:v>
      </x:c>
      <x:c r="O271" t="n">
        <x:v>0.18</x:v>
      </x:c>
      <x:c r="P271" t="n">
        <x:v>0.13</x:v>
      </x:c>
      <x:c r="Q271" t="n">
        <x:v>0.15</x:v>
      </x:c>
      <x:c r="R271" t="n">
        <x:v>1.2</x:v>
      </x:c>
      <x:c r="S271" t="n">
        <x:v>78</x:v>
      </x:c>
      <x:c r="T271" t="n">
        <x:v>78</x:v>
      </x:c>
      <x:c r="U271" t="n">
        <x:v>2</x:v>
      </x:c>
      <x:c r="V271" t="n">
        <x:v>0.27</x:v>
      </x:c>
      <x:c r="W271" t="n">
        <x:v>10</x:v>
      </x:c>
      <x:c r="X271" t="n">
        <x:v>84</x:v>
      </x:c>
      <x:c r="Y271" t="n">
        <x:v>77</x:v>
      </x:c>
      <x:c r="Z271" t="n">
        <x:v>29</x:v>
      </x:c>
      <x:c r="AA271" t="n">
        <x:v>21</x:v>
      </x:c>
      <x:c r="AB271" t="n">
        <x:v>22</x:v>
      </x:c>
      <x:c r="AC271" t="n">
        <x:v>1.5</x:v>
      </x:c>
      <x:c r="AD271" t="n">
        <x:v>83.5</x:v>
      </x:c>
      <x:c r="AE271" t="n">
        <x:v>0.09</x:v>
      </x:c>
      <x:c r="AF271" t="n">
        <x:v>12</x:v>
      </x:c>
      <x:c r="AG271" t="n">
        <x:v>12</x:v>
      </x:c>
      <x:c r="AH271" t="n">
        <x:v>24</x:v>
      </x:c>
      <x:c r="AI271" t="n">
        <x:v>6.4</x:v>
      </x:c>
      <x:c r="AJ271" t="n">
        <x:v>11</x:v>
      </x:c>
      <x:c r="AK271" t="n">
        <x:v>250</x:v>
      </x:c>
      <x:c r="AL271" t="str">
        <x:v>Fjernvarme;</x:v>
      </x:c>
      <x:c r="AM271"/>
      <x:c r="AN271"/>
      <x:c r="AO271"/>
      <x:c r="AP271"/>
      <x:c r="AQ271"/>
      <x:c r="AR271"/>
      <x:c r="AS271"/>
      <x:c r="AT271"/>
      <x:c r="AU271" t="str">
        <x:v>energiattester_export_2025-08-14.json | PDF vedlegg side 5-7</x:v>
      </x:c>
      <x:c r="AV271" s="12" t="n">
        <x:f>IF(COUNT(O271,P271,Q271,R271,K271,L271,M271,N271)=8,O271*K271+P271*L271+Q271*M271+R271*N271,"")</x:f>
        <x:v>2733.0699999999997</x:v>
      </x:c>
      <x:c r="AW271" s="12" t="n">
        <x:f>IF(AND(ISNUMBER(AV271),H271&gt;0),AV271/H271,"")</x:f>
        <x:v>0.4361745930418129</x:v>
      </x:c>
      <x:c r="AX271" s="12" t="n">
        <x:f>IF(AND(ISNUMBER(AD271),H271&gt;0),AD271*H271*3600,"")</x:f>
        <x:v>1883559600</x:v>
      </x:c>
      <x:c r="AY271" s="12" t="n">
        <x:f>IF(AND(ISNUMBER(Y271),H271&gt;0),Y271*H271,"")</x:f>
        <x:v>482482</x:v>
      </x:c>
      <x:c r="AZ271" t="str">
        <x:v>Høy</x:v>
      </x:c>
    </x:row>
    <x:row r="272" ht="22" customHeight="1">
      <x:c r="A272" t="str">
        <x:v>OT-c354420b8ce7</x:v>
      </x:c>
      <x:c r="B272" t="n">
        <x:v>2015</x:v>
      </x:c>
      <x:c r="C272" t="str">
        <x:v>Kontorbygg</x:v>
      </x:c>
      <x:c r="D272" t="str">
        <x:v>KONTORER, ENKLE</x:v>
      </x:c>
      <x:c r="E272" t="str">
        <x:v>D</x:v>
      </x:c>
      <x:c r="F272" t="str">
        <x:v>RED</x:v>
      </x:c>
      <x:c r="G272" t="n">
        <x:v>2013</x:v>
      </x:c>
      <x:c r="H272" t="n">
        <x:v>6266</x:v>
      </x:c>
      <x:c r="I272" t="n">
        <x:v>158.4</x:v>
      </x:c>
      <x:c r="J272" t="str">
        <x:v>PDF/avansert</x:v>
      </x:c>
      <x:c r="K272" t="n">
        <x:v>1523</x:v>
      </x:c>
      <x:c r="L272" t="n">
        <x:v>1906</x:v>
      </x:c>
      <x:c r="M272" t="n">
        <x:v>1109</x:v>
      </x:c>
      <x:c r="N272" t="n">
        <x:v>1704</x:v>
      </x:c>
      <x:c r="O272" t="n">
        <x:v>0.18</x:v>
      </x:c>
      <x:c r="P272" t="n">
        <x:v>0.13</x:v>
      </x:c>
      <x:c r="Q272" t="n">
        <x:v>0.15</x:v>
      </x:c>
      <x:c r="R272" t="n">
        <x:v>1.2</x:v>
      </x:c>
      <x:c r="S272" t="n">
        <x:v>78</x:v>
      </x:c>
      <x:c r="T272" t="n">
        <x:v>78</x:v>
      </x:c>
      <x:c r="U272" t="n">
        <x:v>2</x:v>
      </x:c>
      <x:c r="V272" t="n">
        <x:v>0.27</x:v>
      </x:c>
      <x:c r="W272" t="n">
        <x:v>10</x:v>
      </x:c>
      <x:c r="X272" t="n">
        <x:v>84</x:v>
      </x:c>
      <x:c r="Y272" t="n">
        <x:v>77</x:v>
      </x:c>
      <x:c r="Z272" t="n">
        <x:v>29</x:v>
      </x:c>
      <x:c r="AA272" t="n">
        <x:v>21</x:v>
      </x:c>
      <x:c r="AB272" t="n">
        <x:v>22</x:v>
      </x:c>
      <x:c r="AC272" t="n">
        <x:v>1.5</x:v>
      </x:c>
      <x:c r="AD272" t="n">
        <x:v>83.5</x:v>
      </x:c>
      <x:c r="AE272" t="n">
        <x:v>0.09</x:v>
      </x:c>
      <x:c r="AF272" t="n">
        <x:v>12</x:v>
      </x:c>
      <x:c r="AG272" t="n">
        <x:v>12</x:v>
      </x:c>
      <x:c r="AH272" t="n">
        <x:v>24</x:v>
      </x:c>
      <x:c r="AI272" t="n">
        <x:v>6.4</x:v>
      </x:c>
      <x:c r="AJ272" t="n">
        <x:v>11</x:v>
      </x:c>
      <x:c r="AK272" t="n">
        <x:v>250</x:v>
      </x:c>
      <x:c r="AL272" t="str">
        <x:v>Fjernvarme;</x:v>
      </x:c>
      <x:c r="AM272"/>
      <x:c r="AN272"/>
      <x:c r="AO272"/>
      <x:c r="AP272"/>
      <x:c r="AQ272"/>
      <x:c r="AR272"/>
      <x:c r="AS272"/>
      <x:c r="AT272"/>
      <x:c r="AU272" t="str">
        <x:v>energiattester_export_2025-08-14.json | PDF vedlegg side 5-7</x:v>
      </x:c>
      <x:c r="AV272" s="12" t="n">
        <x:f>IF(COUNT(O272,P272,Q272,R272,K272,L272,M272,N272)=8,O272*K272+P272*L272+Q272*M272+R272*N272,"")</x:f>
        <x:v>2733.0699999999997</x:v>
      </x:c>
      <x:c r="AW272" s="12" t="n">
        <x:f>IF(AND(ISNUMBER(AV272),H272&gt;0),AV272/H272,"")</x:f>
        <x:v>0.4361745930418129</x:v>
      </x:c>
      <x:c r="AX272" s="12" t="n">
        <x:f>IF(AND(ISNUMBER(AD272),H272&gt;0),AD272*H272*3600,"")</x:f>
        <x:v>1883559600</x:v>
      </x:c>
      <x:c r="AY272" s="12" t="n">
        <x:f>IF(AND(ISNUMBER(Y272),H272&gt;0),Y272*H272,"")</x:f>
        <x:v>482482</x:v>
      </x:c>
      <x:c r="AZ272" t="str">
        <x:v>Høy</x:v>
      </x:c>
    </x:row>
    <x:row r="273" ht="22" customHeight="1">
      <x:c r="A273" t="str">
        <x:v>OT-db82bd166ca1</x:v>
      </x:c>
      <x:c r="B273" t="n">
        <x:v>2015</x:v>
      </x:c>
      <x:c r="C273" t="str">
        <x:v>Kontorbygg</x:v>
      </x:c>
      <x:c r="D273" t="str">
        <x:v>KONTORER, ENKLE</x:v>
      </x:c>
      <x:c r="E273" t="str">
        <x:v>D</x:v>
      </x:c>
      <x:c r="F273" t="str">
        <x:v>RED</x:v>
      </x:c>
      <x:c r="G273" t="n">
        <x:v>2014</x:v>
      </x:c>
      <x:c r="H273" t="n">
        <x:v>6266</x:v>
      </x:c>
      <x:c r="I273" t="n">
        <x:v>158.4</x:v>
      </x:c>
      <x:c r="J273" t="str">
        <x:v>PDF/avansert</x:v>
      </x:c>
      <x:c r="K273" t="n">
        <x:v>1523</x:v>
      </x:c>
      <x:c r="L273" t="n">
        <x:v>1906</x:v>
      </x:c>
      <x:c r="M273" t="n">
        <x:v>1109</x:v>
      </x:c>
      <x:c r="N273" t="n">
        <x:v>1704</x:v>
      </x:c>
      <x:c r="O273" t="n">
        <x:v>0.18</x:v>
      </x:c>
      <x:c r="P273" t="n">
        <x:v>0.13</x:v>
      </x:c>
      <x:c r="Q273" t="n">
        <x:v>0.15</x:v>
      </x:c>
      <x:c r="R273" t="n">
        <x:v>1.2</x:v>
      </x:c>
      <x:c r="S273" t="n">
        <x:v>78</x:v>
      </x:c>
      <x:c r="T273" t="n">
        <x:v>78</x:v>
      </x:c>
      <x:c r="U273" t="n">
        <x:v>2</x:v>
      </x:c>
      <x:c r="V273" t="n">
        <x:v>0.27</x:v>
      </x:c>
      <x:c r="W273" t="n">
        <x:v>10</x:v>
      </x:c>
      <x:c r="X273" t="n">
        <x:v>84</x:v>
      </x:c>
      <x:c r="Y273" t="n">
        <x:v>77</x:v>
      </x:c>
      <x:c r="Z273" t="n">
        <x:v>29</x:v>
      </x:c>
      <x:c r="AA273" t="n">
        <x:v>21</x:v>
      </x:c>
      <x:c r="AB273" t="n">
        <x:v>22</x:v>
      </x:c>
      <x:c r="AC273" t="n">
        <x:v>1.5</x:v>
      </x:c>
      <x:c r="AD273" t="n">
        <x:v>83.5</x:v>
      </x:c>
      <x:c r="AE273" t="n">
        <x:v>0.09</x:v>
      </x:c>
      <x:c r="AF273" t="n">
        <x:v>12</x:v>
      </x:c>
      <x:c r="AG273" t="n">
        <x:v>12</x:v>
      </x:c>
      <x:c r="AH273" t="n">
        <x:v>24</x:v>
      </x:c>
      <x:c r="AI273" t="n">
        <x:v>6.4</x:v>
      </x:c>
      <x:c r="AJ273" t="n">
        <x:v>11</x:v>
      </x:c>
      <x:c r="AK273" t="n">
        <x:v>250</x:v>
      </x:c>
      <x:c r="AL273" t="str">
        <x:v>Fjernvarme;</x:v>
      </x:c>
      <x:c r="AM273"/>
      <x:c r="AN273"/>
      <x:c r="AO273"/>
      <x:c r="AP273"/>
      <x:c r="AQ273"/>
      <x:c r="AR273"/>
      <x:c r="AS273"/>
      <x:c r="AT273"/>
      <x:c r="AU273" t="str">
        <x:v>energiattester_export_2025-08-14.json | PDF vedlegg side 5-7</x:v>
      </x:c>
      <x:c r="AV273" s="12" t="n">
        <x:f>IF(COUNT(O273,P273,Q273,R273,K273,L273,M273,N273)=8,O273*K273+P273*L273+Q273*M273+R273*N273,"")</x:f>
        <x:v>2733.0699999999997</x:v>
      </x:c>
      <x:c r="AW273" s="12" t="n">
        <x:f>IF(AND(ISNUMBER(AV273),H273&gt;0),AV273/H273,"")</x:f>
        <x:v>0.4361745930418129</x:v>
      </x:c>
      <x:c r="AX273" s="12" t="n">
        <x:f>IF(AND(ISNUMBER(AD273),H273&gt;0),AD273*H273*3600,"")</x:f>
        <x:v>1883559600</x:v>
      </x:c>
      <x:c r="AY273" s="12" t="n">
        <x:f>IF(AND(ISNUMBER(Y273),H273&gt;0),Y273*H273,"")</x:f>
        <x:v>482482</x:v>
      </x:c>
      <x:c r="AZ273" t="str">
        <x:v>Høy</x:v>
      </x:c>
    </x:row>
    <x:row r="274" ht="22" customHeight="1">
      <x:c r="A274" t="str">
        <x:v>OT-6f4d307726e4</x:v>
      </x:c>
      <x:c r="B274" t="n">
        <x:v>2015</x:v>
      </x:c>
      <x:c r="C274" t="str">
        <x:v>Forretningsbygg</x:v>
      </x:c>
      <x:c r="D274" t="str">
        <x:v>Butikk</x:v>
      </x:c>
      <x:c r="E274" t="str">
        <x:v>D</x:v>
      </x:c>
      <x:c r="F274" t="str">
        <x:v>ORANGE</x:v>
      </x:c>
      <x:c r="G274" t="n">
        <x:v>2003</x:v>
      </x:c>
      <x:c r="H274" t="n">
        <x:v>2072</x:v>
      </x:c>
      <x:c r="I274" t="n">
        <x:v>223.14</x:v>
      </x:c>
      <x:c r="J274" t="str">
        <x:v>PDF/avansert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 t="n">
        <x:v>0</x:v>
      </x:c>
      <x:c r="AN274" t="n">
        <x:v>0</x:v>
      </x:c>
      <x:c r="AO274" t="n">
        <x:v>1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str">
        <x:v>energiattester_export_2025-08-14.json | PDF vedlegg side 5-7</x:v>
      </x:c>
      <x:c r="AV274" s="12" t="str">
        <x:f>IF(COUNT(O274,P274,Q274,R274,K274,L274,M274,N274)=8,O274*K274+P274*L274+Q274*M274+R274*N274,"")</x:f>
      </x:c>
      <x:c r="AW274" s="12" t="str">
        <x:f>IF(AND(ISNUMBER(AV274),H274&gt;0),AV274/H274,"")</x:f>
      </x:c>
      <x:c r="AX274" s="12" t="str">
        <x:f>IF(AND(ISNUMBER(AD274),H274&gt;0),AD274*H274*3600,"")</x:f>
      </x:c>
      <x:c r="AY274" s="12" t="str">
        <x:f>IF(AND(ISNUMBER(Y274),H274&gt;0),Y274*H274,"")</x:f>
      </x:c>
      <x:c r="AZ274" t="str">
        <x:v>Mangler data</x:v>
      </x:c>
    </x:row>
    <x:row r="275" ht="22" customHeight="1">
      <x:c r="A275" t="str">
        <x:v>OT-652ee481b55b</x:v>
      </x:c>
      <x:c r="B275" t="n">
        <x:v>2015</x:v>
      </x:c>
      <x:c r="C275" t="str">
        <x:v>Kontorbygg</x:v>
      </x:c>
      <x:c r="D275" t="str">
        <x:v>KONTORER, ENKLE</x:v>
      </x:c>
      <x:c r="E275" t="str">
        <x:v>G</x:v>
      </x:c>
      <x:c r="F275" t="str">
        <x:v>RED</x:v>
      </x:c>
      <x:c r="G275" t="n">
        <x:v>1920</x:v>
      </x:c>
      <x:c r="H275" t="n">
        <x:v>3100</x:v>
      </x:c>
      <x:c r="I275" t="n">
        <x:v>350.1</x:v>
      </x:c>
      <x:c r="J275" t="str">
        <x:v>PDF/avansert</x:v>
      </x:c>
      <x:c r="K275" t="n">
        <x:v>1487</x:v>
      </x:c>
      <x:c r="L275" t="n">
        <x:v>1028</x:v>
      </x:c>
      <x:c r="M275" t="n">
        <x:v>1028</x:v>
      </x:c>
      <x:c r="N275" t="n">
        <x:v>323</x:v>
      </x:c>
      <x:c r="O275" t="n">
        <x:v>0.4</x:v>
      </x:c>
      <x:c r="P275" t="n">
        <x:v>0.3</x:v>
      </x:c>
      <x:c r="Q275" t="n">
        <x:v>0.23</x:v>
      </x:c>
      <x:c r="R275" t="n">
        <x:v>2.67</x:v>
      </x:c>
      <x:c r="S275" t="n">
        <x:v>45</x:v>
      </x:c>
      <x:c r="T275" t="n">
        <x:v>45</x:v>
      </x:c>
      <x:c r="U275" t="n">
        <x:v>3</x:v>
      </x:c>
      <x:c r="V275" t="n">
        <x:v>3</x:v>
      </x:c>
      <x:c r="W275" t="n">
        <x:v>7</x:v>
      </x:c>
      <x:c r="X275" t="n">
        <x:v>95</x:v>
      </x:c>
      <x:c r="Y275" t="n">
        <x:v>115</x:v>
      </x:c>
      <x:c r="Z275" t="n">
        <x:v>0</x:v>
      </x:c>
      <x:c r="AA275" t="n">
        <x:v>21</x:v>
      </x:c>
      <x:c r="AB275" t="n">
        <x:v>22</x:v>
      </x:c>
      <x:c r="AC275" t="n">
        <x:v>2.5</x:v>
      </x:c>
      <x:c r="AD275" t="n">
        <x:v>61.4</x:v>
      </x:c>
      <x:c r="AE275" t="n">
        <x:v>0.06</x:v>
      </x:c>
      <x:c r="AF275" t="n">
        <x:v>12</x:v>
      </x:c>
      <x:c r="AG275" t="n">
        <x:v>12</x:v>
      </x:c>
      <x:c r="AH275" t="n">
        <x:v>24</x:v>
      </x:c>
      <x:c r="AI275" t="n">
        <x:v>8</x:v>
      </x:c>
      <x:c r="AJ275" t="n">
        <x:v>11</x:v>
      </x:c>
      <x:c r="AK275" t="n">
        <x:v>250</x:v>
      </x:c>
      <x:c r="AL275" t="str">
        <x:v>Direkte elektrisk;</x:v>
      </x:c>
      <x:c r="AM275" t="n">
        <x:v>0</x:v>
      </x:c>
      <x:c r="AN275" t="n">
        <x:v>0</x:v>
      </x:c>
      <x:c r="AO275" t="n">
        <x:v>0</x:v>
      </x:c>
      <x:c r="AP275" t="n">
        <x:v>1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str">
        <x:v>energiattester_export_2025-08-14.json | PDF vedlegg side 5-7</x:v>
      </x:c>
      <x:c r="AV275" s="12" t="n">
        <x:f>IF(COUNT(O275,P275,Q275,R275,K275,L275,M275,N275)=8,O275*K275+P275*L275+Q275*M275+R275*N275,"")</x:f>
        <x:v>2002.0500000000002</x:v>
      </x:c>
      <x:c r="AW275" s="12" t="n">
        <x:f>IF(AND(ISNUMBER(AV275),H275&gt;0),AV275/H275,"")</x:f>
        <x:v>0.6458225806451614</x:v>
      </x:c>
      <x:c r="AX275" s="12" t="n">
        <x:f>IF(AND(ISNUMBER(AD275),H275&gt;0),AD275*H275*3600,"")</x:f>
        <x:v>685224000</x:v>
      </x:c>
      <x:c r="AY275" s="12" t="n">
        <x:f>IF(AND(ISNUMBER(Y275),H275&gt;0),Y275*H275,"")</x:f>
        <x:v>356500</x:v>
      </x:c>
      <x:c r="AZ275" t="str">
        <x:v>Høy</x:v>
      </x:c>
    </x:row>
    <x:row r="276" ht="22" customHeight="1">
      <x:c r="A276" t="str">
        <x:v>OT-61512ee10f9b</x:v>
      </x:c>
      <x:c r="B276" t="n">
        <x:v>2015</x:v>
      </x:c>
      <x:c r="C276" t="str">
        <x:v>Forretningsbygg</x:v>
      </x:c>
      <x:c r="D276" t="str">
        <x:v>BUTIKK</x:v>
      </x:c>
      <x:c r="E276" t="str">
        <x:v>E</x:v>
      </x:c>
      <x:c r="F276" t="str">
        <x:v>RED</x:v>
      </x:c>
      <x:c r="G276" t="n">
        <x:v>2005</x:v>
      </x:c>
      <x:c r="H276" t="n">
        <x:v>1050</x:v>
      </x:c>
      <x:c r="I276" t="n">
        <x:v>276.8</x:v>
      </x:c>
      <x:c r="J276" t="str">
        <x:v>PDF/avansert</x:v>
      </x:c>
      <x:c r="K276" t="n">
        <x:v>406</x:v>
      </x:c>
      <x:c r="L276" t="n">
        <x:v>816</x:v>
      </x:c>
      <x:c r="M276" t="n">
        <x:v>836</x:v>
      </x:c>
      <x:c r="N276" t="n">
        <x:v>342</x:v>
      </x:c>
      <x:c r="O276" t="n">
        <x:v>0.21</x:v>
      </x:c>
      <x:c r="P276" t="n">
        <x:v>0.14</x:v>
      </x:c>
      <x:c r="Q276" t="n">
        <x:v>0.13</x:v>
      </x:c>
      <x:c r="R276" t="n">
        <x:v>2</x:v>
      </x:c>
      <x:c r="S276" t="n">
        <x:v>70</x:v>
      </x:c>
      <x:c r="T276" t="n">
        <x:v>70</x:v>
      </x:c>
      <x:c r="U276" t="n">
        <x:v>3</x:v>
      </x:c>
      <x:c r="V276" t="n">
        <x:v>0.15</x:v>
      </x:c>
      <x:c r="W276" t="n">
        <x:v>13</x:v>
      </x:c>
      <x:c r="X276" t="n">
        <x:v>76</x:v>
      </x:c>
      <x:c r="Y276" t="n">
        <x:v>80</x:v>
      </x:c>
      <x:c r="Z276" t="n">
        <x:v>30</x:v>
      </x:c>
      <x:c r="AA276" t="n">
        <x:v>21</x:v>
      </x:c>
      <x:c r="AB276" t="n">
        <x:v>22</x:v>
      </x:c>
      <x:c r="AC276" t="n">
        <x:v>2.5</x:v>
      </x:c>
      <x:c r="AD276" t="n">
        <x:v>72.7</x:v>
      </x:c>
      <x:c r="AE276" t="n">
        <x:v>0.05</x:v>
      </x:c>
      <x:c r="AF276" t="n">
        <x:v>12</x:v>
      </x:c>
      <x:c r="AG276" t="n">
        <x:v>12</x:v>
      </x:c>
      <x:c r="AH276" t="n">
        <x:v>24</x:v>
      </x:c>
      <x:c r="AI276" t="n">
        <x:v>15</x:v>
      </x:c>
      <x:c r="AJ276" t="n">
        <x:v>1</x:v>
      </x:c>
      <x:c r="AK276" t="n">
        <x:v>240</x:v>
      </x:c>
      <x:c r="AL276" t="str">
        <x:v>Direkte elektrisk; Olje;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1</x:v>
      </x:c>
      <x:c r="AR276" t="n">
        <x:v>0</x:v>
      </x:c>
      <x:c r="AS276" t="n">
        <x:v>0</x:v>
      </x:c>
      <x:c r="AT276" t="n">
        <x:v>0</x:v>
      </x:c>
      <x:c r="AU276" t="str">
        <x:v>energiattester_export_2025-08-14.json | PDF vedlegg side 5-7</x:v>
      </x:c>
      <x:c r="AV276" s="12" t="n">
        <x:f>IF(COUNT(O276,P276,Q276,R276,K276,L276,M276,N276)=8,O276*K276+P276*L276+Q276*M276+R276*N276,"")</x:f>
        <x:v>992.1800000000001</x:v>
      </x:c>
      <x:c r="AW276" s="12" t="n">
        <x:f>IF(AND(ISNUMBER(AV276),H276&gt;0),AV276/H276,"")</x:f>
        <x:v>0.9449333333333334</x:v>
      </x:c>
      <x:c r="AX276" s="12" t="n">
        <x:f>IF(AND(ISNUMBER(AD276),H276&gt;0),AD276*H276*3600,"")</x:f>
        <x:v>274806000</x:v>
      </x:c>
      <x:c r="AY276" s="12" t="n">
        <x:f>IF(AND(ISNUMBER(Y276),H276&gt;0),Y276*H276,"")</x:f>
        <x:v>84000</x:v>
      </x:c>
      <x:c r="AZ276" t="str">
        <x:v>Høy</x:v>
      </x:c>
    </x:row>
    <x:row r="277" ht="22" customHeight="1">
      <x:c r="A277" t="str">
        <x:v>OT-07cf09a423d0</x:v>
      </x:c>
      <x:c r="B277" t="n">
        <x:v>2015</x:v>
      </x:c>
      <x:c r="C277" t="str">
        <x:v>Kontorbygg</x:v>
      </x:c>
      <x:c r="D277" t="str">
        <x:v>KONTORER, ENKLE</x:v>
      </x:c>
      <x:c r="E277" t="str">
        <x:v>F</x:v>
      </x:c>
      <x:c r="F277" t="str">
        <x:v>RED</x:v>
      </x:c>
      <x:c r="G277" t="n">
        <x:v>2001</x:v>
      </x:c>
      <x:c r="H277" t="n">
        <x:v>306</x:v>
      </x:c>
      <x:c r="I277" t="n">
        <x:v>258.1</x:v>
      </x:c>
      <x:c r="J277" t="str">
        <x:v>PDF/avansert</x:v>
      </x:c>
      <x:c r="K277" t="n">
        <x:v>182</x:v>
      </x:c>
      <x:c r="L277" t="n">
        <x:v>422</x:v>
      </x:c>
      <x:c r="M277" t="n">
        <x:v>326</x:v>
      </x:c>
      <x:c r="N277" t="n">
        <x:v>45</x:v>
      </x:c>
      <x:c r="O277" t="n">
        <x:v>0.21</x:v>
      </x:c>
      <x:c r="P277" t="n">
        <x:v>0.2</x:v>
      </x:c>
      <x:c r="Q277" t="n">
        <x:v>0.29</x:v>
      </x:c>
      <x:c r="R277" t="n">
        <x:v>1.43</x:v>
      </x:c>
      <x:c r="S277" t="n">
        <x:v>70</x:v>
      </x:c>
      <x:c r="T277" t="n">
        <x:v>70</x:v>
      </x:c>
      <x:c r="U277" t="n">
        <x:v>4</x:v>
      </x:c>
      <x:c r="V277" t="n">
        <x:v>0.55</x:v>
      </x:c>
      <x:c r="W277" t="n">
        <x:v>11</x:v>
      </x:c>
      <x:c r="X277" t="n">
        <x:v>81</x:v>
      </x:c>
      <x:c r="Y277" t="n">
        <x:v>80</x:v>
      </x:c>
      <x:c r="Z277" t="n">
        <x:v>30</x:v>
      </x:c>
      <x:c r="AA277" t="n">
        <x:v>21</x:v>
      </x:c>
      <x:c r="AB277" t="n">
        <x:v>22</x:v>
      </x:c>
      <x:c r="AC277" t="n">
        <x:v>3.5</x:v>
      </x:c>
      <x:c r="AD277" t="n">
        <x:v>88.9</x:v>
      </x:c>
      <x:c r="AE277" t="n">
        <x:v>0.06</x:v>
      </x:c>
      <x:c r="AF277" t="n">
        <x:v>12</x:v>
      </x:c>
      <x:c r="AG277" t="n">
        <x:v>12</x:v>
      </x:c>
      <x:c r="AH277" t="n">
        <x:v>24</x:v>
      </x:c>
      <x:c r="AI277" t="n">
        <x:v>8</x:v>
      </x:c>
      <x:c r="AJ277" t="n">
        <x:v>11</x:v>
      </x:c>
      <x:c r="AK277" t="n">
        <x:v>250</x:v>
      </x:c>
      <x:c r="AL277" t="str">
        <x:v>Direkte elektrisk;</x:v>
      </x:c>
      <x:c r="AM277" t="n">
        <x:v>0</x:v>
      </x:c>
      <x:c r="AN277" t="n">
        <x:v>0</x:v>
      </x:c>
      <x:c r="AO277" t="n">
        <x:v>1</x:v>
      </x:c>
      <x:c r="AP277" t="n">
        <x:v>0</x:v>
      </x:c>
      <x:c r="AQ277" t="n">
        <x:v>0</x:v>
      </x:c>
      <x:c r="AR277" t="n">
        <x:v>1</x:v>
      </x:c>
      <x:c r="AS277" t="n">
        <x:v>1</x:v>
      </x:c>
      <x:c r="AT277" t="n">
        <x:v>1</x:v>
      </x:c>
      <x:c r="AU277" t="str">
        <x:v>energiattester_export_2025-08-14.json | PDF vedlegg side 5-7</x:v>
      </x:c>
      <x:c r="AV277" s="12" t="n">
        <x:f>IF(COUNT(O277,P277,Q277,R277,K277,L277,M277,N277)=8,O277*K277+P277*L277+Q277*M277+R277*N277,"")</x:f>
        <x:v>281.51</x:v>
      </x:c>
      <x:c r="AW277" s="12" t="n">
        <x:f>IF(AND(ISNUMBER(AV277),H277&gt;0),AV277/H277,"")</x:f>
        <x:v>0.9199673202614379</x:v>
      </x:c>
      <x:c r="AX277" s="12" t="n">
        <x:f>IF(AND(ISNUMBER(AD277),H277&gt;0),AD277*H277*3600,"")</x:f>
        <x:v>97932240</x:v>
      </x:c>
      <x:c r="AY277" s="12" t="n">
        <x:f>IF(AND(ISNUMBER(Y277),H277&gt;0),Y277*H277,"")</x:f>
        <x:v>24480</x:v>
      </x:c>
      <x:c r="AZ277" t="str">
        <x:v>Høy</x:v>
      </x:c>
    </x:row>
    <x:row r="278" ht="22" customHeight="1">
      <x:c r="A278" t="str">
        <x:v>OT-f8254b7386ad</x:v>
      </x:c>
      <x:c r="B278" t="n">
        <x:v>2015</x:v>
      </x:c>
      <x:c r="C278" t="str">
        <x:v>Kontorbygg</x:v>
      </x:c>
      <x:c r="D278" t="str">
        <x:v>KONTORER, MED VENTILASJON OG KJØLEANLEGG</x:v>
      </x:c>
      <x:c r="E278" t="str">
        <x:v>C</x:v>
      </x:c>
      <x:c r="F278" t="str">
        <x:v>RED</x:v>
      </x:c>
      <x:c r="G278" t="n">
        <x:v>1999</x:v>
      </x:c>
      <x:c r="H278" t="n">
        <x:v>2937</x:v>
      </x:c>
      <x:c r="I278" t="n">
        <x:v>1</x:v>
      </x:c>
      <x:c r="J278" t="str">
        <x:v>PDF/avansert</x:v>
      </x:c>
      <x:c r="K278" t="n">
        <x:v>627</x:v>
      </x:c>
      <x:c r="L278" t="n">
        <x:v>1898</x:v>
      </x:c>
      <x:c r="M278" t="n">
        <x:v>0</x:v>
      </x:c>
      <x:c r="N278" t="n">
        <x:v>291</x:v>
      </x:c>
      <x:c r="O278" t="n">
        <x:v>0.22</x:v>
      </x:c>
      <x:c r="P278" t="n">
        <x:v>0.13</x:v>
      </x:c>
      <x:c r="Q278" t="n">
        <x:v>0</x:v>
      </x:c>
      <x:c r="R278" t="n">
        <x:v>1.6</x:v>
      </x:c>
      <x:c r="S278" t="n">
        <x:v>72</x:v>
      </x:c>
      <x:c r="T278" t="n">
        <x:v>72</x:v>
      </x:c>
      <x:c r="U278" t="n">
        <x:v>2.68</x:v>
      </x:c>
      <x:c r="V278" t="n">
        <x:v>0.42</x:v>
      </x:c>
      <x:c r="W278" t="n">
        <x:v>7.2</x:v>
      </x:c>
      <x:c r="X278" t="n">
        <x:v>81</x:v>
      </x:c>
      <x:c r="Y278" t="n">
        <x:v>80</x:v>
      </x:c>
      <x:c r="Z278" t="n">
        <x:v>40</x:v>
      </x:c>
      <x:c r="AA278" t="n">
        <x:v>21</x:v>
      </x:c>
      <x:c r="AB278" t="n">
        <x:v>22</x:v>
      </x:c>
      <x:c r="AC278" t="n">
        <x:v>3.5</x:v>
      </x:c>
      <x:c r="AD278" t="n">
        <x:v>70.5</x:v>
      </x:c>
      <x:c r="AE278" t="n">
        <x:v>0.09</x:v>
      </x:c>
      <x:c r="AF278"/>
      <x:c r="AG278"/>
      <x:c r="AH278"/>
      <x:c r="AI278"/>
      <x:c r="AJ278"/>
      <x:c r="AK278" t="n">
        <x:v>250</x:v>
      </x:c>
      <x:c r="AL278"/>
      <x:c r="AM278" t="n">
        <x:v>0</x:v>
      </x:c>
      <x:c r="AN278" t="n">
        <x:v>0</x:v>
      </x:c>
      <x:c r="AO278" t="n">
        <x:v>0</x:v>
      </x:c>
      <x:c r="AP278" t="n">
        <x:v>1</x:v>
      </x:c>
      <x:c r="AQ278" t="n">
        <x:v>0</x:v>
      </x:c>
      <x:c r="AR278" t="n">
        <x:v>1</x:v>
      </x:c>
      <x:c r="AS278" t="n">
        <x:v>1</x:v>
      </x:c>
      <x:c r="AT278" t="n">
        <x:v>1</x:v>
      </x:c>
      <x:c r="AU278" t="str">
        <x:v>energiattester_export_2025-08-14.json | PDF vedlegg side 5-7</x:v>
      </x:c>
      <x:c r="AV278" s="12" t="n">
        <x:f>IF(COUNT(O278,P278,Q278,R278,K278,L278,M278,N278)=8,O278*K278+P278*L278+Q278*M278+R278*N278,"")</x:f>
        <x:v>850.28</x:v>
      </x:c>
      <x:c r="AW278" s="12" t="n">
        <x:f>IF(AND(ISNUMBER(AV278),H278&gt;0),AV278/H278,"")</x:f>
        <x:v>0.2895062989445012</x:v>
      </x:c>
      <x:c r="AX278" s="12" t="n">
        <x:f>IF(AND(ISNUMBER(AD278),H278&gt;0),AD278*H278*3600,"")</x:f>
        <x:v>745410600</x:v>
      </x:c>
      <x:c r="AY278" s="12" t="n">
        <x:f>IF(AND(ISNUMBER(Y278),H278&gt;0),Y278*H278,"")</x:f>
        <x:v>234960</x:v>
      </x:c>
      <x:c r="AZ278" t="str">
        <x:v>Høy</x:v>
      </x:c>
    </x:row>
    <x:row r="279" ht="22" customHeight="1">
      <x:c r="A279" t="str">
        <x:v>OT-0907765c935b</x:v>
      </x:c>
      <x:c r="B279" t="n">
        <x:v>2015</x:v>
      </x:c>
      <x:c r="C279" t="str">
        <x:v>Kontorbygg</x:v>
      </x:c>
      <x:c r="D279" t="str">
        <x:v>KONTORER, ENKLE</x:v>
      </x:c>
      <x:c r="E279" t="str">
        <x:v>D</x:v>
      </x:c>
      <x:c r="F279" t="str">
        <x:v>RED</x:v>
      </x:c>
      <x:c r="G279" t="n">
        <x:v>2000</x:v>
      </x:c>
      <x:c r="H279" t="n">
        <x:v>522</x:v>
      </x:c>
      <x:c r="I279" t="n">
        <x:v>179.2</x:v>
      </x:c>
      <x:c r="J279" t="str">
        <x:v>PDF/avansert</x:v>
      </x:c>
      <x:c r="K279" t="n">
        <x:v>204</x:v>
      </x:c>
      <x:c r="L279" t="n">
        <x:v>222</x:v>
      </x:c>
      <x:c r="M279" t="n">
        <x:v>222</x:v>
      </x:c>
      <x:c r="N279" t="n">
        <x:v>24</x:v>
      </x:c>
      <x:c r="O279" t="n">
        <x:v>0.25</x:v>
      </x:c>
      <x:c r="P279" t="n">
        <x:v>0.2</x:v>
      </x:c>
      <x:c r="Q279" t="n">
        <x:v>0.18</x:v>
      </x:c>
      <x:c r="R279" t="n">
        <x:v>2.57</x:v>
      </x:c>
      <x:c r="S279" t="n">
        <x:v>71</x:v>
      </x:c>
      <x:c r="T279" t="n">
        <x:v>71</x:v>
      </x:c>
      <x:c r="U279" t="n">
        <x:v>2.6</x:v>
      </x:c>
      <x:c r="V279" t="n">
        <x:v>0.74</x:v>
      </x:c>
      <x:c r="W279" t="n">
        <x:v>7</x:v>
      </x:c>
      <x:c r="X279" t="n">
        <x:v>91</x:v>
      </x:c>
      <x:c r="Y279" t="n">
        <x:v>105</x:v>
      </x:c>
      <x:c r="Z279" t="n">
        <x:v>0</x:v>
      </x:c>
      <x:c r="AA279" t="n">
        <x:v>21</x:v>
      </x:c>
      <x:c r="AB279" t="n">
        <x:v>22</x:v>
      </x:c>
      <x:c r="AC279" t="n">
        <x:v>4.5</x:v>
      </x:c>
      <x:c r="AD279" t="n">
        <x:v>69.9</x:v>
      </x:c>
      <x:c r="AE279" t="n">
        <x:v>0.05</x:v>
      </x:c>
      <x:c r="AF279" t="n">
        <x:v>12</x:v>
      </x:c>
      <x:c r="AG279" t="n">
        <x:v>12</x:v>
      </x:c>
      <x:c r="AH279" t="n">
        <x:v>24</x:v>
      </x:c>
      <x:c r="AI279" t="n">
        <x:v>8</x:v>
      </x:c>
      <x:c r="AJ279" t="n">
        <x:v>11</x:v>
      </x:c>
      <x:c r="AK279" t="n">
        <x:v>250</x:v>
      </x:c>
      <x:c r="AL279" t="str">
        <x:v>Direkte elektrisk;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1</x:v>
      </x:c>
      <x:c r="AS279" t="n">
        <x:v>1</x:v>
      </x:c>
      <x:c r="AT279" t="n">
        <x:v>1</x:v>
      </x:c>
      <x:c r="AU279" t="str">
        <x:v>energiattester_export_2025-08-14.json | PDF vedlegg side 5-7</x:v>
      </x:c>
      <x:c r="AV279" s="12" t="n">
        <x:f>IF(COUNT(O279,P279,Q279,R279,K279,L279,M279,N279)=8,O279*K279+P279*L279+Q279*M279+R279*N279,"")</x:f>
        <x:v>197.04000000000002</x:v>
      </x:c>
      <x:c r="AW279" s="12" t="n">
        <x:f>IF(AND(ISNUMBER(AV279),H279&gt;0),AV279/H279,"")</x:f>
        <x:v>0.37747126436781614</x:v>
      </x:c>
      <x:c r="AX279" s="12" t="n">
        <x:f>IF(AND(ISNUMBER(AD279),H279&gt;0),AD279*H279*3600,"")</x:f>
        <x:v>131356080.00000001</x:v>
      </x:c>
      <x:c r="AY279" s="12" t="n">
        <x:f>IF(AND(ISNUMBER(Y279),H279&gt;0),Y279*H279,"")</x:f>
        <x:v>54810</x:v>
      </x:c>
      <x:c r="AZ279" t="str">
        <x:v>Høy</x:v>
      </x:c>
    </x:row>
    <x:row r="280" ht="22" customHeight="1">
      <x:c r="A280" t="str">
        <x:v>OT-ac4e53ca6815</x:v>
      </x:c>
      <x:c r="B280" t="n">
        <x:v>2015</x:v>
      </x:c>
      <x:c r="C280" t="str">
        <x:v>Kontorbygg</x:v>
      </x:c>
      <x:c r="D280" t="str">
        <x:v>KONTORER, ENKLE</x:v>
      </x:c>
      <x:c r="E280" t="str">
        <x:v>G</x:v>
      </x:c>
      <x:c r="F280" t="str">
        <x:v>RED</x:v>
      </x:c>
      <x:c r="G280" t="n">
        <x:v>1957</x:v>
      </x:c>
      <x:c r="H280" t="n">
        <x:v>251</x:v>
      </x:c>
      <x:c r="I280" t="n">
        <x:v>364.7</x:v>
      </x:c>
      <x:c r="J280" t="str">
        <x:v>PDF/avansert</x:v>
      </x:c>
      <x:c r="K280" t="n">
        <x:v>197</x:v>
      </x:c>
      <x:c r="L280" t="n">
        <x:v>137</x:v>
      </x:c>
      <x:c r="M280" t="n">
        <x:v>125</x:v>
      </x:c>
      <x:c r="N280" t="n">
        <x:v>25</x:v>
      </x:c>
      <x:c r="O280" t="n">
        <x:v>0.22</x:v>
      </x:c>
      <x:c r="P280" t="n">
        <x:v>0.39</x:v>
      </x:c>
      <x:c r="Q280" t="n">
        <x:v>0.42</x:v>
      </x:c>
      <x:c r="R280" t="n">
        <x:v>3.32</x:v>
      </x:c>
      <x:c r="S280" t="n">
        <x:v>0</x:v>
      </x:c>
      <x:c r="T280" t="n">
        <x:v>0</x:v>
      </x:c>
      <x:c r="U280" t="n">
        <x:v>2</x:v>
      </x:c>
      <x:c r="V280" t="n">
        <x:v>0.43</x:v>
      </x:c>
      <x:c r="W280" t="n">
        <x:v>7</x:v>
      </x:c>
      <x:c r="X280" t="n">
        <x:v>66</x:v>
      </x:c>
      <x:c r="Y280" t="n">
        <x:v>50</x:v>
      </x:c>
      <x:c r="Z280" t="n">
        <x:v>0</x:v>
      </x:c>
      <x:c r="AA280" t="n">
        <x:v>21</x:v>
      </x:c>
      <x:c r="AB280" t="n">
        <x:v>22</x:v>
      </x:c>
      <x:c r="AC280" t="n">
        <x:v>2.5</x:v>
      </x:c>
      <x:c r="AD280" t="n">
        <x:v>160.6</x:v>
      </x:c>
      <x:c r="AE280" t="n">
        <x:v>0.12</x:v>
      </x:c>
      <x:c r="AF280" t="n">
        <x:v>12</x:v>
      </x:c>
      <x:c r="AG280" t="n">
        <x:v>12</x:v>
      </x:c>
      <x:c r="AH280" t="n">
        <x:v>24</x:v>
      </x:c>
      <x:c r="AI280" t="n">
        <x:v>8</x:v>
      </x:c>
      <x:c r="AJ280" t="n">
        <x:v>11</x:v>
      </x:c>
      <x:c r="AK280" t="n">
        <x:v>250</x:v>
      </x:c>
      <x:c r="AL280" t="str">
        <x:v>Direkte elektrisk;</x:v>
      </x:c>
      <x:c r="AM280" t="n">
        <x:v>0</x:v>
      </x:c>
      <x:c r="AN280" t="n">
        <x:v>0</x:v>
      </x:c>
      <x:c r="AO280" t="n">
        <x:v>1</x:v>
      </x:c>
      <x:c r="AP280" t="n">
        <x:v>1</x:v>
      </x:c>
      <x:c r="AQ280" t="n">
        <x:v>0</x:v>
      </x:c>
      <x:c r="AR280" t="n">
        <x:v>1</x:v>
      </x:c>
      <x:c r="AS280" t="n">
        <x:v>1</x:v>
      </x:c>
      <x:c r="AT280" t="n">
        <x:v>1</x:v>
      </x:c>
      <x:c r="AU280" t="str">
        <x:v>energiattester_export_2025-08-14.json | PDF vedlegg side 5-7</x:v>
      </x:c>
      <x:c r="AV280" s="12" t="n">
        <x:f>IF(COUNT(O280,P280,Q280,R280,K280,L280,M280,N280)=8,O280*K280+P280*L280+Q280*M280+R280*N280,"")</x:f>
        <x:v>232.27</x:v>
      </x:c>
      <x:c r="AW280" s="12" t="n">
        <x:f>IF(AND(ISNUMBER(AV280),H280&gt;0),AV280/H280,"")</x:f>
        <x:v>0.9253784860557769</x:v>
      </x:c>
      <x:c r="AX280" s="12" t="n">
        <x:f>IF(AND(ISNUMBER(AD280),H280&gt;0),AD280*H280*3600,"")</x:f>
        <x:v>145118160</x:v>
      </x:c>
      <x:c r="AY280" s="12" t="n">
        <x:f>IF(AND(ISNUMBER(Y280),H280&gt;0),Y280*H280,"")</x:f>
        <x:v>12550</x:v>
      </x:c>
      <x:c r="AZ280" t="str">
        <x:v>Høy</x:v>
      </x:c>
    </x:row>
    <x:row r="281" ht="22" customHeight="1">
      <x:c r="A281" t="str">
        <x:v>OT-d778ab7aa166</x:v>
      </x:c>
      <x:c r="B281" t="n">
        <x:v>2015</x:v>
      </x:c>
      <x:c r="C281" t="str">
        <x:v>Kontorbygg</x:v>
      </x:c>
      <x:c r="D281" t="str">
        <x:v>KONTORER, ENKLE</x:v>
      </x:c>
      <x:c r="E281" t="str">
        <x:v>G</x:v>
      </x:c>
      <x:c r="F281" t="str">
        <x:v>RED</x:v>
      </x:c>
      <x:c r="G281" t="n">
        <x:v>1993</x:v>
      </x:c>
      <x:c r="H281" t="n">
        <x:v>512</x:v>
      </x:c>
      <x:c r="I281" t="n">
        <x:v>327.5</x:v>
      </x:c>
      <x:c r="J281" t="str">
        <x:v>PDF/avansert</x:v>
      </x:c>
      <x:c r="K281" t="n">
        <x:v>259</x:v>
      </x:c>
      <x:c r="L281" t="n">
        <x:v>479</x:v>
      </x:c>
      <x:c r="M281" t="n">
        <x:v>256</x:v>
      </x:c>
      <x:c r="N281" t="n">
        <x:v>63</x:v>
      </x:c>
      <x:c r="O281" t="n">
        <x:v>1.08</x:v>
      </x:c>
      <x:c r="P281" t="n">
        <x:v>0.18</x:v>
      </x:c>
      <x:c r="Q281" t="n">
        <x:v>0.24</x:v>
      </x:c>
      <x:c r="R281" t="n">
        <x:v>2.35</x:v>
      </x:c>
      <x:c r="S281" t="n">
        <x:v>53</x:v>
      </x:c>
      <x:c r="T281" t="n">
        <x:v>53</x:v>
      </x:c>
      <x:c r="U281" t="n">
        <x:v>4</x:v>
      </x:c>
      <x:c r="V281" t="n">
        <x:v>0.75</x:v>
      </x:c>
      <x:c r="W281" t="n">
        <x:v>8</x:v>
      </x:c>
      <x:c r="X281" t="n">
        <x:v>81</x:v>
      </x:c>
      <x:c r="Y281" t="n">
        <x:v>77</x:v>
      </x:c>
      <x:c r="Z281" t="n">
        <x:v>30</x:v>
      </x:c>
      <x:c r="AA281" t="n">
        <x:v>21</x:v>
      </x:c>
      <x:c r="AB281" t="n">
        <x:v>22</x:v>
      </x:c>
      <x:c r="AC281" t="n">
        <x:v>3.5</x:v>
      </x:c>
      <x:c r="AD281" t="n">
        <x:v>30.5</x:v>
      </x:c>
      <x:c r="AE281" t="n">
        <x:v>0.06</x:v>
      </x:c>
      <x:c r="AF281" t="n">
        <x:v>12</x:v>
      </x:c>
      <x:c r="AG281" t="n">
        <x:v>12</x:v>
      </x:c>
      <x:c r="AH281" t="n">
        <x:v>24</x:v>
      </x:c>
      <x:c r="AI281" t="n">
        <x:v>8</x:v>
      </x:c>
      <x:c r="AJ281" t="n">
        <x:v>11</x:v>
      </x:c>
      <x:c r="AK281" t="n">
        <x:v>250</x:v>
      </x:c>
      <x:c r="AL281" t="str">
        <x:v>Direkte elektrisk;</x:v>
      </x:c>
      <x:c r="AM281" t="n">
        <x:v>0</x:v>
      </x:c>
      <x:c r="AN281" t="n">
        <x:v>0</x:v>
      </x:c>
      <x:c r="AO281" t="n">
        <x:v>1</x:v>
      </x:c>
      <x:c r="AP281" t="n">
        <x:v>0</x:v>
      </x:c>
      <x:c r="AQ281" t="n">
        <x:v>0</x:v>
      </x:c>
      <x:c r="AR281" t="n">
        <x:v>1</x:v>
      </x:c>
      <x:c r="AS281" t="n">
        <x:v>1</x:v>
      </x:c>
      <x:c r="AT281" t="n">
        <x:v>1</x:v>
      </x:c>
      <x:c r="AU281" t="str">
        <x:v>energiattester_export_2025-08-14.json | PDF vedlegg side 5-7</x:v>
      </x:c>
      <x:c r="AV281" s="12" t="n">
        <x:f>IF(COUNT(O281,P281,Q281,R281,K281,L281,M281,N281)=8,O281*K281+P281*L281+Q281*M281+R281*N281,"")</x:f>
        <x:v>575.4300000000001</x:v>
      </x:c>
      <x:c r="AW281" s="12" t="n">
        <x:f>IF(AND(ISNUMBER(AV281),H281&gt;0),AV281/H281,"")</x:f>
        <x:v>1.1238867187500001</x:v>
      </x:c>
      <x:c r="AX281" s="12" t="n">
        <x:f>IF(AND(ISNUMBER(AD281),H281&gt;0),AD281*H281*3600,"")</x:f>
        <x:v>56217600</x:v>
      </x:c>
      <x:c r="AY281" s="12" t="n">
        <x:f>IF(AND(ISNUMBER(Y281),H281&gt;0),Y281*H281,"")</x:f>
        <x:v>39424</x:v>
      </x:c>
      <x:c r="AZ281" t="str">
        <x:v>Høy</x:v>
      </x:c>
    </x:row>
    <x:row r="282" ht="22" customHeight="1">
      <x:c r="A282" t="str">
        <x:v>OT-20cef4e88fbf</x:v>
      </x:c>
      <x:c r="B282" t="n">
        <x:v>2015</x:v>
      </x:c>
      <x:c r="C282" t="str">
        <x:v>Kontorbygg</x:v>
      </x:c>
      <x:c r="D282" t="str">
        <x:v>KONTORER, MED VENTILASJON OG KJØLEANLEGG</x:v>
      </x:c>
      <x:c r="E282" t="str">
        <x:v>D</x:v>
      </x:c>
      <x:c r="F282" t="str">
        <x:v>RED</x:v>
      </x:c>
      <x:c r="G282" t="n">
        <x:v>2000</x:v>
      </x:c>
      <x:c r="H282" t="n">
        <x:v>7296</x:v>
      </x:c>
      <x:c r="I282" t="n">
        <x:v>178.2</x:v>
      </x:c>
      <x:c r="J282" t="str">
        <x:v>PDF/avansert</x:v>
      </x:c>
      <x:c r="K282" t="n">
        <x:v>2596</x:v>
      </x:c>
      <x:c r="L282" t="n">
        <x:v>3577</x:v>
      </x:c>
      <x:c r="M282" t="n">
        <x:v>3813</x:v>
      </x:c>
      <x:c r="N282" t="n">
        <x:v>1603</x:v>
      </x:c>
      <x:c r="O282" t="n">
        <x:v>0.22</x:v>
      </x:c>
      <x:c r="P282" t="n">
        <x:v>0.15</x:v>
      </x:c>
      <x:c r="Q282" t="n">
        <x:v>0.11</x:v>
      </x:c>
      <x:c r="R282" t="n">
        <x:v>1.48</x:v>
      </x:c>
      <x:c r="S282" t="n">
        <x:v>66</x:v>
      </x:c>
      <x:c r="T282" t="n">
        <x:v>66</x:v>
      </x:c>
      <x:c r="U282" t="n">
        <x:v>3.63</x:v>
      </x:c>
      <x:c r="V282" t="n">
        <x:v>1.12</x:v>
      </x:c>
      <x:c r="W282" t="n">
        <x:v>7.01</x:v>
      </x:c>
      <x:c r="X282" t="n">
        <x:v>84</x:v>
      </x:c>
      <x:c r="Y282" t="n">
        <x:v>180</x:v>
      </x:c>
      <x:c r="Z282" t="n">
        <x:v>21</x:v>
      </x:c>
      <x:c r="AA282" t="n">
        <x:v>21</x:v>
      </x:c>
      <x:c r="AB282" t="n">
        <x:v>22</x:v>
      </x:c>
      <x:c r="AC282" t="n">
        <x:v>2.19</x:v>
      </x:c>
      <x:c r="AD282" t="n">
        <x:v>61.2</x:v>
      </x:c>
      <x:c r="AE282" t="n">
        <x:v>0.05</x:v>
      </x:c>
      <x:c r="AF282" t="n">
        <x:v>12</x:v>
      </x:c>
      <x:c r="AG282" t="n">
        <x:v>12</x:v>
      </x:c>
      <x:c r="AH282" t="n">
        <x:v>24</x:v>
      </x:c>
      <x:c r="AI282" t="n">
        <x:v>8</x:v>
      </x:c>
      <x:c r="AJ282" t="n">
        <x:v>11</x:v>
      </x:c>
      <x:c r="AK282" t="n">
        <x:v>250</x:v>
      </x:c>
      <x:c r="AL282" t="str">
        <x:v>Direkte elektrisk; Gass;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str">
        <x:v>energiattester_export_2025-08-14.json | PDF vedlegg side 5-7</x:v>
      </x:c>
      <x:c r="AV282" s="12" t="n">
        <x:f>IF(COUNT(O282,P282,Q282,R282,K282,L282,M282,N282)=8,O282*K282+P282*L282+Q282*M282+R282*N282,"")</x:f>
        <x:v>3899.54</x:v>
      </x:c>
      <x:c r="AW282" s="12" t="n">
        <x:f>IF(AND(ISNUMBER(AV282),H282&gt;0),AV282/H282,"")</x:f>
        <x:v>0.5344764254385965</x:v>
      </x:c>
      <x:c r="AX282" s="12" t="n">
        <x:f>IF(AND(ISNUMBER(AD282),H282&gt;0),AD282*H282*3600,"")</x:f>
        <x:v>1607454720</x:v>
      </x:c>
      <x:c r="AY282" s="12" t="n">
        <x:f>IF(AND(ISNUMBER(Y282),H282&gt;0),Y282*H282,"")</x:f>
        <x:v>1313280</x:v>
      </x:c>
      <x:c r="AZ282" t="str">
        <x:v>Høy</x:v>
      </x:c>
    </x:row>
    <x:row r="283" ht="22" customHeight="1">
      <x:c r="A283" t="str">
        <x:v>OT-83be679e6d4e</x:v>
      </x:c>
      <x:c r="B283" t="n">
        <x:v>2015</x:v>
      </x:c>
      <x:c r="C283" t="str">
        <x:v>Forretningsbygg</x:v>
      </x:c>
      <x:c r="D283" t="str">
        <x:v>BUTIKK</x:v>
      </x:c>
      <x:c r="E283" t="str">
        <x:v>B</x:v>
      </x:c>
      <x:c r="F283" t="str">
        <x:v>ORANGE</x:v>
      </x:c>
      <x:c r="G283" t="n">
        <x:v>2015</x:v>
      </x:c>
      <x:c r="H283" t="n">
        <x:v>1317</x:v>
      </x:c>
      <x:c r="I283" t="n">
        <x:v>129.1</x:v>
      </x:c>
      <x:c r="J283" t="str">
        <x:v>PDF/avansert</x:v>
      </x:c>
      <x:c r="K283" t="n">
        <x:v>196</x:v>
      </x:c>
      <x:c r="L283" t="n">
        <x:v>1101</x:v>
      </x:c>
      <x:c r="M283" t="n">
        <x:v>1078</x:v>
      </x:c>
      <x:c r="N283" t="n">
        <x:v>233</x:v>
      </x:c>
      <x:c r="O283" t="n">
        <x:v>0.19</x:v>
      </x:c>
      <x:c r="P283" t="n">
        <x:v>0.16</x:v>
      </x:c>
      <x:c r="Q283" t="n">
        <x:v>0.12</x:v>
      </x:c>
      <x:c r="R283" t="n">
        <x:v>1.11</x:v>
      </x:c>
      <x:c r="S283" t="n">
        <x:v>80</x:v>
      </x:c>
      <x:c r="T283" t="n">
        <x:v>80</x:v>
      </x:c>
      <x:c r="U283" t="n">
        <x:v>2</x:v>
      </x:c>
      <x:c r="V283" t="n">
        <x:v>0.15</x:v>
      </x:c>
      <x:c r="W283" t="n">
        <x:v>13</x:v>
      </x:c>
      <x:c r="X283" t="n">
        <x:v>172</x:v>
      </x:c>
      <x:c r="Y283" t="n">
        <x:v>80</x:v>
      </x:c>
      <x:c r="Z283" t="n">
        <x:v>0</x:v>
      </x:c>
      <x:c r="AA283" t="n">
        <x:v>21</x:v>
      </x:c>
      <x:c r="AB283" t="n">
        <x:v>22</x:v>
      </x:c>
      <x:c r="AC283" t="n">
        <x:v>1.1</x:v>
      </x:c>
      <x:c r="AD283" t="n">
        <x:v>125.6</x:v>
      </x:c>
      <x:c r="AE283" t="n">
        <x:v>0.09</x:v>
      </x:c>
      <x:c r="AF283" t="n">
        <x:v>12</x:v>
      </x:c>
      <x:c r="AG283" t="n">
        <x:v>12</x:v>
      </x:c>
      <x:c r="AH283" t="n">
        <x:v>24</x:v>
      </x:c>
      <x:c r="AI283" t="n">
        <x:v>15</x:v>
      </x:c>
      <x:c r="AJ283" t="n">
        <x:v>1</x:v>
      </x:c>
      <x:c r="AK283" t="n">
        <x:v>240</x:v>
      </x:c>
      <x:c r="AL283" t="str">
        <x:v>Direkte elektrisk; Varmepumpe;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1</x:v>
      </x:c>
      <x:c r="AS283" t="n">
        <x:v>1</x:v>
      </x:c>
      <x:c r="AT283" t="n">
        <x:v>1</x:v>
      </x:c>
      <x:c r="AU283" t="str">
        <x:v>energiattester_export_2025-08-14.json | PDF vedlegg side 5-7</x:v>
      </x:c>
      <x:c r="AV283" s="12" t="n">
        <x:f>IF(COUNT(O283,P283,Q283,R283,K283,L283,M283,N283)=8,O283*K283+P283*L283+Q283*M283+R283*N283,"")</x:f>
        <x:v>601.39</x:v>
      </x:c>
      <x:c r="AW283" s="12" t="n">
        <x:f>IF(AND(ISNUMBER(AV283),H283&gt;0),AV283/H283,"")</x:f>
        <x:v>0.45663629460895977</x:v>
      </x:c>
      <x:c r="AX283" s="12" t="n">
        <x:f>IF(AND(ISNUMBER(AD283),H283&gt;0),AD283*H283*3600,"")</x:f>
        <x:v>595494719.9999999</x:v>
      </x:c>
      <x:c r="AY283" s="12" t="n">
        <x:f>IF(AND(ISNUMBER(Y283),H283&gt;0),Y283*H283,"")</x:f>
        <x:v>105360</x:v>
      </x:c>
      <x:c r="AZ283" t="str">
        <x:v>Høy</x:v>
      </x:c>
    </x:row>
    <x:row r="284" ht="22" customHeight="1">
      <x:c r="A284" t="str">
        <x:v>OT-738606cf17c1</x:v>
      </x:c>
      <x:c r="B284" t="n">
        <x:v>2015</x:v>
      </x:c>
      <x:c r="C284" t="str">
        <x:v>Kontorbygg</x:v>
      </x:c>
      <x:c r="D284" t="str">
        <x:v>KONTORER, ENKLE</x:v>
      </x:c>
      <x:c r="E284" t="str">
        <x:v>C</x:v>
      </x:c>
      <x:c r="F284" t="str">
        <x:v>RED</x:v>
      </x:c>
      <x:c r="G284" t="n">
        <x:v>2000</x:v>
      </x:c>
      <x:c r="H284" t="n">
        <x:v>491</x:v>
      </x:c>
      <x:c r="I284" t="n">
        <x:v>117.3</x:v>
      </x:c>
      <x:c r="J284" t="str">
        <x:v>PDF/avansert</x:v>
      </x:c>
      <x:c r="K284" t="n">
        <x:v>87</x:v>
      </x:c>
      <x:c r="L284" t="n">
        <x:v>265</x:v>
      </x:c>
      <x:c r="M284" t="n">
        <x:v>197</x:v>
      </x:c>
      <x:c r="N284" t="n">
        <x:v>57</x:v>
      </x:c>
      <x:c r="O284" t="n">
        <x:v>0.22</x:v>
      </x:c>
      <x:c r="P284" t="n">
        <x:v>0.15</x:v>
      </x:c>
      <x:c r="Q284" t="n">
        <x:v>0.09</x:v>
      </x:c>
      <x:c r="R284" t="n">
        <x:v>1.79</x:v>
      </x:c>
      <x:c r="S284" t="n">
        <x:v>70</x:v>
      </x:c>
      <x:c r="T284" t="n">
        <x:v>70</x:v>
      </x:c>
      <x:c r="U284" t="n">
        <x:v>3</x:v>
      </x:c>
      <x:c r="V284" t="n">
        <x:v>0</x:v>
      </x:c>
      <x:c r="W284" t="n">
        <x:v>7</x:v>
      </x:c>
      <x:c r="X284" t="n">
        <x:v>91</x:v>
      </x:c>
      <x:c r="Y284" t="n">
        <x:v>150</x:v>
      </x:c>
      <x:c r="Z284" t="n">
        <x:v>30</x:v>
      </x:c>
      <x:c r="AA284" t="n">
        <x:v>21</x:v>
      </x:c>
      <x:c r="AB284" t="n">
        <x:v>22</x:v>
      </x:c>
      <x:c r="AC284" t="n">
        <x:v>1.5</x:v>
      </x:c>
      <x:c r="AD284" t="n">
        <x:v>72.5</x:v>
      </x:c>
      <x:c r="AE284" t="n">
        <x:v>0.09</x:v>
      </x:c>
      <x:c r="AF284" t="n">
        <x:v>12</x:v>
      </x:c>
      <x:c r="AG284" t="n">
        <x:v>12</x:v>
      </x:c>
      <x:c r="AH284" t="n">
        <x:v>24</x:v>
      </x:c>
      <x:c r="AI284" t="n">
        <x:v>8</x:v>
      </x:c>
      <x:c r="AJ284" t="n">
        <x:v>11</x:v>
      </x:c>
      <x:c r="AK284" t="n">
        <x:v>240</x:v>
      </x:c>
      <x:c r="AL284" t="str">
        <x:v>Direkte elektrisk;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1</x:v>
      </x:c>
      <x:c r="AT284" t="n">
        <x:v>1</x:v>
      </x:c>
      <x:c r="AU284" t="str">
        <x:v>energiattester_export_2025-08-14.json | PDF vedlegg side 5-7</x:v>
      </x:c>
      <x:c r="AV284" s="12" t="n">
        <x:f>IF(COUNT(O284,P284,Q284,R284,K284,L284,M284,N284)=8,O284*K284+P284*L284+Q284*M284+R284*N284,"")</x:f>
        <x:v>178.65</x:v>
      </x:c>
      <x:c r="AW284" s="12" t="n">
        <x:f>IF(AND(ISNUMBER(AV284),H284&gt;0),AV284/H284,"")</x:f>
        <x:v>0.3638492871690428</x:v>
      </x:c>
      <x:c r="AX284" s="12" t="n">
        <x:f>IF(AND(ISNUMBER(AD284),H284&gt;0),AD284*H284*3600,"")</x:f>
        <x:v>128151000</x:v>
      </x:c>
      <x:c r="AY284" s="12" t="n">
        <x:f>IF(AND(ISNUMBER(Y284),H284&gt;0),Y284*H284,"")</x:f>
        <x:v>73650</x:v>
      </x:c>
      <x:c r="AZ284" t="str">
        <x:v>Høy</x:v>
      </x:c>
    </x:row>
    <x:row r="285" ht="22" customHeight="1">
      <x:c r="A285" t="str">
        <x:v>OT-ae4892a8ae5a</x:v>
      </x:c>
      <x:c r="B285" t="n">
        <x:v>2015</x:v>
      </x:c>
      <x:c r="C285" t="str">
        <x:v>Kontorbygg</x:v>
      </x:c>
      <x:c r="D285" t="str">
        <x:v>KONTORER, ENKLE</x:v>
      </x:c>
      <x:c r="E285" t="str">
        <x:v>D</x:v>
      </x:c>
      <x:c r="F285" t="str">
        <x:v>RED</x:v>
      </x:c>
      <x:c r="G285" t="n">
        <x:v>1960</x:v>
      </x:c>
      <x:c r="H285" t="n">
        <x:v>563</x:v>
      </x:c>
      <x:c r="I285" t="n">
        <x:v>154.2</x:v>
      </x:c>
      <x:c r="J285" t="str">
        <x:v>PDF/avansert</x:v>
      </x:c>
      <x:c r="K285" t="n">
        <x:v>241</x:v>
      </x:c>
      <x:c r="L285" t="n">
        <x:v>246</x:v>
      </x:c>
      <x:c r="M285" t="n">
        <x:v>225</x:v>
      </x:c>
      <x:c r="N285" t="n">
        <x:v>52</x:v>
      </x:c>
      <x:c r="O285" t="n">
        <x:v>0.62</x:v>
      </x:c>
      <x:c r="P285" t="n">
        <x:v>0.2</x:v>
      </x:c>
      <x:c r="Q285" t="n">
        <x:v>0.21</x:v>
      </x:c>
      <x:c r="R285" t="n">
        <x:v>1.81</x:v>
      </x:c>
      <x:c r="S285" t="n">
        <x:v>66</x:v>
      </x:c>
      <x:c r="T285" t="n">
        <x:v>66</x:v>
      </x:c>
      <x:c r="U285" t="n">
        <x:v>4.8</x:v>
      </x:c>
      <x:c r="V285" t="n">
        <x:v>0</x:v>
      </x:c>
      <x:c r="W285" t="n">
        <x:v>5.5</x:v>
      </x:c>
      <x:c r="X285" t="n">
        <x:v>75</x:v>
      </x:c>
      <x:c r="Y285" t="n">
        <x:v>150</x:v>
      </x:c>
      <x:c r="Z285" t="n">
        <x:v>0</x:v>
      </x:c>
      <x:c r="AA285" t="n">
        <x:v>21</x:v>
      </x:c>
      <x:c r="AB285" t="n">
        <x:v>22</x:v>
      </x:c>
      <x:c r="AC285" t="n">
        <x:v>1.5</x:v>
      </x:c>
      <x:c r="AD285" t="n">
        <x:v>94.2</x:v>
      </x:c>
      <x:c r="AE285" t="n">
        <x:v>0.12</x:v>
      </x:c>
      <x:c r="AF285" t="n">
        <x:v>12</x:v>
      </x:c>
      <x:c r="AG285" t="n">
        <x:v>12</x:v>
      </x:c>
      <x:c r="AH285" t="n">
        <x:v>24</x:v>
      </x:c>
      <x:c r="AI285" t="n">
        <x:v>8</x:v>
      </x:c>
      <x:c r="AJ285" t="n">
        <x:v>11</x:v>
      </x:c>
      <x:c r="AK285" t="n">
        <x:v>250</x:v>
      </x:c>
      <x:c r="AL285" t="str">
        <x:v>Direkte elektrisk; Olje;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1</x:v>
      </x:c>
      <x:c r="AT285" t="n">
        <x:v>1</x:v>
      </x:c>
      <x:c r="AU285" t="str">
        <x:v>energiattester_export_2025-08-14.json | PDF vedlegg side 5-7</x:v>
      </x:c>
      <x:c r="AV285" s="12" t="n">
        <x:f>IF(COUNT(O285,P285,Q285,R285,K285,L285,M285,N285)=8,O285*K285+P285*L285+Q285*M285+R285*N285,"")</x:f>
        <x:v>339.99</x:v>
      </x:c>
      <x:c r="AW285" s="12" t="n">
        <x:f>IF(AND(ISNUMBER(AV285),H285&gt;0),AV285/H285,"")</x:f>
        <x:v>0.6038898756660747</x:v>
      </x:c>
      <x:c r="AX285" s="12" t="n">
        <x:f>IF(AND(ISNUMBER(AD285),H285&gt;0),AD285*H285*3600,"")</x:f>
        <x:v>190924560</x:v>
      </x:c>
      <x:c r="AY285" s="12" t="n">
        <x:f>IF(AND(ISNUMBER(Y285),H285&gt;0),Y285*H285,"")</x:f>
        <x:v>84450</x:v>
      </x:c>
      <x:c r="AZ285" t="str">
        <x:v>Høy</x:v>
      </x:c>
    </x:row>
    <x:row r="286" ht="22" customHeight="1">
      <x:c r="A286" t="str">
        <x:v>OT-a45c137f9f1c</x:v>
      </x:c>
      <x:c r="B286" t="n">
        <x:v>2015</x:v>
      </x:c>
      <x:c r="C286" t="str">
        <x:v>Kontorbygg</x:v>
      </x:c>
      <x:c r="D286" t="str">
        <x:v>KONTORER, MED VENTILASJON OG KJØLEANLEGG</x:v>
      </x:c>
      <x:c r="E286" t="str">
        <x:v>E</x:v>
      </x:c>
      <x:c r="F286" t="str">
        <x:v>RED</x:v>
      </x:c>
      <x:c r="G286" t="n">
        <x:v>1990</x:v>
      </x:c>
      <x:c r="H286" t="n">
        <x:v>1039</x:v>
      </x:c>
      <x:c r="I286" t="n">
        <x:v>198.4</x:v>
      </x:c>
      <x:c r="J286" t="str">
        <x:v>PDF/avansert</x:v>
      </x:c>
      <x:c r="K286" t="n">
        <x:v>618</x:v>
      </x:c>
      <x:c r="L286" t="n">
        <x:v>454</x:v>
      </x:c>
      <x:c r="M286" t="n">
        <x:v>379</x:v>
      </x:c>
      <x:c r="N286" t="n">
        <x:v>157</x:v>
      </x:c>
      <x:c r="O286" t="n">
        <x:v>0.26</x:v>
      </x:c>
      <x:c r="P286" t="n">
        <x:v>0.16</x:v>
      </x:c>
      <x:c r="Q286" t="n">
        <x:v>0.19</x:v>
      </x:c>
      <x:c r="R286" t="n">
        <x:v>2.1</x:v>
      </x:c>
      <x:c r="S286" t="n">
        <x:v>45</x:v>
      </x:c>
      <x:c r="T286" t="n">
        <x:v>45</x:v>
      </x:c>
      <x:c r="U286" t="n">
        <x:v>2.64</x:v>
      </x:c>
      <x:c r="V286" t="n">
        <x:v>0.86</x:v>
      </x:c>
      <x:c r="W286" t="n">
        <x:v>7</x:v>
      </x:c>
      <x:c r="X286" t="n">
        <x:v>77</x:v>
      </x:c>
      <x:c r="Y286" t="n">
        <x:v>79</x:v>
      </x:c>
      <x:c r="Z286" t="n">
        <x:v>0</x:v>
      </x:c>
      <x:c r="AA286" t="n">
        <x:v>21</x:v>
      </x:c>
      <x:c r="AB286" t="n">
        <x:v>22</x:v>
      </x:c>
      <x:c r="AC286" t="n">
        <x:v>3</x:v>
      </x:c>
      <x:c r="AD286" t="n">
        <x:v>29.5</x:v>
      </x:c>
      <x:c r="AE286" t="n">
        <x:v>0.05</x:v>
      </x:c>
      <x:c r="AF286" t="n">
        <x:v>12</x:v>
      </x:c>
      <x:c r="AG286" t="n">
        <x:v>12</x:v>
      </x:c>
      <x:c r="AH286" t="n">
        <x:v>24</x:v>
      </x:c>
      <x:c r="AI286" t="n">
        <x:v>8</x:v>
      </x:c>
      <x:c r="AJ286" t="n">
        <x:v>11</x:v>
      </x:c>
      <x:c r="AK286" t="n">
        <x:v>250</x:v>
      </x:c>
      <x:c r="AL286" t="str">
        <x:v>Direkte elektrisk; Bygningsdata: Vedlegg til energiattesten</x:v>
      </x:c>
      <x:c r="AM286" t="n">
        <x:v>0</x:v>
      </x:c>
      <x:c r="AN286" t="n">
        <x:v>0</x:v>
      </x:c>
      <x:c r="AO286" t="n">
        <x:v>1</x:v>
      </x:c>
      <x:c r="AP286" t="n">
        <x:v>0</x:v>
      </x:c>
      <x:c r="AQ286" t="n">
        <x:v>0</x:v>
      </x:c>
      <x:c r="AR286" t="n">
        <x:v>1</x:v>
      </x:c>
      <x:c r="AS286" t="n">
        <x:v>1</x:v>
      </x:c>
      <x:c r="AT286" t="n">
        <x:v>1</x:v>
      </x:c>
      <x:c r="AU286" t="str">
        <x:v>energiattester_export_2025-08-14.json | PDF vedlegg side 5-7</x:v>
      </x:c>
      <x:c r="AV286" s="12" t="n">
        <x:f>IF(COUNT(O286,P286,Q286,R286,K286,L286,M286,N286)=8,O286*K286+P286*L286+Q286*M286+R286*N286,"")</x:f>
        <x:v>635.03</x:v>
      </x:c>
      <x:c r="AW286" s="12" t="n">
        <x:f>IF(AND(ISNUMBER(AV286),H286&gt;0),AV286/H286,"")</x:f>
        <x:v>0.6111934552454282</x:v>
      </x:c>
      <x:c r="AX286" s="12" t="n">
        <x:f>IF(AND(ISNUMBER(AD286),H286&gt;0),AD286*H286*3600,"")</x:f>
        <x:v>110341800</x:v>
      </x:c>
      <x:c r="AY286" s="12" t="n">
        <x:f>IF(AND(ISNUMBER(Y286),H286&gt;0),Y286*H286,"")</x:f>
        <x:v>82081</x:v>
      </x:c>
      <x:c r="AZ286" t="str">
        <x:v>Høy</x:v>
      </x:c>
    </x:row>
    <x:row r="287" ht="22" customHeight="1">
      <x:c r="A287" t="str">
        <x:v>OT-9b1599359d5b</x:v>
      </x:c>
      <x:c r="B287" t="n">
        <x:v>2015</x:v>
      </x:c>
      <x:c r="C287" t="str">
        <x:v>Kontorbygg</x:v>
      </x:c>
      <x:c r="D287" t="str">
        <x:v>KONTORER, ENKLE</x:v>
      </x:c>
      <x:c r="E287" t="str">
        <x:v>G</x:v>
      </x:c>
      <x:c r="F287" t="str">
        <x:v>RED</x:v>
      </x:c>
      <x:c r="G287" t="n">
        <x:v>1957</x:v>
      </x:c>
      <x:c r="H287" t="n">
        <x:v>1452</x:v>
      </x:c>
      <x:c r="I287" t="n">
        <x:v>458</x:v>
      </x:c>
      <x:c r="J287" t="str">
        <x:v>PDF/avansert</x:v>
      </x:c>
      <x:c r="K287" t="n">
        <x:v>838</x:v>
      </x:c>
      <x:c r="L287" t="n">
        <x:v>443</x:v>
      </x:c>
      <x:c r="M287" t="n">
        <x:v>444</x:v>
      </x:c>
      <x:c r="N287" t="n">
        <x:v>209</x:v>
      </x:c>
      <x:c r="O287" t="n">
        <x:v>0.83</x:v>
      </x:c>
      <x:c r="P287" t="n">
        <x:v>0.79</x:v>
      </x:c>
      <x:c r="Q287" t="n">
        <x:v>1.18</x:v>
      </x:c>
      <x:c r="R287" t="n">
        <x:v>2.6</x:v>
      </x:c>
      <x:c r="S287" t="n">
        <x:v>0</x:v>
      </x:c>
      <x:c r="T287" t="n">
        <x:v>0</x:v>
      </x:c>
      <x:c r="U287" t="n">
        <x:v>2.5</x:v>
      </x:c>
      <x:c r="V287" t="n">
        <x:v>0.23</x:v>
      </x:c>
      <x:c r="W287" t="n">
        <x:v>10</x:v>
      </x:c>
      <x:c r="X287" t="n">
        <x:v>100</x:v>
      </x:c>
      <x:c r="Y287" t="n">
        <x:v>228</x:v>
      </x:c>
      <x:c r="Z287" t="n">
        <x:v>63</x:v>
      </x:c>
      <x:c r="AA287" t="n">
        <x:v>21</x:v>
      </x:c>
      <x:c r="AB287" t="n">
        <x:v>22</x:v>
      </x:c>
      <x:c r="AC287" t="n">
        <x:v>3</x:v>
      </x:c>
      <x:c r="AD287" t="n">
        <x:v>62.6</x:v>
      </x:c>
      <x:c r="AE287" t="n">
        <x:v>0.12</x:v>
      </x:c>
      <x:c r="AF287" t="n">
        <x:v>12</x:v>
      </x:c>
      <x:c r="AG287" t="n">
        <x:v>12</x:v>
      </x:c>
      <x:c r="AH287" t="n">
        <x:v>24</x:v>
      </x:c>
      <x:c r="AI287" t="n">
        <x:v>8</x:v>
      </x:c>
      <x:c r="AJ287" t="n">
        <x:v>11</x:v>
      </x:c>
      <x:c r="AK287" t="n">
        <x:v>250</x:v>
      </x:c>
      <x:c r="AL287" t="str">
        <x:v>Direkte elektrisk; Varmepumpe;</x:v>
      </x:c>
      <x:c r="AM287" t="n">
        <x:v>0</x:v>
      </x:c>
      <x:c r="AN287" t="n">
        <x:v>0</x:v>
      </x:c>
      <x:c r="AO287" t="n">
        <x:v>1</x:v>
      </x:c>
      <x:c r="AP287" t="n">
        <x:v>1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str">
        <x:v>energiattester_export_2025-08-14.json | PDF vedlegg side 5-7</x:v>
      </x:c>
      <x:c r="AV287" s="12" t="n">
        <x:f>IF(COUNT(O287,P287,Q287,R287,K287,L287,M287,N287)=8,O287*K287+P287*L287+Q287*M287+R287*N287,"")</x:f>
        <x:v>2112.83</x:v>
      </x:c>
      <x:c r="AW287" s="12" t="n">
        <x:f>IF(AND(ISNUMBER(AV287),H287&gt;0),AV287/H287,"")</x:f>
        <x:v>1.4551170798898072</x:v>
      </x:c>
      <x:c r="AX287" s="12" t="n">
        <x:f>IF(AND(ISNUMBER(AD287),H287&gt;0),AD287*H287*3600,"")</x:f>
        <x:v>327222720</x:v>
      </x:c>
      <x:c r="AY287" s="12" t="n">
        <x:f>IF(AND(ISNUMBER(Y287),H287&gt;0),Y287*H287,"")</x:f>
        <x:v>331056</x:v>
      </x:c>
      <x:c r="AZ287" t="str">
        <x:v>Høy</x:v>
      </x:c>
    </x:row>
    <x:row r="288" ht="22" customHeight="1">
      <x:c r="A288" t="str">
        <x:v>OT-d3c38e29c796</x:v>
      </x:c>
      <x:c r="B288" t="n">
        <x:v>2015</x:v>
      </x:c>
      <x:c r="C288" t="str">
        <x:v>Forretningsbygg</x:v>
      </x:c>
      <x:c r="D288" t="str">
        <x:v>BUTIKK</x:v>
      </x:c>
      <x:c r="E288" t="str">
        <x:v>G</x:v>
      </x:c>
      <x:c r="F288" t="str">
        <x:v>RED</x:v>
      </x:c>
      <x:c r="G288" t="n">
        <x:v>1920</x:v>
      </x:c>
      <x:c r="H288" t="n">
        <x:v>1167</x:v>
      </x:c>
      <x:c r="I288" t="n">
        <x:v>530.6</x:v>
      </x:c>
      <x:c r="J288" t="str">
        <x:v>PDF/avansert</x:v>
      </x:c>
      <x:c r="K288" t="n">
        <x:v>739</x:v>
      </x:c>
      <x:c r="L288" t="n">
        <x:v>1114</x:v>
      </x:c>
      <x:c r="M288" t="n">
        <x:v>1100</x:v>
      </x:c>
      <x:c r="N288" t="n">
        <x:v>213</x:v>
      </x:c>
      <x:c r="O288" t="n">
        <x:v>1.2</x:v>
      </x:c>
      <x:c r="P288" t="n">
        <x:v>0.1</x:v>
      </x:c>
      <x:c r="Q288" t="n">
        <x:v>0.21</x:v>
      </x:c>
      <x:c r="R288" t="n">
        <x:v>1.99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13</x:v>
      </x:c>
      <x:c r="X288" t="n">
        <x:v>95</x:v>
      </x:c>
      <x:c r="Y288" t="n">
        <x:v>100</x:v>
      </x:c>
      <x:c r="Z288" t="n">
        <x:v>0</x:v>
      </x:c>
      <x:c r="AA288" t="n">
        <x:v>21</x:v>
      </x:c>
      <x:c r="AB288" t="n">
        <x:v>22</x:v>
      </x:c>
      <x:c r="AC288" t="n">
        <x:v>9</x:v>
      </x:c>
      <x:c r="AD288" t="n">
        <x:v>50.8</x:v>
      </x:c>
      <x:c r="AE288" t="n">
        <x:v>0.12</x:v>
      </x:c>
      <x:c r="AF288" t="n">
        <x:v>12</x:v>
      </x:c>
      <x:c r="AG288" t="n">
        <x:v>12</x:v>
      </x:c>
      <x:c r="AH288" t="n">
        <x:v>24</x:v>
      </x:c>
      <x:c r="AI288" t="n">
        <x:v>15</x:v>
      </x:c>
      <x:c r="AJ288" t="n">
        <x:v>1</x:v>
      </x:c>
      <x:c r="AK288" t="n">
        <x:v>240</x:v>
      </x:c>
      <x:c r="AL288" t="str">
        <x:v>Direkte elektrisk;</x:v>
      </x:c>
      <x:c r="AM288" t="n">
        <x:v>0</x:v>
      </x:c>
      <x:c r="AN288" t="n">
        <x:v>0</x:v>
      </x:c>
      <x:c r="AO288" t="n">
        <x:v>0</x:v>
      </x:c>
      <x:c r="AP288" t="n">
        <x:v>1</x:v>
      </x:c>
      <x:c r="AQ288" t="n">
        <x:v>0</x:v>
      </x:c>
      <x:c r="AR288" t="n">
        <x:v>1</x:v>
      </x:c>
      <x:c r="AS288" t="n">
        <x:v>1</x:v>
      </x:c>
      <x:c r="AT288" t="n">
        <x:v>1</x:v>
      </x:c>
      <x:c r="AU288" t="str">
        <x:v>energiattester_export_2025-08-14.json | PDF vedlegg side 5-7</x:v>
      </x:c>
      <x:c r="AV288" s="12" t="n">
        <x:f>IF(COUNT(O288,P288,Q288,R288,K288,L288,M288,N288)=8,O288*K288+P288*L288+Q288*M288+R288*N288,"")</x:f>
        <x:v>1653.0699999999997</x:v>
      </x:c>
      <x:c r="AW288" s="12" t="n">
        <x:f>IF(AND(ISNUMBER(AV288),H288&gt;0),AV288/H288,"")</x:f>
        <x:v>1.4165124250214223</x:v>
      </x:c>
      <x:c r="AX288" s="12" t="n">
        <x:f>IF(AND(ISNUMBER(AD288),H288&gt;0),AD288*H288*3600,"")</x:f>
        <x:v>213420960</x:v>
      </x:c>
      <x:c r="AY288" s="12" t="n">
        <x:f>IF(AND(ISNUMBER(Y288),H288&gt;0),Y288*H288,"")</x:f>
        <x:v>116700</x:v>
      </x:c>
      <x:c r="AZ288" t="str">
        <x:v>Høy</x:v>
      </x:c>
    </x:row>
    <x:row r="289" ht="22" customHeight="1">
      <x:c r="A289" t="str">
        <x:v>OT-58108e198011</x:v>
      </x:c>
      <x:c r="B289" t="n">
        <x:v>2015</x:v>
      </x:c>
      <x:c r="C289" t="str">
        <x:v>Kontorbygg</x:v>
      </x:c>
      <x:c r="D289" t="str">
        <x:v>KONTORER, MED VENTILASJON OG KJØLEANLEGG</x:v>
      </x:c>
      <x:c r="E289" t="str">
        <x:v>F</x:v>
      </x:c>
      <x:c r="F289" t="str">
        <x:v>RED</x:v>
      </x:c>
      <x:c r="G289" t="n">
        <x:v>1895</x:v>
      </x:c>
      <x:c r="H289" t="n">
        <x:v>1486</x:v>
      </x:c>
      <x:c r="I289" t="n">
        <x:v>265.6</x:v>
      </x:c>
      <x:c r="J289" t="str">
        <x:v>PDF/avansert</x:v>
      </x:c>
      <x:c r="K289" t="n">
        <x:v>454</x:v>
      </x:c>
      <x:c r="L289" t="n">
        <x:v>360</x:v>
      </x:c>
      <x:c r="M289" t="n">
        <x:v>360</x:v>
      </x:c>
      <x:c r="N289" t="n">
        <x:v>153</x:v>
      </x:c>
      <x:c r="O289" t="n">
        <x:v>0.95</x:v>
      </x:c>
      <x:c r="P289" t="n">
        <x:v>0.6</x:v>
      </x:c>
      <x:c r="Q289" t="n">
        <x:v>0.86</x:v>
      </x:c>
      <x:c r="R289" t="n">
        <x:v>1.89</x:v>
      </x:c>
      <x:c r="S289" t="n">
        <x:v>80</x:v>
      </x:c>
      <x:c r="T289" t="n">
        <x:v>80</x:v>
      </x:c>
      <x:c r="U289" t="n">
        <x:v>1.8</x:v>
      </x:c>
      <x:c r="V289" t="n">
        <x:v>1.8</x:v>
      </x:c>
      <x:c r="W289" t="n">
        <x:v>10</x:v>
      </x:c>
      <x:c r="X289" t="n">
        <x:v>98</x:v>
      </x:c>
      <x:c r="Y289" t="n">
        <x:v>190</x:v>
      </x:c>
      <x:c r="Z289" t="n">
        <x:v>0</x:v>
      </x:c>
      <x:c r="AA289" t="n">
        <x:v>21</x:v>
      </x:c>
      <x:c r="AB289" t="n">
        <x:v>22</x:v>
      </x:c>
      <x:c r="AC289" t="n">
        <x:v>3</x:v>
      </x:c>
      <x:c r="AD289" t="n">
        <x:v>39.4</x:v>
      </x:c>
      <x:c r="AE289" t="n">
        <x:v>0.09</x:v>
      </x:c>
      <x:c r="AF289" t="n">
        <x:v>12</x:v>
      </x:c>
      <x:c r="AG289" t="n">
        <x:v>12</x:v>
      </x:c>
      <x:c r="AH289" t="n">
        <x:v>24</x:v>
      </x:c>
      <x:c r="AI289" t="n">
        <x:v>8</x:v>
      </x:c>
      <x:c r="AJ289" t="n">
        <x:v>11</x:v>
      </x:c>
      <x:c r="AK289" t="n">
        <x:v>240</x:v>
      </x:c>
      <x:c r="AL289" t="str">
        <x:v>Direkte elektrisk;</x:v>
      </x:c>
      <x:c r="AM289" t="n">
        <x:v>0</x:v>
      </x:c>
      <x:c r="AN289" t="n">
        <x:v>0</x:v>
      </x:c>
      <x:c r="AO289" t="n">
        <x:v>0</x:v>
      </x:c>
      <x:c r="AP289" t="n">
        <x:v>1</x:v>
      </x:c>
      <x:c r="AQ289" t="n">
        <x:v>0</x:v>
      </x:c>
      <x:c r="AR289" t="n">
        <x:v>0</x:v>
      </x:c>
      <x:c r="AS289" t="n">
        <x:v>0</x:v>
      </x:c>
      <x:c r="AT289" t="n">
        <x:v>1</x:v>
      </x:c>
      <x:c r="AU289" t="str">
        <x:v>energiattester_export_2025-08-14.json | PDF vedlegg side 5-7</x:v>
      </x:c>
      <x:c r="AV289" s="12" t="n">
        <x:f>IF(COUNT(O289,P289,Q289,R289,K289,L289,M289,N289)=8,O289*K289+P289*L289+Q289*M289+R289*N289,"")</x:f>
        <x:v>1246.07</x:v>
      </x:c>
      <x:c r="AW289" s="12" t="n">
        <x:f>IF(AND(ISNUMBER(AV289),H289&gt;0),AV289/H289,"")</x:f>
        <x:v>0.8385397039030955</x:v>
      </x:c>
      <x:c r="AX289" s="12" t="n">
        <x:f>IF(AND(ISNUMBER(AD289),H289&gt;0),AD289*H289*3600,"")</x:f>
        <x:v>210774240</x:v>
      </x:c>
      <x:c r="AY289" s="12" t="n">
        <x:f>IF(AND(ISNUMBER(Y289),H289&gt;0),Y289*H289,"")</x:f>
        <x:v>282340</x:v>
      </x:c>
      <x:c r="AZ289" t="str">
        <x:v>Høy</x:v>
      </x:c>
    </x:row>
    <x:row r="290" ht="22" customHeight="1">
      <x:c r="A290" t="str">
        <x:v>OT-2530b6383b9f</x:v>
      </x:c>
      <x:c r="B290" t="n">
        <x:v>2015</x:v>
      </x:c>
      <x:c r="C290" t="str">
        <x:v>Kontorbygg</x:v>
      </x:c>
      <x:c r="D290" t="str">
        <x:v>KONTORER, ENKLE</x:v>
      </x:c>
      <x:c r="E290" t="str">
        <x:v>G</x:v>
      </x:c>
      <x:c r="F290" t="str">
        <x:v>RED</x:v>
      </x:c>
      <x:c r="G290" t="n">
        <x:v>1939</x:v>
      </x:c>
      <x:c r="H290" t="n">
        <x:v>543</x:v>
      </x:c>
      <x:c r="I290" t="n">
        <x:v>286.1</x:v>
      </x:c>
      <x:c r="J290" t="str">
        <x:v>PDF/avansert</x:v>
      </x:c>
      <x:c r="K290" t="n">
        <x:v>396</x:v>
      </x:c>
      <x:c r="L290" t="n">
        <x:v>59</x:v>
      </x:c>
      <x:c r="M290" t="n">
        <x:v>59</x:v>
      </x:c>
      <x:c r="N290" t="n">
        <x:v>60</x:v>
      </x:c>
      <x:c r="O290" t="n">
        <x:v>1</x:v>
      </x:c>
      <x:c r="P290" t="n">
        <x:v>0.6</x:v>
      </x:c>
      <x:c r="Q290" t="n">
        <x:v>0.44</x:v>
      </x:c>
      <x:c r="R290" t="n">
        <x:v>1.97</x:v>
      </x:c>
      <x:c r="S290" t="n">
        <x:v>80</x:v>
      </x:c>
      <x:c r="T290" t="n">
        <x:v>80</x:v>
      </x:c>
      <x:c r="U290" t="n">
        <x:v>1.8</x:v>
      </x:c>
      <x:c r="V290" t="n">
        <x:v>0.23</x:v>
      </x:c>
      <x:c r="W290" t="n">
        <x:v>7</x:v>
      </x:c>
      <x:c r="X290" t="n">
        <x:v>93</x:v>
      </x:c>
      <x:c r="Y290" t="n">
        <x:v>190</x:v>
      </x:c>
      <x:c r="Z290" t="n">
        <x:v>0</x:v>
      </x:c>
      <x:c r="AA290" t="n">
        <x:v>21</x:v>
      </x:c>
      <x:c r="AB290" t="n">
        <x:v>22</x:v>
      </x:c>
      <x:c r="AC290" t="n">
        <x:v>3</x:v>
      </x:c>
      <x:c r="AD290" t="n">
        <x:v>20.2</x:v>
      </x:c>
      <x:c r="AE290" t="n">
        <x:v>0.09</x:v>
      </x:c>
      <x:c r="AF290" t="n">
        <x:v>12</x:v>
      </x:c>
      <x:c r="AG290" t="n">
        <x:v>12</x:v>
      </x:c>
      <x:c r="AH290" t="n">
        <x:v>24</x:v>
      </x:c>
      <x:c r="AI290" t="n">
        <x:v>8</x:v>
      </x:c>
      <x:c r="AJ290" t="n">
        <x:v>11</x:v>
      </x:c>
      <x:c r="AK290" t="n">
        <x:v>240</x:v>
      </x:c>
      <x:c r="AL290" t="str">
        <x:v>Direkte elektrisk;</x:v>
      </x:c>
      <x:c r="AM290" t="n">
        <x:v>1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1</x:v>
      </x:c>
      <x:c r="AT290" t="n">
        <x:v>1</x:v>
      </x:c>
      <x:c r="AU290" t="str">
        <x:v>energiattester_export_2025-08-14.json | PDF vedlegg side 5-7</x:v>
      </x:c>
      <x:c r="AV290" s="12" t="n">
        <x:f>IF(COUNT(O290,P290,Q290,R290,K290,L290,M290,N290)=8,O290*K290+P290*L290+Q290*M290+R290*N290,"")</x:f>
        <x:v>575.56</x:v>
      </x:c>
      <x:c r="AW290" s="12" t="n">
        <x:f>IF(AND(ISNUMBER(AV290),H290&gt;0),AV290/H290,"")</x:f>
        <x:v>1.0599631675874768</x:v>
      </x:c>
      <x:c r="AX290" s="12" t="n">
        <x:f>IF(AND(ISNUMBER(AD290),H290&gt;0),AD290*H290*3600,"")</x:f>
        <x:v>39486960</x:v>
      </x:c>
      <x:c r="AY290" s="12" t="n">
        <x:f>IF(AND(ISNUMBER(Y290),H290&gt;0),Y290*H290,"")</x:f>
        <x:v>103170</x:v>
      </x:c>
      <x:c r="AZ290" t="str">
        <x:v>Høy</x:v>
      </x:c>
    </x:row>
    <x:row r="291" ht="22" customHeight="1">
      <x:c r="A291" t="str">
        <x:v>OT-e1dd8e3facd9</x:v>
      </x:c>
      <x:c r="B291" t="n">
        <x:v>2015</x:v>
      </x:c>
      <x:c r="C291" t="str">
        <x:v>Kontorbygg</x:v>
      </x:c>
      <x:c r="D291" t="str">
        <x:v>KONTORER, MED VENTILASJON OG KJØLEANLEGG</x:v>
      </x:c>
      <x:c r="E291" t="str">
        <x:v>D</x:v>
      </x:c>
      <x:c r="F291" t="str">
        <x:v>RED</x:v>
      </x:c>
      <x:c r="G291" t="n">
        <x:v>2000</x:v>
      </x:c>
      <x:c r="H291" t="n">
        <x:v>6594</x:v>
      </x:c>
      <x:c r="I291" t="n">
        <x:v>179.4</x:v>
      </x:c>
      <x:c r="J291" t="str">
        <x:v>PDF/avansert</x:v>
      </x:c>
      <x:c r="K291" t="n">
        <x:v>2036</x:v>
      </x:c>
      <x:c r="L291" t="n">
        <x:v>1293</x:v>
      </x:c>
      <x:c r="M291" t="n">
        <x:v>1311</x:v>
      </x:c>
      <x:c r="N291" t="n">
        <x:v>480</x:v>
      </x:c>
      <x:c r="O291" t="n">
        <x:v>0.26</x:v>
      </x:c>
      <x:c r="P291" t="n">
        <x:v>0.22</x:v>
      </x:c>
      <x:c r="Q291" t="n">
        <x:v>0.09</x:v>
      </x:c>
      <x:c r="R291" t="n">
        <x:v>1.95</x:v>
      </x:c>
      <x:c r="S291" t="n">
        <x:v>65</x:v>
      </x:c>
      <x:c r="T291" t="n">
        <x:v>65</x:v>
      </x:c>
      <x:c r="U291" t="n">
        <x:v>2</x:v>
      </x:c>
      <x:c r="V291" t="n">
        <x:v>0.83</x:v>
      </x:c>
      <x:c r="W291" t="n">
        <x:v>8.79</x:v>
      </x:c>
      <x:c r="X291" t="n">
        <x:v>91</x:v>
      </x:c>
      <x:c r="Y291" t="n">
        <x:v>88</x:v>
      </x:c>
      <x:c r="Z291" t="n">
        <x:v>0</x:v>
      </x:c>
      <x:c r="AA291" t="n">
        <x:v>21</x:v>
      </x:c>
      <x:c r="AB291" t="n">
        <x:v>22</x:v>
      </x:c>
      <x:c r="AC291" t="n">
        <x:v>1.56</x:v>
      </x:c>
      <x:c r="AD291" t="n">
        <x:v>43</x:v>
      </x:c>
      <x:c r="AE291" t="n">
        <x:v>0.06</x:v>
      </x:c>
      <x:c r="AF291" t="n">
        <x:v>12</x:v>
      </x:c>
      <x:c r="AG291" t="n">
        <x:v>12</x:v>
      </x:c>
      <x:c r="AH291" t="n">
        <x:v>24</x:v>
      </x:c>
      <x:c r="AI291" t="n">
        <x:v>8</x:v>
      </x:c>
      <x:c r="AJ291" t="n">
        <x:v>11</x:v>
      </x:c>
      <x:c r="AK291" t="n">
        <x:v>250</x:v>
      </x:c>
      <x:c r="AL291" t="str">
        <x:v>Direkte elektrisk;</x:v>
      </x:c>
      <x:c r="AM291" t="n">
        <x:v>1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1</x:v>
      </x:c>
      <x:c r="AU291" t="str">
        <x:v>energiattester_export_2025-08-14.json | PDF vedlegg side 5-7</x:v>
      </x:c>
      <x:c r="AV291" s="12" t="n">
        <x:f>IF(COUNT(O291,P291,Q291,R291,K291,L291,M291,N291)=8,O291*K291+P291*L291+Q291*M291+R291*N291,"")</x:f>
        <x:v>1867.81</x:v>
      </x:c>
      <x:c r="AW291" s="12" t="n">
        <x:f>IF(AND(ISNUMBER(AV291),H291&gt;0),AV291/H291,"")</x:f>
        <x:v>0.28325902335456477</x:v>
      </x:c>
      <x:c r="AX291" s="12" t="n">
        <x:f>IF(AND(ISNUMBER(AD291),H291&gt;0),AD291*H291*3600,"")</x:f>
        <x:v>1020751200</x:v>
      </x:c>
      <x:c r="AY291" s="12" t="n">
        <x:f>IF(AND(ISNUMBER(Y291),H291&gt;0),Y291*H291,"")</x:f>
        <x:v>580272</x:v>
      </x:c>
      <x:c r="AZ291" t="str">
        <x:v>Høy</x:v>
      </x:c>
    </x:row>
    <x:row r="292" ht="22" customHeight="1">
      <x:c r="A292" t="str">
        <x:v>OT-6e8de4105348</x:v>
      </x:c>
      <x:c r="B292" t="n">
        <x:v>2015</x:v>
      </x:c>
      <x:c r="C292" t="str">
        <x:v>Kontorbygg</x:v>
      </x:c>
      <x:c r="D292" t="str">
        <x:v>KONTORER, MED VENTILASJON OG KJØLEANLEGG</x:v>
      </x:c>
      <x:c r="E292" t="str">
        <x:v>D</x:v>
      </x:c>
      <x:c r="F292" t="str">
        <x:v>RED</x:v>
      </x:c>
      <x:c r="G292" t="n">
        <x:v>2000</x:v>
      </x:c>
      <x:c r="H292" t="n">
        <x:v>6594</x:v>
      </x:c>
      <x:c r="I292" t="n">
        <x:v>179.4</x:v>
      </x:c>
      <x:c r="J292" t="str">
        <x:v>PDF/avansert</x:v>
      </x:c>
      <x:c r="K292" t="n">
        <x:v>2036</x:v>
      </x:c>
      <x:c r="L292" t="n">
        <x:v>1293</x:v>
      </x:c>
      <x:c r="M292" t="n">
        <x:v>1311</x:v>
      </x:c>
      <x:c r="N292" t="n">
        <x:v>480</x:v>
      </x:c>
      <x:c r="O292" t="n">
        <x:v>0.26</x:v>
      </x:c>
      <x:c r="P292" t="n">
        <x:v>0.22</x:v>
      </x:c>
      <x:c r="Q292" t="n">
        <x:v>0.09</x:v>
      </x:c>
      <x:c r="R292" t="n">
        <x:v>1.95</x:v>
      </x:c>
      <x:c r="S292" t="n">
        <x:v>65</x:v>
      </x:c>
      <x:c r="T292" t="n">
        <x:v>65</x:v>
      </x:c>
      <x:c r="U292" t="n">
        <x:v>2</x:v>
      </x:c>
      <x:c r="V292" t="n">
        <x:v>0.83</x:v>
      </x:c>
      <x:c r="W292" t="n">
        <x:v>8.79</x:v>
      </x:c>
      <x:c r="X292" t="n">
        <x:v>91</x:v>
      </x:c>
      <x:c r="Y292" t="n">
        <x:v>88</x:v>
      </x:c>
      <x:c r="Z292" t="n">
        <x:v>0</x:v>
      </x:c>
      <x:c r="AA292" t="n">
        <x:v>21</x:v>
      </x:c>
      <x:c r="AB292" t="n">
        <x:v>22</x:v>
      </x:c>
      <x:c r="AC292" t="n">
        <x:v>1.56</x:v>
      </x:c>
      <x:c r="AD292" t="n">
        <x:v>43</x:v>
      </x:c>
      <x:c r="AE292" t="n">
        <x:v>0.06</x:v>
      </x:c>
      <x:c r="AF292" t="n">
        <x:v>12</x:v>
      </x:c>
      <x:c r="AG292" t="n">
        <x:v>12</x:v>
      </x:c>
      <x:c r="AH292" t="n">
        <x:v>24</x:v>
      </x:c>
      <x:c r="AI292" t="n">
        <x:v>8</x:v>
      </x:c>
      <x:c r="AJ292" t="n">
        <x:v>11</x:v>
      </x:c>
      <x:c r="AK292" t="n">
        <x:v>250</x:v>
      </x:c>
      <x:c r="AL292" t="str">
        <x:v>Direkte elektrisk;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1</x:v>
      </x:c>
      <x:c r="AU292" t="str">
        <x:v>energiattester_export_2025-08-14.json | PDF vedlegg side 5-7</x:v>
      </x:c>
      <x:c r="AV292" s="12" t="n">
        <x:f>IF(COUNT(O292,P292,Q292,R292,K292,L292,M292,N292)=8,O292*K292+P292*L292+Q292*M292+R292*N292,"")</x:f>
        <x:v>1867.81</x:v>
      </x:c>
      <x:c r="AW292" s="12" t="n">
        <x:f>IF(AND(ISNUMBER(AV292),H292&gt;0),AV292/H292,"")</x:f>
        <x:v>0.28325902335456477</x:v>
      </x:c>
      <x:c r="AX292" s="12" t="n">
        <x:f>IF(AND(ISNUMBER(AD292),H292&gt;0),AD292*H292*3600,"")</x:f>
        <x:v>1020751200</x:v>
      </x:c>
      <x:c r="AY292" s="12" t="n">
        <x:f>IF(AND(ISNUMBER(Y292),H292&gt;0),Y292*H292,"")</x:f>
        <x:v>580272</x:v>
      </x:c>
      <x:c r="AZ292" t="str">
        <x:v>Høy</x:v>
      </x:c>
    </x:row>
    <x:row r="293" ht="22" customHeight="1">
      <x:c r="A293" t="str">
        <x:v>OT-544285a76d9c</x:v>
      </x:c>
      <x:c r="B293" t="n">
        <x:v>2015</x:v>
      </x:c>
      <x:c r="C293" t="str">
        <x:v>Kontorbygg</x:v>
      </x:c>
      <x:c r="D293" t="str">
        <x:v>KONTORER, MED VENTILASJON OG KJØLEANLEGG</x:v>
      </x:c>
      <x:c r="E293" t="str">
        <x:v>G</x:v>
      </x:c>
      <x:c r="F293" t="str">
        <x:v>RED</x:v>
      </x:c>
      <x:c r="G293" t="n">
        <x:v>1987</x:v>
      </x:c>
      <x:c r="H293" t="n">
        <x:v>1942</x:v>
      </x:c>
      <x:c r="I293" t="n">
        <x:v>1</x:v>
      </x:c>
      <x:c r="J293" t="str">
        <x:v>PDF/avansert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 t="n">
        <x:v>0</x:v>
      </x:c>
      <x:c r="AN293" t="n">
        <x:v>0</x:v>
      </x:c>
      <x:c r="AO293" t="n">
        <x:v>1</x:v>
      </x:c>
      <x:c r="AP293" t="n">
        <x:v>1</x:v>
      </x:c>
      <x:c r="AQ293" t="n">
        <x:v>0</x:v>
      </x:c>
      <x:c r="AR293" t="n">
        <x:v>1</x:v>
      </x:c>
      <x:c r="AS293" t="n">
        <x:v>1</x:v>
      </x:c>
      <x:c r="AT293" t="n">
        <x:v>1</x:v>
      </x:c>
      <x:c r="AU293" t="str">
        <x:v>energiattester_export_2025-08-14.json | PDF vedlegg side 5-7</x:v>
      </x:c>
      <x:c r="AV293" s="12" t="str">
        <x:f>IF(COUNT(O293,P293,Q293,R293,K293,L293,M293,N293)=8,O293*K293+P293*L293+Q293*M293+R293*N293,"")</x:f>
      </x:c>
      <x:c r="AW293" s="12" t="str">
        <x:f>IF(AND(ISNUMBER(AV293),H293&gt;0),AV293/H293,"")</x:f>
      </x:c>
      <x:c r="AX293" s="12" t="str">
        <x:f>IF(AND(ISNUMBER(AD293),H293&gt;0),AD293*H293*3600,"")</x:f>
      </x:c>
      <x:c r="AY293" s="12" t="str">
        <x:f>IF(AND(ISNUMBER(Y293),H293&gt;0),Y293*H293,"")</x:f>
      </x:c>
      <x:c r="AZ293" t="str">
        <x:v>Mangler data</x:v>
      </x:c>
    </x:row>
    <x:row r="294" ht="22" customHeight="1">
      <x:c r="A294" t="str">
        <x:v>OT-d69c532b0f5f</x:v>
      </x:c>
      <x:c r="B294" t="n">
        <x:v>2015</x:v>
      </x:c>
      <x:c r="C294" t="str">
        <x:v>Kontorbygg</x:v>
      </x:c>
      <x:c r="D294" t="str">
        <x:v>KONTORER, MED VENTILASJON OG KJØLEANLEGG</x:v>
      </x:c>
      <x:c r="E294" t="str">
        <x:v>G</x:v>
      </x:c>
      <x:c r="F294" t="str">
        <x:v>RED</x:v>
      </x:c>
      <x:c r="G294" t="n">
        <x:v>1996</x:v>
      </x:c>
      <x:c r="H294" t="n">
        <x:v>1084</x:v>
      </x:c>
      <x:c r="I294" t="n">
        <x:v>305.2</x:v>
      </x:c>
      <x:c r="J294" t="str">
        <x:v>PDF/avansert</x:v>
      </x:c>
      <x:c r="K294" t="n">
        <x:v>200</x:v>
      </x:c>
      <x:c r="L294" t="n">
        <x:v>590</x:v>
      </x:c>
      <x:c r="M294" t="n">
        <x:v>542</x:v>
      </x:c>
      <x:c r="N294" t="n">
        <x:v>670</x:v>
      </x:c>
      <x:c r="O294" t="n">
        <x:v>0.3</x:v>
      </x:c>
      <x:c r="P294" t="n">
        <x:v>0.2</x:v>
      </x:c>
      <x:c r="Q294" t="n">
        <x:v>0.16</x:v>
      </x:c>
      <x:c r="R294" t="n">
        <x:v>2.45</x:v>
      </x:c>
      <x:c r="S294" t="n">
        <x:v>82</x:v>
      </x:c>
      <x:c r="T294" t="n">
        <x:v>81</x:v>
      </x:c>
      <x:c r="U294" t="n">
        <x:v>1.88</x:v>
      </x:c>
      <x:c r="V294" t="n">
        <x:v>0.29</x:v>
      </x:c>
      <x:c r="W294" t="n">
        <x:v>15.59</x:v>
      </x:c>
      <x:c r="X294" t="n">
        <x:v>81</x:v>
      </x:c>
      <x:c r="Y294" t="n">
        <x:v>102</x:v>
      </x:c>
      <x:c r="Z294" t="n">
        <x:v>40</x:v>
      </x:c>
      <x:c r="AA294" t="n">
        <x:v>21</x:v>
      </x:c>
      <x:c r="AB294" t="n">
        <x:v>22</x:v>
      </x:c>
      <x:c r="AC294" t="n">
        <x:v>1.5</x:v>
      </x:c>
      <x:c r="AD294" t="n">
        <x:v>51.3</x:v>
      </x:c>
      <x:c r="AE294" t="n">
        <x:v>0.06</x:v>
      </x:c>
      <x:c r="AF294" t="n">
        <x:v>12</x:v>
      </x:c>
      <x:c r="AG294" t="n">
        <x:v>12</x:v>
      </x:c>
      <x:c r="AH294" t="n">
        <x:v>24</x:v>
      </x:c>
      <x:c r="AI294" t="n">
        <x:v>8</x:v>
      </x:c>
      <x:c r="AJ294" t="n">
        <x:v>11</x:v>
      </x:c>
      <x:c r="AK294" t="n">
        <x:v>250</x:v>
      </x:c>
      <x:c r="AL294" t="str">
        <x:v>Direkte elektrisk;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1</x:v>
      </x:c>
      <x:c r="AR294" t="n">
        <x:v>0</x:v>
      </x:c>
      <x:c r="AS294" t="n">
        <x:v>0</x:v>
      </x:c>
      <x:c r="AT294" t="n">
        <x:v>0</x:v>
      </x:c>
      <x:c r="AU294" t="str">
        <x:v>energiattester_export_2025-08-14.json | PDF vedlegg side 5-7</x:v>
      </x:c>
      <x:c r="AV294" s="12" t="n">
        <x:f>IF(COUNT(O294,P294,Q294,R294,K294,L294,M294,N294)=8,O294*K294+P294*L294+Q294*M294+R294*N294,"")</x:f>
        <x:v>1906.2200000000003</x:v>
      </x:c>
      <x:c r="AW294" s="12" t="n">
        <x:f>IF(AND(ISNUMBER(AV294),H294&gt;0),AV294/H294,"")</x:f>
        <x:v>1.758505535055351</x:v>
      </x:c>
      <x:c r="AX294" s="12" t="n">
        <x:f>IF(AND(ISNUMBER(AD294),H294&gt;0),AD294*H294*3600,"")</x:f>
        <x:v>200193120</x:v>
      </x:c>
      <x:c r="AY294" s="12" t="n">
        <x:f>IF(AND(ISNUMBER(Y294),H294&gt;0),Y294*H294,"")</x:f>
        <x:v>110568</x:v>
      </x:c>
      <x:c r="AZ294" t="str">
        <x:v>Høy</x:v>
      </x:c>
    </x:row>
    <x:row r="295" ht="22" customHeight="1">
      <x:c r="A295" t="str">
        <x:v>OT-ee430819e12b</x:v>
      </x:c>
      <x:c r="B295" t="n">
        <x:v>2015</x:v>
      </x:c>
      <x:c r="C295" t="str">
        <x:v>Hoteller</x:v>
      </x:c>
      <x:c r="D295" t="str">
        <x:v>Bygning for overnatting</x:v>
      </x:c>
      <x:c r="E295" t="str">
        <x:v>F</x:v>
      </x:c>
      <x:c r="F295" t="str">
        <x:v>RED</x:v>
      </x:c>
      <x:c r="G295" t="n">
        <x:v>2007</x:v>
      </x:c>
      <x:c r="H295" t="n">
        <x:v>795</x:v>
      </x:c>
      <x:c r="I295" t="n">
        <x:v>359.72</x:v>
      </x:c>
      <x:c r="J295" t="str">
        <x:v>PDF/avansert</x:v>
      </x:c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1</x:v>
      </x:c>
      <x:c r="AS295" t="n">
        <x:v>1</x:v>
      </x:c>
      <x:c r="AT295" t="n">
        <x:v>0</x:v>
      </x:c>
      <x:c r="AU295" t="str">
        <x:v>energiattester_export_2025-08-14.json | PDF vedlegg side 5-7</x:v>
      </x:c>
      <x:c r="AV295" s="12" t="str">
        <x:f>IF(COUNT(O295,P295,Q295,R295,K295,L295,M295,N295)=8,O295*K295+P295*L295+Q295*M295+R295*N295,"")</x:f>
      </x:c>
      <x:c r="AW295" s="12" t="str">
        <x:f>IF(AND(ISNUMBER(AV295),H295&gt;0),AV295/H295,"")</x:f>
      </x:c>
      <x:c r="AX295" s="12" t="str">
        <x:f>IF(AND(ISNUMBER(AD295),H295&gt;0),AD295*H295*3600,"")</x:f>
      </x:c>
      <x:c r="AY295" s="12" t="str">
        <x:f>IF(AND(ISNUMBER(Y295),H295&gt;0),Y295*H295,"")</x:f>
      </x:c>
      <x:c r="AZ295" t="str">
        <x:v>Mangler data</x:v>
      </x:c>
    </x:row>
    <x:row r="296" ht="22" customHeight="1">
      <x:c r="A296" t="str">
        <x:v>OT-9e68f6136967</x:v>
      </x:c>
      <x:c r="B296" t="n">
        <x:v>2015</x:v>
      </x:c>
      <x:c r="C296" t="str">
        <x:v>Kontorbygg</x:v>
      </x:c>
      <x:c r="D296" t="str">
        <x:v>KONTORER, MED VENTILASJON OG KJØLEANLEGG</x:v>
      </x:c>
      <x:c r="E296" t="str">
        <x:v>E</x:v>
      </x:c>
      <x:c r="F296" t="str">
        <x:v>RED</x:v>
      </x:c>
      <x:c r="G296" t="n">
        <x:v>1980</x:v>
      </x:c>
      <x:c r="H296" t="n">
        <x:v>3474</x:v>
      </x:c>
      <x:c r="I296" t="n">
        <x:v>182.5</x:v>
      </x:c>
      <x:c r="J296" t="str">
        <x:v>PDF/avansert</x:v>
      </x:c>
      <x:c r="K296" t="n">
        <x:v>1200</x:v>
      </x:c>
      <x:c r="L296" t="n">
        <x:v>3526</x:v>
      </x:c>
      <x:c r="M296" t="n">
        <x:v>3475</x:v>
      </x:c>
      <x:c r="N296" t="n">
        <x:v>323</x:v>
      </x:c>
      <x:c r="O296" t="n">
        <x:v>0.36</x:v>
      </x:c>
      <x:c r="P296" t="n">
        <x:v>0.4</x:v>
      </x:c>
      <x:c r="Q296" t="n">
        <x:v>0.06</x:v>
      </x:c>
      <x:c r="R296" t="n">
        <x:v>1.44</x:v>
      </x:c>
      <x:c r="S296" t="n">
        <x:v>70</x:v>
      </x:c>
      <x:c r="T296" t="n">
        <x:v>70</x:v>
      </x:c>
      <x:c r="U296" t="n">
        <x:v>2.5</x:v>
      </x:c>
      <x:c r="V296" t="n">
        <x:v>0.39</x:v>
      </x:c>
      <x:c r="W296" t="n">
        <x:v>7.73</x:v>
      </x:c>
      <x:c r="X296" t="n">
        <x:v>81</x:v>
      </x:c>
      <x:c r="Y296" t="n">
        <x:v>80</x:v>
      </x:c>
      <x:c r="Z296" t="n">
        <x:v>0</x:v>
      </x:c>
      <x:c r="AA296" t="n">
        <x:v>21</x:v>
      </x:c>
      <x:c r="AB296" t="n">
        <x:v>22</x:v>
      </x:c>
      <x:c r="AC296" t="n">
        <x:v>2.5</x:v>
      </x:c>
      <x:c r="AD296" t="n">
        <x:v>96.9</x:v>
      </x:c>
      <x:c r="AE296" t="n">
        <x:v>0.06</x:v>
      </x:c>
      <x:c r="AF296" t="n">
        <x:v>12</x:v>
      </x:c>
      <x:c r="AG296" t="n">
        <x:v>12</x:v>
      </x:c>
      <x:c r="AH296" t="n">
        <x:v>24</x:v>
      </x:c>
      <x:c r="AI296" t="n">
        <x:v>8</x:v>
      </x:c>
      <x:c r="AJ296" t="n">
        <x:v>11</x:v>
      </x:c>
      <x:c r="AK296" t="n">
        <x:v>250</x:v>
      </x:c>
      <x:c r="AL296" t="str">
        <x:v>Direkte elektrisk;</x:v>
      </x:c>
      <x:c r="AM296"/>
      <x:c r="AN296"/>
      <x:c r="AO296"/>
      <x:c r="AP296"/>
      <x:c r="AQ296"/>
      <x:c r="AR296"/>
      <x:c r="AS296"/>
      <x:c r="AT296"/>
      <x:c r="AU296" t="str">
        <x:v>energiattester_export_2025-08-14.json | PDF vedlegg side 5-7</x:v>
      </x:c>
      <x:c r="AV296" s="12" t="n">
        <x:f>IF(COUNT(O296,P296,Q296,R296,K296,L296,M296,N296)=8,O296*K296+P296*L296+Q296*M296+R296*N296,"")</x:f>
        <x:v>2516.02</x:v>
      </x:c>
      <x:c r="AW296" s="12" t="n">
        <x:f>IF(AND(ISNUMBER(AV296),H296&gt;0),AV296/H296,"")</x:f>
        <x:v>0.7242429476108233</x:v>
      </x:c>
      <x:c r="AX296" s="12" t="n">
        <x:f>IF(AND(ISNUMBER(AD296),H296&gt;0),AD296*H296*3600,"")</x:f>
        <x:v>1211870160.0000002</x:v>
      </x:c>
      <x:c r="AY296" s="12" t="n">
        <x:f>IF(AND(ISNUMBER(Y296),H296&gt;0),Y296*H296,"")</x:f>
        <x:v>277920</x:v>
      </x:c>
      <x:c r="AZ296" t="str">
        <x:v>Høy</x:v>
      </x:c>
    </x:row>
    <x:row r="297" ht="22" customHeight="1">
      <x:c r="A297" t="str">
        <x:v>OT-2c7f3abb5671</x:v>
      </x:c>
      <x:c r="B297" t="n">
        <x:v>2015</x:v>
      </x:c>
      <x:c r="C297" t="str">
        <x:v>Kontorbygg</x:v>
      </x:c>
      <x:c r="D297" t="str">
        <x:v>KONTORER, ENKLE</x:v>
      </x:c>
      <x:c r="E297" t="str">
        <x:v>C</x:v>
      </x:c>
      <x:c r="F297" t="str">
        <x:v>ORANGE</x:v>
      </x:c>
      <x:c r="G297" t="n">
        <x:v>2004</x:v>
      </x:c>
      <x:c r="H297" t="n">
        <x:v>3045</x:v>
      </x:c>
      <x:c r="I297" t="n">
        <x:v>126.9</x:v>
      </x:c>
      <x:c r="J297" t="str">
        <x:v>PDF/avansert</x:v>
      </x:c>
      <x:c r="K297" t="n">
        <x:v>727</x:v>
      </x:c>
      <x:c r="L297" t="n">
        <x:v>0</x:v>
      </x:c>
      <x:c r="M297" t="n">
        <x:v>1061</x:v>
      </x:c>
      <x:c r="N297" t="n">
        <x:v>174</x:v>
      </x:c>
      <x:c r="O297" t="n">
        <x:v>0.22</x:v>
      </x:c>
      <x:c r="P297" t="n">
        <x:v>0</x:v>
      </x:c>
      <x:c r="Q297" t="n">
        <x:v>0.15</x:v>
      </x:c>
      <x:c r="R297" t="n">
        <x:v>1.6</x:v>
      </x:c>
      <x:c r="S297" t="n">
        <x:v>80</x:v>
      </x:c>
      <x:c r="T297" t="n">
        <x:v>80</x:v>
      </x:c>
      <x:c r="U297" t="n">
        <x:v>3.33</x:v>
      </x:c>
      <x:c r="V297" t="n">
        <x:v>0.8</x:v>
      </x:c>
      <x:c r="W297" t="n">
        <x:v>7.5</x:v>
      </x:c>
      <x:c r="X297" t="n">
        <x:v>91</x:v>
      </x:c>
      <x:c r="Y297" t="n">
        <x:v>80</x:v>
      </x:c>
      <x:c r="Z297" t="n">
        <x:v>30</x:v>
      </x:c>
      <x:c r="AA297" t="n">
        <x:v>21</x:v>
      </x:c>
      <x:c r="AB297" t="n">
        <x:v>22</x:v>
      </x:c>
      <x:c r="AC297" t="n">
        <x:v>1.48</x:v>
      </x:c>
      <x:c r="AD297" t="n">
        <x:v>112.1</x:v>
      </x:c>
      <x:c r="AE297" t="n">
        <x:v>0.05</x:v>
      </x:c>
      <x:c r="AF297" t="n">
        <x:v>12</x:v>
      </x:c>
      <x:c r="AG297" t="n">
        <x:v>12</x:v>
      </x:c>
      <x:c r="AH297" t="n">
        <x:v>24</x:v>
      </x:c>
      <x:c r="AI297" t="n">
        <x:v>8</x:v>
      </x:c>
      <x:c r="AJ297" t="n">
        <x:v>11</x:v>
      </x:c>
      <x:c r="AK297" t="n">
        <x:v>250</x:v>
      </x:c>
      <x:c r="AL297" t="str">
        <x:v>Direkte elektrisk;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1</x:v>
      </x:c>
      <x:c r="AS297" t="n">
        <x:v>1</x:v>
      </x:c>
      <x:c r="AT297" t="n">
        <x:v>1</x:v>
      </x:c>
      <x:c r="AU297" t="str">
        <x:v>energiattester_export_2025-08-14.json | PDF vedlegg side 5-7</x:v>
      </x:c>
      <x:c r="AV297" s="12" t="n">
        <x:f>IF(COUNT(O297,P297,Q297,R297,K297,L297,M297,N297)=8,O297*K297+P297*L297+Q297*M297+R297*N297,"")</x:f>
        <x:v>597.49</x:v>
      </x:c>
      <x:c r="AW297" s="12" t="n">
        <x:f>IF(AND(ISNUMBER(AV297),H297&gt;0),AV297/H297,"")</x:f>
        <x:v>0.1962200328407225</x:v>
      </x:c>
      <x:c r="AX297" s="12" t="n">
        <x:f>IF(AND(ISNUMBER(AD297),H297&gt;0),AD297*H297*3600,"")</x:f>
        <x:v>1228840200</x:v>
      </x:c>
      <x:c r="AY297" s="12" t="n">
        <x:f>IF(AND(ISNUMBER(Y297),H297&gt;0),Y297*H297,"")</x:f>
        <x:v>243600</x:v>
      </x:c>
      <x:c r="AZ297" t="str">
        <x:v>Høy</x:v>
      </x:c>
    </x:row>
    <x:row r="298" ht="22" customHeight="1">
      <x:c r="A298" t="str">
        <x:v>OT-0963e067089c</x:v>
      </x:c>
      <x:c r="B298" t="n">
        <x:v>2015</x:v>
      </x:c>
      <x:c r="C298" t="str">
        <x:v>Hoteller</x:v>
      </x:c>
      <x:c r="D298" t="str">
        <x:v>HOTELLBYGNING</x:v>
      </x:c>
      <x:c r="E298" t="str">
        <x:v>C</x:v>
      </x:c>
      <x:c r="F298" t="str">
        <x:v>RED</x:v>
      </x:c>
      <x:c r="G298" t="n">
        <x:v>1988</x:v>
      </x:c>
      <x:c r="H298" t="n">
        <x:v>4555</x:v>
      </x:c>
      <x:c r="I298" t="n">
        <x:v>211.3</x:v>
      </x:c>
      <x:c r="J298" t="str">
        <x:v>PDF/avansert</x:v>
      </x:c>
      <x:c r="K298" t="n">
        <x:v>2097</x:v>
      </x:c>
      <x:c r="L298" t="n">
        <x:v>1448</x:v>
      </x:c>
      <x:c r="M298" t="n">
        <x:v>1156</x:v>
      </x:c>
      <x:c r="N298" t="n">
        <x:v>763</x:v>
      </x:c>
      <x:c r="O298" t="n">
        <x:v>0.37</x:v>
      </x:c>
      <x:c r="P298" t="n">
        <x:v>0.2</x:v>
      </x:c>
      <x:c r="Q298" t="n">
        <x:v>0.21</x:v>
      </x:c>
      <x:c r="R298" t="n">
        <x:v>2.24</x:v>
      </x:c>
      <x:c r="S298" t="n">
        <x:v>72</x:v>
      </x:c>
      <x:c r="T298" t="n">
        <x:v>72</x:v>
      </x:c>
      <x:c r="U298" t="n">
        <x:v>2.79</x:v>
      </x:c>
      <x:c r="V298" t="n">
        <x:v>0.44</x:v>
      </x:c>
      <x:c r="W298" t="n">
        <x:v>7.66</x:v>
      </x:c>
      <x:c r="X298" t="n">
        <x:v>89</x:v>
      </x:c>
      <x:c r="Y298" t="n">
        <x:v>80</x:v>
      </x:c>
      <x:c r="Z298" t="n">
        <x:v>24</x:v>
      </x:c>
      <x:c r="AA298" t="n">
        <x:v>21</x:v>
      </x:c>
      <x:c r="AB298" t="n">
        <x:v>22</x:v>
      </x:c>
      <x:c r="AC298" t="n">
        <x:v>1.5</x:v>
      </x:c>
      <x:c r="AD298" t="n">
        <x:v>110.6</x:v>
      </x:c>
      <x:c r="AE298" t="n">
        <x:v>0.05</x:v>
      </x:c>
      <x:c r="AF298" t="n">
        <x:v>16</x:v>
      </x:c>
      <x:c r="AG298" t="n">
        <x:v>16</x:v>
      </x:c>
      <x:c r="AH298" t="n">
        <x:v>24</x:v>
      </x:c>
      <x:c r="AI298" t="n">
        <x:v>6</x:v>
      </x:c>
      <x:c r="AJ298" t="n">
        <x:v>1</x:v>
      </x:c>
      <x:c r="AK298" t="n">
        <x:v>250</x:v>
      </x:c>
      <x:c r="AL298" t="str">
        <x:v>Direkte elektrisk;</x:v>
      </x:c>
      <x:c r="AM298" t="n">
        <x:v>1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str">
        <x:v>energiattester_export_2025-08-14.json | PDF vedlegg side 5-7</x:v>
      </x:c>
      <x:c r="AV298" s="12" t="n">
        <x:f>IF(COUNT(O298,P298,Q298,R298,K298,L298,M298,N298)=8,O298*K298+P298*L298+Q298*M298+R298*N298,"")</x:f>
        <x:v>3017.37</x:v>
      </x:c>
      <x:c r="AW298" s="12" t="n">
        <x:f>IF(AND(ISNUMBER(AV298),H298&gt;0),AV298/H298,"")</x:f>
        <x:v>0.662430296377607</x:v>
      </x:c>
      <x:c r="AX298" s="12" t="n">
        <x:f>IF(AND(ISNUMBER(AD298),H298&gt;0),AD298*H298*3600,"")</x:f>
        <x:v>1813618800</x:v>
      </x:c>
      <x:c r="AY298" s="12" t="n">
        <x:f>IF(AND(ISNUMBER(Y298),H298&gt;0),Y298*H298,"")</x:f>
        <x:v>364400</x:v>
      </x:c>
      <x:c r="AZ298" t="str">
        <x:v>Høy</x:v>
      </x:c>
    </x:row>
    <x:row r="299" ht="22" customHeight="1">
      <x:c r="A299" t="str">
        <x:v>OT-8fe8eb161b41</x:v>
      </x:c>
      <x:c r="B299" t="n">
        <x:v>2015</x:v>
      </x:c>
      <x:c r="C299" t="str">
        <x:v>Kontorbygg</x:v>
      </x:c>
      <x:c r="D299" t="str">
        <x:v>KONTORER, ENKLE</x:v>
      </x:c>
      <x:c r="E299" t="str">
        <x:v>G</x:v>
      </x:c>
      <x:c r="F299" t="str">
        <x:v>RED</x:v>
      </x:c>
      <x:c r="G299" t="n">
        <x:v>1906</x:v>
      </x:c>
      <x:c r="H299" t="n">
        <x:v>15416</x:v>
      </x:c>
      <x:c r="I299" t="n">
        <x:v>279</x:v>
      </x:c>
      <x:c r="J299" t="str">
        <x:v>PDF/avansert</x:v>
      </x:c>
      <x:c r="K299" t="n">
        <x:v>7367</x:v>
      </x:c>
      <x:c r="L299" t="n">
        <x:v>2118</x:v>
      </x:c>
      <x:c r="M299" t="n">
        <x:v>2678</x:v>
      </x:c>
      <x:c r="N299" t="n">
        <x:v>2469</x:v>
      </x:c>
      <x:c r="O299" t="n">
        <x:v>0.88</x:v>
      </x:c>
      <x:c r="P299" t="n">
        <x:v>0.3</x:v>
      </x:c>
      <x:c r="Q299" t="n">
        <x:v>0.14</x:v>
      </x:c>
      <x:c r="R299" t="n">
        <x:v>2.01</x:v>
      </x:c>
      <x:c r="S299" t="n">
        <x:v>21</x:v>
      </x:c>
      <x:c r="T299" t="n">
        <x:v>21</x:v>
      </x:c>
      <x:c r="U299" t="n">
        <x:v>2.94</x:v>
      </x:c>
      <x:c r="V299" t="n">
        <x:v>0.37</x:v>
      </x:c>
      <x:c r="W299" t="n">
        <x:v>7</x:v>
      </x:c>
      <x:c r="X299" t="n">
        <x:v>96</x:v>
      </x:c>
      <x:c r="Y299" t="n">
        <x:v>125</x:v>
      </x:c>
      <x:c r="Z299" t="n">
        <x:v>27</x:v>
      </x:c>
      <x:c r="AA299" t="n">
        <x:v>21</x:v>
      </x:c>
      <x:c r="AB299" t="n">
        <x:v>22</x:v>
      </x:c>
      <x:c r="AC299" t="n">
        <x:v>2.15</x:v>
      </x:c>
      <x:c r="AD299" t="n">
        <x:v>11.3</x:v>
      </x:c>
      <x:c r="AE299" t="n">
        <x:v>0.11</x:v>
      </x:c>
      <x:c r="AF299" t="n">
        <x:v>12</x:v>
      </x:c>
      <x:c r="AG299" t="n">
        <x:v>12</x:v>
      </x:c>
      <x:c r="AH299" t="n">
        <x:v>24</x:v>
      </x:c>
      <x:c r="AI299" t="n">
        <x:v>8</x:v>
      </x:c>
      <x:c r="AJ299" t="n">
        <x:v>11</x:v>
      </x:c>
      <x:c r="AK299" t="n">
        <x:v>250</x:v>
      </x:c>
      <x:c r="AL299" t="str">
        <x:v>Direkte elektrisk; Fjernvarme;</x:v>
      </x:c>
      <x:c r="AM299" t="n">
        <x:v>1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1</x:v>
      </x:c>
      <x:c r="AS299" t="n">
        <x:v>0</x:v>
      </x:c>
      <x:c r="AT299" t="n">
        <x:v>0</x:v>
      </x:c>
      <x:c r="AU299" t="str">
        <x:v>energiattester_export_2025-08-14.json | PDF vedlegg side 5-7</x:v>
      </x:c>
      <x:c r="AV299" s="12" t="n">
        <x:f>IF(COUNT(O299,P299,Q299,R299,K299,L299,M299,N299)=8,O299*K299+P299*L299+Q299*M299+R299*N299,"")</x:f>
        <x:v>12455.97</x:v>
      </x:c>
      <x:c r="AW299" s="12" t="n">
        <x:f>IF(AND(ISNUMBER(AV299),H299&gt;0),AV299/H299,"")</x:f>
        <x:v>0.8079897509081473</x:v>
      </x:c>
      <x:c r="AX299" s="12" t="n">
        <x:f>IF(AND(ISNUMBER(AD299),H299&gt;0),AD299*H299*3600,"")</x:f>
        <x:v>627122880.0000001</x:v>
      </x:c>
      <x:c r="AY299" s="12" t="n">
        <x:f>IF(AND(ISNUMBER(Y299),H299&gt;0),Y299*H299,"")</x:f>
        <x:v>1927000</x:v>
      </x:c>
      <x:c r="AZ299" t="str">
        <x:v>Høy</x:v>
      </x:c>
    </x:row>
    <x:row r="300" ht="22" customHeight="1">
      <x:c r="A300" t="str">
        <x:v>OT-ccab3aaf1bb3</x:v>
      </x:c>
      <x:c r="B300" t="n">
        <x:v>2015</x:v>
      </x:c>
      <x:c r="C300" t="str">
        <x:v>Forretningsbygg</x:v>
      </x:c>
      <x:c r="D300" t="str">
        <x:v>BUTIKK</x:v>
      </x:c>
      <x:c r="E300" t="str">
        <x:v>B</x:v>
      </x:c>
      <x:c r="F300" t="str">
        <x:v>ORANGE</x:v>
      </x:c>
      <x:c r="G300" t="n">
        <x:v>2000</x:v>
      </x:c>
      <x:c r="H300" t="n">
        <x:v>585</x:v>
      </x:c>
      <x:c r="I300" t="n">
        <x:v>150.4</x:v>
      </x:c>
      <x:c r="J300" t="str">
        <x:v>PDF/avansert</x:v>
      </x:c>
      <x:c r="K300" t="n">
        <x:v>325</x:v>
      </x:c>
      <x:c r="L300" t="n">
        <x:v>585</x:v>
      </x:c>
      <x:c r="M300" t="n">
        <x:v>0</x:v>
      </x:c>
      <x:c r="N300" t="n">
        <x:v>58</x:v>
      </x:c>
      <x:c r="O300" t="n">
        <x:v>0.23</x:v>
      </x:c>
      <x:c r="P300" t="n">
        <x:v>0.19</x:v>
      </x:c>
      <x:c r="Q300" t="n">
        <x:v>0</x:v>
      </x:c>
      <x:c r="R300" t="n">
        <x:v>1.92</x:v>
      </x:c>
      <x:c r="S300" t="n">
        <x:v>77</x:v>
      </x:c>
      <x:c r="T300" t="n">
        <x:v>77</x:v>
      </x:c>
      <x:c r="U300" t="n">
        <x:v>2.18</x:v>
      </x:c>
      <x:c r="V300" t="n">
        <x:v>0.16</x:v>
      </x:c>
      <x:c r="W300" t="n">
        <x:v>13</x:v>
      </x:c>
      <x:c r="X300" t="n">
        <x:v>151</x:v>
      </x:c>
      <x:c r="Y300" t="n">
        <x:v>80</x:v>
      </x:c>
      <x:c r="Z300" t="n">
        <x:v>30</x:v>
      </x:c>
      <x:c r="AA300" t="n">
        <x:v>21</x:v>
      </x:c>
      <x:c r="AB300" t="n">
        <x:v>22</x:v>
      </x:c>
      <x:c r="AC300" t="n">
        <x:v>2.05</x:v>
      </x:c>
      <x:c r="AD300" t="n">
        <x:v>96.3</x:v>
      </x:c>
      <x:c r="AE300" t="n">
        <x:v>0.06</x:v>
      </x:c>
      <x:c r="AF300" t="n">
        <x:v>12</x:v>
      </x:c>
      <x:c r="AG300" t="n">
        <x:v>12</x:v>
      </x:c>
      <x:c r="AH300" t="n">
        <x:v>24</x:v>
      </x:c>
      <x:c r="AI300" t="n">
        <x:v>15</x:v>
      </x:c>
      <x:c r="AJ300" t="n">
        <x:v>1</x:v>
      </x:c>
      <x:c r="AK300" t="n">
        <x:v>250</x:v>
      </x:c>
      <x:c r="AL300" t="str">
        <x:v>Direkte elektrisk; Varmepumpe;</x:v>
      </x:c>
      <x:c r="AM300"/>
      <x:c r="AN300"/>
      <x:c r="AO300"/>
      <x:c r="AP300"/>
      <x:c r="AQ300"/>
      <x:c r="AR300"/>
      <x:c r="AS300"/>
      <x:c r="AT300"/>
      <x:c r="AU300" t="str">
        <x:v>energiattester_export_2025-08-14.json | PDF vedlegg side 5-7</x:v>
      </x:c>
      <x:c r="AV300" s="12" t="n">
        <x:f>IF(COUNT(O300,P300,Q300,R300,K300,L300,M300,N300)=8,O300*K300+P300*L300+Q300*M300+R300*N300,"")</x:f>
        <x:v>297.26</x:v>
      </x:c>
      <x:c r="AW300" s="12" t="n">
        <x:f>IF(AND(ISNUMBER(AV300),H300&gt;0),AV300/H300,"")</x:f>
        <x:v>0.5081367521367521</x:v>
      </x:c>
      <x:c r="AX300" s="12" t="n">
        <x:f>IF(AND(ISNUMBER(AD300),H300&gt;0),AD300*H300*3600,"")</x:f>
        <x:v>202807800</x:v>
      </x:c>
      <x:c r="AY300" s="12" t="n">
        <x:f>IF(AND(ISNUMBER(Y300),H300&gt;0),Y300*H300,"")</x:f>
        <x:v>46800</x:v>
      </x:c>
      <x:c r="AZ300" t="str">
        <x:v>Høy</x:v>
      </x:c>
    </x:row>
    <x:row r="301" ht="22" customHeight="1">
      <x:c r="A301" t="str">
        <x:v>OT-d18a8b0d28cb</x:v>
      </x:c>
      <x:c r="B301" t="n">
        <x:v>2015</x:v>
      </x:c>
      <x:c r="C301" t="str">
        <x:v>Kontorbygg</x:v>
      </x:c>
      <x:c r="D301" t="str">
        <x:v>KONTORER, MED VENTILASJON OG KJØLEANLEGG</x:v>
      </x:c>
      <x:c r="E301" t="str">
        <x:v>D</x:v>
      </x:c>
      <x:c r="F301" t="str">
        <x:v>RED</x:v>
      </x:c>
      <x:c r="G301" t="n">
        <x:v>2000</x:v>
      </x:c>
      <x:c r="H301" t="n">
        <x:v>1322</x:v>
      </x:c>
      <x:c r="I301" t="n">
        <x:v>169.6</x:v>
      </x:c>
      <x:c r="J301" t="str">
        <x:v>PDF/avansert</x:v>
      </x:c>
      <x:c r="K301" t="n">
        <x:v>528</x:v>
      </x:c>
      <x:c r="L301" t="n">
        <x:v>664</x:v>
      </x:c>
      <x:c r="M301" t="n">
        <x:v>1322</x:v>
      </x:c>
      <x:c r="N301" t="n">
        <x:v>70</x:v>
      </x:c>
      <x:c r="O301" t="n">
        <x:v>0.23</x:v>
      </x:c>
      <x:c r="P301" t="n">
        <x:v>0.2</x:v>
      </x:c>
      <x:c r="Q301" t="n">
        <x:v>0.16</x:v>
      </x:c>
      <x:c r="R301" t="n">
        <x:v>1.55</x:v>
      </x:c>
      <x:c r="S301" t="n">
        <x:v>70</x:v>
      </x:c>
      <x:c r="T301" t="n">
        <x:v>70</x:v>
      </x:c>
      <x:c r="U301" t="n">
        <x:v>2</x:v>
      </x:c>
      <x:c r="V301" t="n">
        <x:v>0.38</x:v>
      </x:c>
      <x:c r="W301" t="n">
        <x:v>8.07</x:v>
      </x:c>
      <x:c r="X301" t="n">
        <x:v>135</x:v>
      </x:c>
      <x:c r="Y301" t="n">
        <x:v>80</x:v>
      </x:c>
      <x:c r="Z301" t="n">
        <x:v>0</x:v>
      </x:c>
      <x:c r="AA301" t="n">
        <x:v>21</x:v>
      </x:c>
      <x:c r="AB301" t="n">
        <x:v>22</x:v>
      </x:c>
      <x:c r="AC301" t="n">
        <x:v>1.5</x:v>
      </x:c>
      <x:c r="AD301" t="n">
        <x:v>126.3</x:v>
      </x:c>
      <x:c r="AE301" t="n">
        <x:v>0.06</x:v>
      </x:c>
      <x:c r="AF301" t="n">
        <x:v>12</x:v>
      </x:c>
      <x:c r="AG301" t="n">
        <x:v>12</x:v>
      </x:c>
      <x:c r="AH301" t="n">
        <x:v>24</x:v>
      </x:c>
      <x:c r="AI301" t="n">
        <x:v>8</x:v>
      </x:c>
      <x:c r="AJ301" t="n">
        <x:v>11</x:v>
      </x:c>
      <x:c r="AK301" t="n">
        <x:v>250</x:v>
      </x:c>
      <x:c r="AL301" t="str">
        <x:v>Direkte elektrisk; Varmepumpe;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str">
        <x:v>energiattester_export_2025-08-14.json | PDF vedlegg side 5-7</x:v>
      </x:c>
      <x:c r="AV301" s="12" t="n">
        <x:f>IF(COUNT(O301,P301,Q301,R301,K301,L301,M301,N301)=8,O301*K301+P301*L301+Q301*M301+R301*N301,"")</x:f>
        <x:v>574.26</x:v>
      </x:c>
      <x:c r="AW301" s="12" t="n">
        <x:f>IF(AND(ISNUMBER(AV301),H301&gt;0),AV301/H301,"")</x:f>
        <x:v>0.43438729198184567</x:v>
      </x:c>
      <x:c r="AX301" s="12" t="n">
        <x:f>IF(AND(ISNUMBER(AD301),H301&gt;0),AD301*H301*3600,"")</x:f>
        <x:v>601086960</x:v>
      </x:c>
      <x:c r="AY301" s="12" t="n">
        <x:f>IF(AND(ISNUMBER(Y301),H301&gt;0),Y301*H301,"")</x:f>
        <x:v>105760</x:v>
      </x:c>
      <x:c r="AZ301" t="str">
        <x:v>Høy</x:v>
      </x:c>
    </x:row>
    <x:row r="302" ht="22" customHeight="1">
      <x:c r="A302" t="str">
        <x:v>OT-9565c0f0ce71</x:v>
      </x:c>
      <x:c r="B302" t="n">
        <x:v>2015</x:v>
      </x:c>
      <x:c r="C302" t="str">
        <x:v>Hoteller</x:v>
      </x:c>
      <x:c r="D302" t="str">
        <x:v>HOTELLBYGNING</x:v>
      </x:c>
      <x:c r="E302" t="str">
        <x:v>E</x:v>
      </x:c>
      <x:c r="F302" t="str">
        <x:v>RED</x:v>
      </x:c>
      <x:c r="G302" t="n">
        <x:v>1914</x:v>
      </x:c>
      <x:c r="H302" t="n">
        <x:v>9592</x:v>
      </x:c>
      <x:c r="I302" t="n">
        <x:v>1</x:v>
      </x:c>
      <x:c r="J302" t="str">
        <x:v>PDF/avansert</x:v>
      </x:c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 t="n">
        <x:v>0</x:v>
      </x:c>
      <x:c r="AN302" t="n">
        <x:v>0</x:v>
      </x:c>
      <x:c r="AO302" t="n">
        <x:v>1</x:v>
      </x:c>
      <x:c r="AP302" t="n">
        <x:v>1</x:v>
      </x:c>
      <x:c r="AQ302" t="n">
        <x:v>1</x:v>
      </x:c>
      <x:c r="AR302" t="n">
        <x:v>1</x:v>
      </x:c>
      <x:c r="AS302" t="n">
        <x:v>1</x:v>
      </x:c>
      <x:c r="AT302" t="n">
        <x:v>1</x:v>
      </x:c>
      <x:c r="AU302" t="str">
        <x:v>energiattester_export_2025-08-14.json | PDF vedlegg side 5-7</x:v>
      </x:c>
      <x:c r="AV302" s="12" t="str">
        <x:f>IF(COUNT(O302,P302,Q302,R302,K302,L302,M302,N302)=8,O302*K302+P302*L302+Q302*M302+R302*N302,"")</x:f>
      </x:c>
      <x:c r="AW302" s="12" t="str">
        <x:f>IF(AND(ISNUMBER(AV302),H302&gt;0),AV302/H302,"")</x:f>
      </x:c>
      <x:c r="AX302" s="12" t="str">
        <x:f>IF(AND(ISNUMBER(AD302),H302&gt;0),AD302*H302*3600,"")</x:f>
      </x:c>
      <x:c r="AY302" s="12" t="str">
        <x:f>IF(AND(ISNUMBER(Y302),H302&gt;0),Y302*H302,"")</x:f>
      </x:c>
      <x:c r="AZ302" t="str">
        <x:v>Mangler data</x:v>
      </x:c>
    </x:row>
    <x:row r="303" ht="22" customHeight="1">
      <x:c r="A303" t="str">
        <x:v>OT-389fb31e0bb3</x:v>
      </x:c>
      <x:c r="B303" t="n">
        <x:v>2015</x:v>
      </x:c>
      <x:c r="C303" t="str">
        <x:v>Hoteller</x:v>
      </x:c>
      <x:c r="D303" t="str">
        <x:v>HOTELLBYGNING</x:v>
      </x:c>
      <x:c r="E303" t="str">
        <x:v>E</x:v>
      </x:c>
      <x:c r="F303" t="str">
        <x:v>RED</x:v>
      </x:c>
      <x:c r="G303" t="n">
        <x:v>1914</x:v>
      </x:c>
      <x:c r="H303" t="n">
        <x:v>9592</x:v>
      </x:c>
      <x:c r="I303" t="n">
        <x:v>1</x:v>
      </x:c>
      <x:c r="J303" t="str">
        <x:v>PDF/avansert</x:v>
      </x:c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 t="n">
        <x:v>0</x:v>
      </x:c>
      <x:c r="AN303" t="n">
        <x:v>0</x:v>
      </x:c>
      <x:c r="AO303" t="n">
        <x:v>1</x:v>
      </x:c>
      <x:c r="AP303" t="n">
        <x:v>1</x:v>
      </x:c>
      <x:c r="AQ303" t="n">
        <x:v>1</x:v>
      </x:c>
      <x:c r="AR303" t="n">
        <x:v>1</x:v>
      </x:c>
      <x:c r="AS303" t="n">
        <x:v>1</x:v>
      </x:c>
      <x:c r="AT303" t="n">
        <x:v>1</x:v>
      </x:c>
      <x:c r="AU303" t="str">
        <x:v>energiattester_export_2025-08-14.json | PDF vedlegg side 5-7</x:v>
      </x:c>
      <x:c r="AV303" s="12" t="str">
        <x:f>IF(COUNT(O303,P303,Q303,R303,K303,L303,M303,N303)=8,O303*K303+P303*L303+Q303*M303+R303*N303,"")</x:f>
      </x:c>
      <x:c r="AW303" s="12" t="str">
        <x:f>IF(AND(ISNUMBER(AV303),H303&gt;0),AV303/H303,"")</x:f>
      </x:c>
      <x:c r="AX303" s="12" t="str">
        <x:f>IF(AND(ISNUMBER(AD303),H303&gt;0),AD303*H303*3600,"")</x:f>
      </x:c>
      <x:c r="AY303" s="12" t="str">
        <x:f>IF(AND(ISNUMBER(Y303),H303&gt;0),Y303*H303,"")</x:f>
      </x:c>
      <x:c r="AZ303" t="str">
        <x:v>Mangler data</x:v>
      </x:c>
    </x:row>
    <x:row r="304" ht="22" customHeight="1">
      <x:c r="A304" t="str">
        <x:v>OT-fbf8c3cb5225</x:v>
      </x:c>
      <x:c r="B304" t="n">
        <x:v>2015</x:v>
      </x:c>
      <x:c r="C304" t="str">
        <x:v>Kontorbygg</x:v>
      </x:c>
      <x:c r="D304" t="str">
        <x:v>KONTORER, ENKLE</x:v>
      </x:c>
      <x:c r="E304" t="str">
        <x:v>F</x:v>
      </x:c>
      <x:c r="F304" t="str">
        <x:v>ORANGE</x:v>
      </x:c>
      <x:c r="G304" t="n">
        <x:v>1961</x:v>
      </x:c>
      <x:c r="H304" t="n">
        <x:v>1744</x:v>
      </x:c>
      <x:c r="I304" t="n">
        <x:v>221.4</x:v>
      </x:c>
      <x:c r="J304" t="str">
        <x:v>PDF/avansert</x:v>
      </x:c>
      <x:c r="K304" t="n">
        <x:v>459</x:v>
      </x:c>
      <x:c r="L304" t="n">
        <x:v>0</x:v>
      </x:c>
      <x:c r="M304" t="n">
        <x:v>705</x:v>
      </x:c>
      <x:c r="N304" t="n">
        <x:v>126</x:v>
      </x:c>
      <x:c r="O304" t="n">
        <x:v>0.41</x:v>
      </x:c>
      <x:c r="P304" t="n">
        <x:v>0</x:v>
      </x:c>
      <x:c r="Q304" t="n">
        <x:v>0.45</x:v>
      </x:c>
      <x:c r="R304" t="n">
        <x:v>2.4</x:v>
      </x:c>
      <x:c r="S304" t="n">
        <x:v>68</x:v>
      </x:c>
      <x:c r="T304" t="n">
        <x:v>68</x:v>
      </x:c>
      <x:c r="U304" t="n">
        <x:v>2.92</x:v>
      </x:c>
      <x:c r="V304" t="n">
        <x:v>0.39</x:v>
      </x:c>
      <x:c r="W304" t="n">
        <x:v>14.86</x:v>
      </x:c>
      <x:c r="X304" t="n">
        <x:v>89</x:v>
      </x:c>
      <x:c r="Y304" t="n">
        <x:v>280</x:v>
      </x:c>
      <x:c r="Z304" t="n">
        <x:v>30</x:v>
      </x:c>
      <x:c r="AA304" t="n">
        <x:v>21</x:v>
      </x:c>
      <x:c r="AB304" t="n">
        <x:v>22</x:v>
      </x:c>
      <x:c r="AC304" t="n">
        <x:v>3</x:v>
      </x:c>
      <x:c r="AD304" t="n">
        <x:v>46</x:v>
      </x:c>
      <x:c r="AE304" t="n">
        <x:v>0.08</x:v>
      </x:c>
      <x:c r="AF304" t="n">
        <x:v>12</x:v>
      </x:c>
      <x:c r="AG304" t="n">
        <x:v>12</x:v>
      </x:c>
      <x:c r="AH304" t="n">
        <x:v>24</x:v>
      </x:c>
      <x:c r="AI304" t="n">
        <x:v>8</x:v>
      </x:c>
      <x:c r="AJ304" t="n">
        <x:v>11</x:v>
      </x:c>
      <x:c r="AK304" t="n">
        <x:v>250</x:v>
      </x:c>
      <x:c r="AL304" t="str">
        <x:v>Direkte elektrisk;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str">
        <x:v>energiattester_export_2025-08-14.json | PDF vedlegg side 5-7</x:v>
      </x:c>
      <x:c r="AV304" s="12" t="n">
        <x:f>IF(COUNT(O304,P304,Q304,R304,K304,L304,M304,N304)=8,O304*K304+P304*L304+Q304*M304+R304*N304,"")</x:f>
        <x:v>807.8399999999999</x:v>
      </x:c>
      <x:c r="AW304" s="12" t="n">
        <x:f>IF(AND(ISNUMBER(AV304),H304&gt;0),AV304/H304,"")</x:f>
        <x:v>0.4632110091743119</x:v>
      </x:c>
      <x:c r="AX304" s="12" t="n">
        <x:f>IF(AND(ISNUMBER(AD304),H304&gt;0),AD304*H304*3600,"")</x:f>
        <x:v>288806400</x:v>
      </x:c>
      <x:c r="AY304" s="12" t="n">
        <x:f>IF(AND(ISNUMBER(Y304),H304&gt;0),Y304*H304,"")</x:f>
        <x:v>488320</x:v>
      </x:c>
      <x:c r="AZ304" t="str">
        <x:v>Høy</x:v>
      </x:c>
    </x:row>
    <x:row r="305" ht="22" customHeight="1">
      <x:c r="A305" t="str">
        <x:v>OT-85ef1904612a</x:v>
      </x:c>
      <x:c r="B305" t="n">
        <x:v>2015</x:v>
      </x:c>
      <x:c r="C305" t="str">
        <x:v>Forretningsbygg</x:v>
      </x:c>
      <x:c r="D305" t="str">
        <x:v>BUTIKK</x:v>
      </x:c>
      <x:c r="E305" t="str">
        <x:v>C</x:v>
      </x:c>
      <x:c r="F305" t="str">
        <x:v>ORANGE</x:v>
      </x:c>
      <x:c r="G305" t="n">
        <x:v>1961</x:v>
      </x:c>
      <x:c r="H305" t="n">
        <x:v>1286</x:v>
      </x:c>
      <x:c r="I305" t="n">
        <x:v>196.9</x:v>
      </x:c>
      <x:c r="J305" t="str">
        <x:v>PDF/avansert</x:v>
      </x:c>
      <x:c r="K305" t="n">
        <x:v>458</x:v>
      </x:c>
      <x:c r="L305" t="n">
        <x:v>0</x:v>
      </x:c>
      <x:c r="M305" t="n">
        <x:v>0</x:v>
      </x:c>
      <x:c r="N305" t="n">
        <x:v>145</x:v>
      </x:c>
      <x:c r="O305" t="n">
        <x:v>0.38</x:v>
      </x:c>
      <x:c r="P305" t="n">
        <x:v>0</x:v>
      </x:c>
      <x:c r="Q305" t="n">
        <x:v>0</x:v>
      </x:c>
      <x:c r="R305" t="n">
        <x:v>1.47</x:v>
      </x:c>
      <x:c r="S305" t="n">
        <x:v>61</x:v>
      </x:c>
      <x:c r="T305" t="n">
        <x:v>61</x:v>
      </x:c>
      <x:c r="U305" t="n">
        <x:v>2.49</x:v>
      </x:c>
      <x:c r="V305" t="n">
        <x:v>0.45</x:v>
      </x:c>
      <x:c r="W305" t="n">
        <x:v>13</x:v>
      </x:c>
      <x:c r="X305" t="n">
        <x:v>89</x:v>
      </x:c>
      <x:c r="Y305" t="n">
        <x:v>180</x:v>
      </x:c>
      <x:c r="Z305" t="n">
        <x:v>30</x:v>
      </x:c>
      <x:c r="AA305" t="n">
        <x:v>21</x:v>
      </x:c>
      <x:c r="AB305" t="n">
        <x:v>22</x:v>
      </x:c>
      <x:c r="AC305" t="n">
        <x:v>3</x:v>
      </x:c>
      <x:c r="AD305" t="n">
        <x:v>26.4</x:v>
      </x:c>
      <x:c r="AE305" t="n">
        <x:v>0.08</x:v>
      </x:c>
      <x:c r="AF305" t="n">
        <x:v>12</x:v>
      </x:c>
      <x:c r="AG305" t="n">
        <x:v>12</x:v>
      </x:c>
      <x:c r="AH305" t="n">
        <x:v>24</x:v>
      </x:c>
      <x:c r="AI305" t="n">
        <x:v>15</x:v>
      </x:c>
      <x:c r="AJ305" t="n">
        <x:v>1</x:v>
      </x:c>
      <x:c r="AK305" t="n">
        <x:v>250</x:v>
      </x:c>
      <x:c r="AL305" t="str">
        <x:v>Direkte elektrisk;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str">
        <x:v>energiattester_export_2025-08-14.json | PDF vedlegg side 5-7</x:v>
      </x:c>
      <x:c r="AV305" s="12" t="n">
        <x:f>IF(COUNT(O305,P305,Q305,R305,K305,L305,M305,N305)=8,O305*K305+P305*L305+Q305*M305+R305*N305,"")</x:f>
        <x:v>387.19</x:v>
      </x:c>
      <x:c r="AW305" s="12" t="n">
        <x:f>IF(AND(ISNUMBER(AV305),H305&gt;0),AV305/H305,"")</x:f>
        <x:v>0.30108087091757385</x:v>
      </x:c>
      <x:c r="AX305" s="12" t="n">
        <x:f>IF(AND(ISNUMBER(AD305),H305&gt;0),AD305*H305*3600,"")</x:f>
        <x:v>122221440</x:v>
      </x:c>
      <x:c r="AY305" s="12" t="n">
        <x:f>IF(AND(ISNUMBER(Y305),H305&gt;0),Y305*H305,"")</x:f>
        <x:v>231480</x:v>
      </x:c>
      <x:c r="AZ305" t="str">
        <x:v>Høy</x:v>
      </x:c>
    </x:row>
    <x:row r="306" ht="22" customHeight="1">
      <x:c r="A306" t="str">
        <x:v>OT-a47b5aff2be9</x:v>
      </x:c>
      <x:c r="B306" t="n">
        <x:v>2015</x:v>
      </x:c>
      <x:c r="C306" t="str">
        <x:v>Kontorbygg</x:v>
      </x:c>
      <x:c r="D306" t="str">
        <x:v>KONTORER, MED VENTILASJON OG KJØLEANLEGG</x:v>
      </x:c>
      <x:c r="E306" t="str">
        <x:v>E</x:v>
      </x:c>
      <x:c r="F306" t="str">
        <x:v>ORANGE</x:v>
      </x:c>
      <x:c r="G306" t="n">
        <x:v>1999</x:v>
      </x:c>
      <x:c r="H306" t="n">
        <x:v>10235</x:v>
      </x:c>
      <x:c r="I306" t="n">
        <x:v>195.8</x:v>
      </x:c>
      <x:c r="J306" t="str">
        <x:v>PDF/avansert</x:v>
      </x:c>
      <x:c r="K306" t="n">
        <x:v>2770</x:v>
      </x:c>
      <x:c r="L306" t="n">
        <x:v>4261</x:v>
      </x:c>
      <x:c r="M306" t="n">
        <x:v>4261</x:v>
      </x:c>
      <x:c r="N306" t="n">
        <x:v>1308</x:v>
      </x:c>
      <x:c r="O306" t="n">
        <x:v>0.21</x:v>
      </x:c>
      <x:c r="P306" t="n">
        <x:v>0.15</x:v>
      </x:c>
      <x:c r="Q306" t="n">
        <x:v>0.1</x:v>
      </x:c>
      <x:c r="R306" t="n">
        <x:v>1.6</x:v>
      </x:c>
      <x:c r="S306" t="n">
        <x:v>56</x:v>
      </x:c>
      <x:c r="T306" t="n">
        <x:v>56</x:v>
      </x:c>
      <x:c r="U306" t="n">
        <x:v>4.92</x:v>
      </x:c>
      <x:c r="V306" t="n">
        <x:v>0.92</x:v>
      </x:c>
      <x:c r="W306" t="n">
        <x:v>7.24</x:v>
      </x:c>
      <x:c r="X306" t="n">
        <x:v>91</x:v>
      </x:c>
      <x:c r="Y306" t="n">
        <x:v>93</x:v>
      </x:c>
      <x:c r="Z306" t="n">
        <x:v>58</x:v>
      </x:c>
      <x:c r="AA306" t="n">
        <x:v>21</x:v>
      </x:c>
      <x:c r="AB306" t="n">
        <x:v>22</x:v>
      </x:c>
      <x:c r="AC306" t="n">
        <x:v>3.87</x:v>
      </x:c>
      <x:c r="AD306" t="n">
        <x:v>35.2</x:v>
      </x:c>
      <x:c r="AE306" t="n">
        <x:v>0.05</x:v>
      </x:c>
      <x:c r="AF306" t="n">
        <x:v>12</x:v>
      </x:c>
      <x:c r="AG306" t="n">
        <x:v>12</x:v>
      </x:c>
      <x:c r="AH306" t="n">
        <x:v>24</x:v>
      </x:c>
      <x:c r="AI306" t="n">
        <x:v>6.4</x:v>
      </x:c>
      <x:c r="AJ306" t="n">
        <x:v>11</x:v>
      </x:c>
      <x:c r="AK306" t="n">
        <x:v>220</x:v>
      </x:c>
      <x:c r="AL306" t="str">
        <x:v>Direkte elektrisk; Fjernvarme;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str">
        <x:v>energiattester_export_2025-08-14.json | PDF vedlegg side 5-7</x:v>
      </x:c>
      <x:c r="AV306" s="12" t="n">
        <x:f>IF(COUNT(O306,P306,Q306,R306,K306,L306,M306,N306)=8,O306*K306+P306*L306+Q306*M306+R306*N306,"")</x:f>
        <x:v>3739.75</x:v>
      </x:c>
      <x:c r="AW306" s="12" t="n">
        <x:f>IF(AND(ISNUMBER(AV306),H306&gt;0),AV306/H306,"")</x:f>
        <x:v>0.36538837322911577</x:v>
      </x:c>
      <x:c r="AX306" s="12" t="n">
        <x:f>IF(AND(ISNUMBER(AD306),H306&gt;0),AD306*H306*3600,"")</x:f>
        <x:v>1296979200</x:v>
      </x:c>
      <x:c r="AY306" s="12" t="n">
        <x:f>IF(AND(ISNUMBER(Y306),H306&gt;0),Y306*H306,"")</x:f>
        <x:v>951855</x:v>
      </x:c>
      <x:c r="AZ306" t="str">
        <x:v>Høy</x:v>
      </x:c>
    </x:row>
    <x:row r="307" ht="22" customHeight="1">
      <x:c r="A307" t="str">
        <x:v>OT-b7b73263414e</x:v>
      </x:c>
      <x:c r="B307" t="n">
        <x:v>2015</x:v>
      </x:c>
      <x:c r="C307" t="str">
        <x:v>Kontorbygg</x:v>
      </x:c>
      <x:c r="D307" t="str">
        <x:v>KONTORER, ENKLE</x:v>
      </x:c>
      <x:c r="E307" t="str">
        <x:v>E</x:v>
      </x:c>
      <x:c r="F307" t="str">
        <x:v>RED</x:v>
      </x:c>
      <x:c r="G307" t="n">
        <x:v>1967</x:v>
      </x:c>
      <x:c r="H307" t="n">
        <x:v>1583</x:v>
      </x:c>
      <x:c r="I307" t="n">
        <x:v>217.6</x:v>
      </x:c>
      <x:c r="J307" t="str">
        <x:v>PDF/avansert</x:v>
      </x:c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 t="n">
        <x:v>0</x:v>
      </x:c>
      <x:c r="AN307" t="n">
        <x:v>0</x:v>
      </x:c>
      <x:c r="AO307" t="n">
        <x:v>1</x:v>
      </x:c>
      <x:c r="AP307" t="n">
        <x:v>0</x:v>
      </x:c>
      <x:c r="AQ307" t="n">
        <x:v>1</x:v>
      </x:c>
      <x:c r="AR307" t="n">
        <x:v>1</x:v>
      </x:c>
      <x:c r="AS307" t="n">
        <x:v>1</x:v>
      </x:c>
      <x:c r="AT307" t="n">
        <x:v>1</x:v>
      </x:c>
      <x:c r="AU307" t="str">
        <x:v>energiattester_export_2025-08-14.json | PDF vedlegg side 5-7</x:v>
      </x:c>
      <x:c r="AV307" s="12" t="str">
        <x:f>IF(COUNT(O307,P307,Q307,R307,K307,L307,M307,N307)=8,O307*K307+P307*L307+Q307*M307+R307*N307,"")</x:f>
      </x:c>
      <x:c r="AW307" s="12" t="str">
        <x:f>IF(AND(ISNUMBER(AV307),H307&gt;0),AV307/H307,"")</x:f>
      </x:c>
      <x:c r="AX307" s="12" t="str">
        <x:f>IF(AND(ISNUMBER(AD307),H307&gt;0),AD307*H307*3600,"")</x:f>
      </x:c>
      <x:c r="AY307" s="12" t="str">
        <x:f>IF(AND(ISNUMBER(Y307),H307&gt;0),Y307*H307,"")</x:f>
      </x:c>
      <x:c r="AZ307" t="str">
        <x:v>Mangler data</x:v>
      </x:c>
    </x:row>
    <x:row r="308" ht="22" customHeight="1">
      <x:c r="A308" t="str">
        <x:v>OT-49480552c470</x:v>
      </x:c>
      <x:c r="B308" t="n">
        <x:v>2015</x:v>
      </x:c>
      <x:c r="C308" t="str">
        <x:v>Hoteller</x:v>
      </x:c>
      <x:c r="D308" t="str">
        <x:v>BYGNING FOR OVERNATTING</x:v>
      </x:c>
      <x:c r="E308" t="str">
        <x:v>G</x:v>
      </x:c>
      <x:c r="F308" t="str">
        <x:v>RED</x:v>
      </x:c>
      <x:c r="G308" t="n">
        <x:v>1888</x:v>
      </x:c>
      <x:c r="H308" t="n">
        <x:v>1284</x:v>
      </x:c>
      <x:c r="I308" t="n">
        <x:v>456.2</x:v>
      </x:c>
      <x:c r="J308" t="str">
        <x:v>PDF/avansert</x:v>
      </x:c>
      <x:c r="K308" t="n">
        <x:v>891</x:v>
      </x:c>
      <x:c r="L308" t="n">
        <x:v>399</x:v>
      </x:c>
      <x:c r="M308" t="n">
        <x:v>422</x:v>
      </x:c>
      <x:c r="N308" t="n">
        <x:v>89</x:v>
      </x:c>
      <x:c r="O308" t="n">
        <x:v>0.68</x:v>
      </x:c>
      <x:c r="P308" t="n">
        <x:v>0.21</x:v>
      </x:c>
      <x:c r="Q308" t="n">
        <x:v>0.2</x:v>
      </x:c>
      <x:c r="R308" t="n">
        <x:v>2.54</x:v>
      </x:c>
      <x:c r="S308" t="n">
        <x:v>40</x:v>
      </x:c>
      <x:c r="T308" t="n">
        <x:v>40</x:v>
      </x:c>
      <x:c r="U308" t="n">
        <x:v>3.8</x:v>
      </x:c>
      <x:c r="V308" t="n">
        <x:v>0.6</x:v>
      </x:c>
      <x:c r="W308" t="n">
        <x:v>10</x:v>
      </x:c>
      <x:c r="X308" t="n">
        <x:v>89</x:v>
      </x:c>
      <x:c r="Y308" t="n">
        <x:v>131</x:v>
      </x:c>
      <x:c r="Z308" t="n">
        <x:v>35</x:v>
      </x:c>
      <x:c r="AA308" t="n">
        <x:v>21</x:v>
      </x:c>
      <x:c r="AB308" t="n">
        <x:v>22</x:v>
      </x:c>
      <x:c r="AC308" t="n">
        <x:v>3</x:v>
      </x:c>
      <x:c r="AD308" t="n">
        <x:v>58.7</x:v>
      </x:c>
      <x:c r="AE308" t="n">
        <x:v>0.12</x:v>
      </x:c>
      <x:c r="AF308" t="n">
        <x:v>16</x:v>
      </x:c>
      <x:c r="AG308" t="n">
        <x:v>16</x:v>
      </x:c>
      <x:c r="AH308" t="n">
        <x:v>24</x:v>
      </x:c>
      <x:c r="AI308" t="n">
        <x:v>8</x:v>
      </x:c>
      <x:c r="AJ308" t="n">
        <x:v>1</x:v>
      </x:c>
      <x:c r="AK308" t="n">
        <x:v>250</x:v>
      </x:c>
      <x:c r="AL308" t="str">
        <x:v>Direkte elektrisk;</x:v>
      </x:c>
      <x:c r="AM308" t="n">
        <x:v>1</x:v>
      </x:c>
      <x:c r="AN308" t="n">
        <x:v>0</x:v>
      </x:c>
      <x:c r="AO308" t="n">
        <x:v>1</x:v>
      </x:c>
      <x:c r="AP308" t="n">
        <x:v>1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str">
        <x:v>energiattester_export_2025-08-14.json | PDF vedlegg side 5-7</x:v>
      </x:c>
      <x:c r="AV308" s="12" t="n">
        <x:f>IF(COUNT(O308,P308,Q308,R308,K308,L308,M308,N308)=8,O308*K308+P308*L308+Q308*M308+R308*N308,"")</x:f>
        <x:v>1000.1299999999999</x:v>
      </x:c>
      <x:c r="AW308" s="12" t="n">
        <x:f>IF(AND(ISNUMBER(AV308),H308&gt;0),AV308/H308,"")</x:f>
        <x:v>0.7789174454828659</x:v>
      </x:c>
      <x:c r="AX308" s="12" t="n">
        <x:f>IF(AND(ISNUMBER(AD308),H308&gt;0),AD308*H308*3600,"")</x:f>
        <x:v>271334880</x:v>
      </x:c>
      <x:c r="AY308" s="12" t="n">
        <x:f>IF(AND(ISNUMBER(Y308),H308&gt;0),Y308*H308,"")</x:f>
        <x:v>168204</x:v>
      </x:c>
      <x:c r="AZ308" t="str">
        <x:v>Høy</x:v>
      </x:c>
    </x:row>
    <x:row r="309" ht="22" customHeight="1">
      <x:c r="A309" t="str">
        <x:v>OT-5ed3ef081253</x:v>
      </x:c>
      <x:c r="B309" t="n">
        <x:v>2015</x:v>
      </x:c>
      <x:c r="C309" t="str">
        <x:v>Kontorbygg</x:v>
      </x:c>
      <x:c r="D309" t="str">
        <x:v>KONTORER, MED VENTILASJON OG KJØLEANLEGG</x:v>
      </x:c>
      <x:c r="E309" t="str">
        <x:v>E</x:v>
      </x:c>
      <x:c r="F309" t="str">
        <x:v>RED</x:v>
      </x:c>
      <x:c r="G309" t="n">
        <x:v>1985</x:v>
      </x:c>
      <x:c r="H309" t="n">
        <x:v>300</x:v>
      </x:c>
      <x:c r="I309" t="n">
        <x:v>201.8</x:v>
      </x:c>
      <x:c r="J309" t="str">
        <x:v>PDF/avansert</x:v>
      </x:c>
      <x:c r="K309" t="n">
        <x:v>215</x:v>
      </x:c>
      <x:c r="L309" t="n">
        <x:v>300</x:v>
      </x:c>
      <x:c r="M309" t="n">
        <x:v>0</x:v>
      </x:c>
      <x:c r="N309" t="n">
        <x:v>31</x:v>
      </x:c>
      <x:c r="O309" t="n">
        <x:v>0.25</x:v>
      </x:c>
      <x:c r="P309" t="n">
        <x:v>0.2</x:v>
      </x:c>
      <x:c r="Q309" t="n">
        <x:v>0</x:v>
      </x:c>
      <x:c r="R309" t="n">
        <x:v>2.4</x:v>
      </x:c>
      <x:c r="S309" t="n">
        <x:v>65</x:v>
      </x:c>
      <x:c r="T309" t="n">
        <x:v>65</x:v>
      </x:c>
      <x:c r="U309" t="n">
        <x:v>5</x:v>
      </x:c>
      <x:c r="V309" t="n">
        <x:v>0</x:v>
      </x:c>
      <x:c r="W309" t="n">
        <x:v>7</x:v>
      </x:c>
      <x:c r="X309" t="n">
        <x:v>86</x:v>
      </x:c>
      <x:c r="Y309" t="n">
        <x:v>80</x:v>
      </x:c>
      <x:c r="Z309" t="n">
        <x:v>0</x:v>
      </x:c>
      <x:c r="AA309" t="n">
        <x:v>21</x:v>
      </x:c>
      <x:c r="AB309" t="n">
        <x:v>22</x:v>
      </x:c>
      <x:c r="AC309" t="n">
        <x:v>4.3</x:v>
      </x:c>
      <x:c r="AD309" t="n">
        <x:v>12.1</x:v>
      </x:c>
      <x:c r="AE309" t="n">
        <x:v>0.06</x:v>
      </x:c>
      <x:c r="AF309" t="n">
        <x:v>12</x:v>
      </x:c>
      <x:c r="AG309" t="n">
        <x:v>12</x:v>
      </x:c>
      <x:c r="AH309" t="n">
        <x:v>24</x:v>
      </x:c>
      <x:c r="AI309" t="n">
        <x:v>8</x:v>
      </x:c>
      <x:c r="AJ309" t="n">
        <x:v>11</x:v>
      </x:c>
      <x:c r="AK309" t="n">
        <x:v>250</x:v>
      </x:c>
      <x:c r="AL309" t="str">
        <x:v>Direkte elektrisk;</x:v>
      </x:c>
      <x:c r="AM309" t="n">
        <x:v>1</x:v>
      </x:c>
      <x:c r="AN309" t="n">
        <x:v>0</x:v>
      </x:c>
      <x:c r="AO309" t="n">
        <x:v>1</x:v>
      </x:c>
      <x:c r="AP309" t="n">
        <x:v>1</x:v>
      </x:c>
      <x:c r="AQ309" t="n">
        <x:v>0</x:v>
      </x:c>
      <x:c r="AR309" t="n">
        <x:v>1</x:v>
      </x:c>
      <x:c r="AS309" t="n">
        <x:v>1</x:v>
      </x:c>
      <x:c r="AT309" t="n">
        <x:v>1</x:v>
      </x:c>
      <x:c r="AU309" t="str">
        <x:v>energiattester_export_2025-08-14.json | PDF vedlegg side 5-7</x:v>
      </x:c>
      <x:c r="AV309" s="12" t="n">
        <x:f>IF(COUNT(O309,P309,Q309,R309,K309,L309,M309,N309)=8,O309*K309+P309*L309+Q309*M309+R309*N309,"")</x:f>
        <x:v>188.14999999999998</x:v>
      </x:c>
      <x:c r="AW309" s="12" t="n">
        <x:f>IF(AND(ISNUMBER(AV309),H309&gt;0),AV309/H309,"")</x:f>
        <x:v>0.6271666666666665</x:v>
      </x:c>
      <x:c r="AX309" s="12" t="n">
        <x:f>IF(AND(ISNUMBER(AD309),H309&gt;0),AD309*H309*3600,"")</x:f>
        <x:v>13068000</x:v>
      </x:c>
      <x:c r="AY309" s="12" t="n">
        <x:f>IF(AND(ISNUMBER(Y309),H309&gt;0),Y309*H309,"")</x:f>
        <x:v>24000</x:v>
      </x:c>
      <x:c r="AZ309" t="str">
        <x:v>Høy</x:v>
      </x:c>
    </x:row>
    <x:row r="310" ht="22" customHeight="1">
      <x:c r="A310" t="str">
        <x:v>OT-7e803db1aa8f</x:v>
      </x:c>
      <x:c r="B310" t="n">
        <x:v>2015</x:v>
      </x:c>
      <x:c r="C310" t="str">
        <x:v>Forretningsbygg</x:v>
      </x:c>
      <x:c r="D310" t="str">
        <x:v>BUTIKK</x:v>
      </x:c>
      <x:c r="E310" t="str">
        <x:v>F</x:v>
      </x:c>
      <x:c r="F310" t="str">
        <x:v>RED</x:v>
      </x:c>
      <x:c r="G310" t="n">
        <x:v>1985</x:v>
      </x:c>
      <x:c r="H310" t="n">
        <x:v>300</x:v>
      </x:c>
      <x:c r="I310" t="n">
        <x:v>372.4</x:v>
      </x:c>
      <x:c r="J310" t="str">
        <x:v>PDF/avansert</x:v>
      </x:c>
      <x:c r="K310" t="n">
        <x:v>232</x:v>
      </x:c>
      <x:c r="L310" t="n">
        <x:v>300</x:v>
      </x:c>
      <x:c r="M310" t="n">
        <x:v>300</x:v>
      </x:c>
      <x:c r="N310" t="n">
        <x:v>14</x:v>
      </x:c>
      <x:c r="O310" t="n">
        <x:v>0.23</x:v>
      </x:c>
      <x:c r="P310" t="n">
        <x:v>0.23</x:v>
      </x:c>
      <x:c r="Q310" t="n">
        <x:v>0.15</x:v>
      </x:c>
      <x:c r="R310" t="n">
        <x:v>2.08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13</x:v>
      </x:c>
      <x:c r="X310" t="n">
        <x:v>89</x:v>
      </x:c>
      <x:c r="Y310" t="n">
        <x:v>280</x:v>
      </x:c>
      <x:c r="Z310" t="n">
        <x:v>0</x:v>
      </x:c>
      <x:c r="AA310" t="n">
        <x:v>21</x:v>
      </x:c>
      <x:c r="AB310" t="n">
        <x:v>22</x:v>
      </x:c>
      <x:c r="AC310" t="n">
        <x:v>4.3</x:v>
      </x:c>
      <x:c r="AD310" t="n">
        <x:v>85.5</x:v>
      </x:c>
      <x:c r="AE310" t="n">
        <x:v>0.06</x:v>
      </x:c>
      <x:c r="AF310" t="n">
        <x:v>12</x:v>
      </x:c>
      <x:c r="AG310" t="n">
        <x:v>12</x:v>
      </x:c>
      <x:c r="AH310" t="n">
        <x:v>24</x:v>
      </x:c>
      <x:c r="AI310" t="n">
        <x:v>15</x:v>
      </x:c>
      <x:c r="AJ310" t="n">
        <x:v>1</x:v>
      </x:c>
      <x:c r="AK310" t="n">
        <x:v>250</x:v>
      </x:c>
      <x:c r="AL310" t="str">
        <x:v>Direkte elektrisk;</x:v>
      </x:c>
      <x:c r="AM310" t="n">
        <x:v>0</x:v>
      </x:c>
      <x:c r="AN310" t="n">
        <x:v>0</x:v>
      </x:c>
      <x:c r="AO310" t="n">
        <x:v>1</x:v>
      </x:c>
      <x:c r="AP310" t="n">
        <x:v>1</x:v>
      </x:c>
      <x:c r="AQ310" t="n">
        <x:v>0</x:v>
      </x:c>
      <x:c r="AR310" t="n">
        <x:v>1</x:v>
      </x:c>
      <x:c r="AS310" t="n">
        <x:v>1</x:v>
      </x:c>
      <x:c r="AT310" t="n">
        <x:v>1</x:v>
      </x:c>
      <x:c r="AU310" t="str">
        <x:v>energiattester_export_2025-08-14.json | PDF vedlegg side 5-7</x:v>
      </x:c>
      <x:c r="AV310" s="12" t="n">
        <x:f>IF(COUNT(O310,P310,Q310,R310,K310,L310,M310,N310)=8,O310*K310+P310*L310+Q310*M310+R310*N310,"")</x:f>
        <x:v>196.48000000000002</x:v>
      </x:c>
      <x:c r="AW310" s="12" t="n">
        <x:f>IF(AND(ISNUMBER(AV310),H310&gt;0),AV310/H310,"")</x:f>
        <x:v>0.6549333333333334</x:v>
      </x:c>
      <x:c r="AX310" s="12" t="n">
        <x:f>IF(AND(ISNUMBER(AD310),H310&gt;0),AD310*H310*3600,"")</x:f>
        <x:v>92340000</x:v>
      </x:c>
      <x:c r="AY310" s="12" t="n">
        <x:f>IF(AND(ISNUMBER(Y310),H310&gt;0),Y310*H310,"")</x:f>
        <x:v>84000</x:v>
      </x:c>
      <x:c r="AZ310" t="str">
        <x:v>Høy</x:v>
      </x:c>
    </x:row>
    <x:row r="311" ht="22" customHeight="1">
      <x:c r="A311" t="str">
        <x:v>OT-f5653288cba4</x:v>
      </x:c>
      <x:c r="B311" t="n">
        <x:v>2015</x:v>
      </x:c>
      <x:c r="C311" t="str">
        <x:v>Kontorbygg</x:v>
      </x:c>
      <x:c r="D311" t="str">
        <x:v>KONTORER, MED VENTILASJON OG KJØLEANLEGG</x:v>
      </x:c>
      <x:c r="E311" t="str">
        <x:v>F</x:v>
      </x:c>
      <x:c r="F311" t="str">
        <x:v>RED</x:v>
      </x:c>
      <x:c r="G311" t="n">
        <x:v>2010</x:v>
      </x:c>
      <x:c r="H311" t="n">
        <x:v>191</x:v>
      </x:c>
      <x:c r="I311" t="n">
        <x:v>264.1</x:v>
      </x:c>
      <x:c r="J311" t="str">
        <x:v>PDF/avansert</x:v>
      </x:c>
      <x:c r="K311" t="n">
        <x:v>189</x:v>
      </x:c>
      <x:c r="L311" t="n">
        <x:v>67</x:v>
      </x:c>
      <x:c r="M311" t="n">
        <x:v>67</x:v>
      </x:c>
      <x:c r="N311" t="n">
        <x:v>47</x:v>
      </x:c>
      <x:c r="O311" t="n">
        <x:v>0.4</x:v>
      </x:c>
      <x:c r="P311" t="n">
        <x:v>0.28</x:v>
      </x:c>
      <x:c r="Q311" t="n">
        <x:v>0.32</x:v>
      </x:c>
      <x:c r="R311" t="n">
        <x:v>1.6</x:v>
      </x:c>
      <x:c r="S311" t="n">
        <x:v>45</x:v>
      </x:c>
      <x:c r="T311" t="n">
        <x:v>44</x:v>
      </x:c>
      <x:c r="U311" t="n">
        <x:v>2.41</x:v>
      </x:c>
      <x:c r="V311" t="n">
        <x:v>0</x:v>
      </x:c>
      <x:c r="W311" t="n">
        <x:v>10.5</x:v>
      </x:c>
      <x:c r="X311" t="n">
        <x:v>89</x:v>
      </x:c>
      <x:c r="Y311" t="n">
        <x:v>80</x:v>
      </x:c>
      <x:c r="Z311" t="n">
        <x:v>0</x:v>
      </x:c>
      <x:c r="AA311" t="n">
        <x:v>21</x:v>
      </x:c>
      <x:c r="AB311" t="n">
        <x:v>22</x:v>
      </x:c>
      <x:c r="AC311" t="n">
        <x:v>2.9</x:v>
      </x:c>
      <x:c r="AD311" t="n">
        <x:v>40</x:v>
      </x:c>
      <x:c r="AE311" t="n">
        <x:v>0.06</x:v>
      </x:c>
      <x:c r="AF311" t="n">
        <x:v>12</x:v>
      </x:c>
      <x:c r="AG311" t="n">
        <x:v>12</x:v>
      </x:c>
      <x:c r="AH311" t="n">
        <x:v>24</x:v>
      </x:c>
      <x:c r="AI311" t="n">
        <x:v>8</x:v>
      </x:c>
      <x:c r="AJ311" t="n">
        <x:v>11</x:v>
      </x:c>
      <x:c r="AK311" t="n">
        <x:v>250</x:v>
      </x:c>
      <x:c r="AL311" t="str">
        <x:v>Direkte elektrisk;</x:v>
      </x:c>
      <x:c r="AM311" t="n">
        <x:v>0</x:v>
      </x:c>
      <x:c r="AN311" t="n">
        <x:v>0</x:v>
      </x:c>
      <x:c r="AO311" t="n">
        <x:v>1</x:v>
      </x:c>
      <x:c r="AP311" t="n">
        <x:v>1</x:v>
      </x:c>
      <x:c r="AQ311" t="n">
        <x:v>0</x:v>
      </x:c>
      <x:c r="AR311" t="n">
        <x:v>1</x:v>
      </x:c>
      <x:c r="AS311" t="n">
        <x:v>1</x:v>
      </x:c>
      <x:c r="AT311" t="n">
        <x:v>0</x:v>
      </x:c>
      <x:c r="AU311" t="str">
        <x:v>energiattester_export_2025-08-14.json | PDF vedlegg side 5-7</x:v>
      </x:c>
      <x:c r="AV311" s="12" t="n">
        <x:f>IF(COUNT(O311,P311,Q311,R311,K311,L311,M311,N311)=8,O311*K311+P311*L311+Q311*M311+R311*N311,"")</x:f>
        <x:v>191</x:v>
      </x:c>
      <x:c r="AW311" s="12" t="n">
        <x:f>IF(AND(ISNUMBER(AV311),H311&gt;0),AV311/H311,"")</x:f>
        <x:v>1</x:v>
      </x:c>
      <x:c r="AX311" s="12" t="n">
        <x:f>IF(AND(ISNUMBER(AD311),H311&gt;0),AD311*H311*3600,"")</x:f>
        <x:v>27504000</x:v>
      </x:c>
      <x:c r="AY311" s="12" t="n">
        <x:f>IF(AND(ISNUMBER(Y311),H311&gt;0),Y311*H311,"")</x:f>
        <x:v>15280</x:v>
      </x:c>
      <x:c r="AZ311" t="str">
        <x:v>Høy</x:v>
      </x:c>
    </x:row>
    <x:row r="312" ht="22" customHeight="1">
      <x:c r="A312" t="str">
        <x:v>OT-a77e3765a053</x:v>
      </x:c>
      <x:c r="B312" t="n">
        <x:v>2015</x:v>
      </x:c>
      <x:c r="C312" t="str">
        <x:v>Kontorbygg</x:v>
      </x:c>
      <x:c r="D312" t="str">
        <x:v>KONTORER, MED VENTILASJON OG KJØLEANLEGG</x:v>
      </x:c>
      <x:c r="E312" t="str">
        <x:v>F</x:v>
      </x:c>
      <x:c r="F312" t="str">
        <x:v>RED</x:v>
      </x:c>
      <x:c r="G312" t="n">
        <x:v>1961</x:v>
      </x:c>
      <x:c r="H312" t="n">
        <x:v>295</x:v>
      </x:c>
      <x:c r="I312" t="n">
        <x:v>225</x:v>
      </x:c>
      <x:c r="J312" t="str">
        <x:v>PDF/avansert</x:v>
      </x:c>
      <x:c r="K312" t="n">
        <x:v>209</x:v>
      </x:c>
      <x:c r="L312" t="n">
        <x:v>210</x:v>
      </x:c>
      <x:c r="M312" t="n">
        <x:v>295</x:v>
      </x:c>
      <x:c r="N312" t="n">
        <x:v>66</x:v>
      </x:c>
      <x:c r="O312" t="n">
        <x:v>0.28</x:v>
      </x:c>
      <x:c r="P312" t="n">
        <x:v>0.17</x:v>
      </x:c>
      <x:c r="Q312" t="n">
        <x:v>0.19</x:v>
      </x:c>
      <x:c r="R312" t="n">
        <x:v>1.59</x:v>
      </x:c>
      <x:c r="S312" t="n">
        <x:v>70</x:v>
      </x:c>
      <x:c r="T312" t="n">
        <x:v>70</x:v>
      </x:c>
      <x:c r="U312" t="n">
        <x:v>2.5</x:v>
      </x:c>
      <x:c r="V312" t="n">
        <x:v>0.32</x:v>
      </x:c>
      <x:c r="W312" t="n">
        <x:v>7</x:v>
      </x:c>
      <x:c r="X312" t="n">
        <x:v>108</x:v>
      </x:c>
      <x:c r="Y312" t="n">
        <x:v>80</x:v>
      </x:c>
      <x:c r="Z312" t="n">
        <x:v>0</x:v>
      </x:c>
      <x:c r="AA312" t="n">
        <x:v>21</x:v>
      </x:c>
      <x:c r="AB312" t="n">
        <x:v>22</x:v>
      </x:c>
      <x:c r="AC312" t="n">
        <x:v>5.5</x:v>
      </x:c>
      <x:c r="AD312" t="n">
        <x:v>38.6</x:v>
      </x:c>
      <x:c r="AE312" t="n">
        <x:v>0.1</x:v>
      </x:c>
      <x:c r="AF312"/>
      <x:c r="AG312"/>
      <x:c r="AH312"/>
      <x:c r="AI312"/>
      <x:c r="AJ312"/>
      <x:c r="AK312" t="n">
        <x:v>250</x:v>
      </x:c>
      <x:c r="AL312"/>
      <x:c r="AM312" t="n">
        <x:v>0</x:v>
      </x:c>
      <x:c r="AN312" t="n">
        <x:v>0</x:v>
      </x:c>
      <x:c r="AO312" t="n">
        <x:v>1</x:v>
      </x:c>
      <x:c r="AP312" t="n">
        <x:v>1</x:v>
      </x:c>
      <x:c r="AQ312" t="n">
        <x:v>0</x:v>
      </x:c>
      <x:c r="AR312" t="n">
        <x:v>1</x:v>
      </x:c>
      <x:c r="AS312" t="n">
        <x:v>0</x:v>
      </x:c>
      <x:c r="AT312" t="n">
        <x:v>1</x:v>
      </x:c>
      <x:c r="AU312" t="str">
        <x:v>energiattester_export_2025-08-14.json | PDF vedlegg side 5-7</x:v>
      </x:c>
      <x:c r="AV312" s="12" t="n">
        <x:f>IF(COUNT(O312,P312,Q312,R312,K312,L312,M312,N312)=8,O312*K312+P312*L312+Q312*M312+R312*N312,"")</x:f>
        <x:v>255.20999999999998</x:v>
      </x:c>
      <x:c r="AW312" s="12" t="n">
        <x:f>IF(AND(ISNUMBER(AV312),H312&gt;0),AV312/H312,"")</x:f>
        <x:v>0.8651186440677966</x:v>
      </x:c>
      <x:c r="AX312" s="12" t="n">
        <x:f>IF(AND(ISNUMBER(AD312),H312&gt;0),AD312*H312*3600,"")</x:f>
        <x:v>40993200</x:v>
      </x:c>
      <x:c r="AY312" s="12" t="n">
        <x:f>IF(AND(ISNUMBER(Y312),H312&gt;0),Y312*H312,"")</x:f>
        <x:v>23600</x:v>
      </x:c>
      <x:c r="AZ312" t="str">
        <x:v>Høy</x:v>
      </x:c>
    </x:row>
    <x:row r="313" ht="22" customHeight="1">
      <x:c r="A313" t="str">
        <x:v>OT-b286b434b7b6</x:v>
      </x:c>
      <x:c r="B313" t="n">
        <x:v>2015</x:v>
      </x:c>
      <x:c r="C313" t="str">
        <x:v>Kontorbygg</x:v>
      </x:c>
      <x:c r="D313" t="str">
        <x:v>KONTORER, ENKLE</x:v>
      </x:c>
      <x:c r="E313" t="str">
        <x:v>C</x:v>
      </x:c>
      <x:c r="F313" t="str">
        <x:v>RED</x:v>
      </x:c>
      <x:c r="G313" t="n">
        <x:v>1981</x:v>
      </x:c>
      <x:c r="H313" t="n">
        <x:v>13902</x:v>
      </x:c>
      <x:c r="I313" t="n">
        <x:v>140.8</x:v>
      </x:c>
      <x:c r="J313" t="str">
        <x:v>PDF/avansert</x:v>
      </x:c>
      <x:c r="K313" t="n">
        <x:v>2458</x:v>
      </x:c>
      <x:c r="L313" t="n">
        <x:v>2868</x:v>
      </x:c>
      <x:c r="M313" t="n">
        <x:v>224</x:v>
      </x:c>
      <x:c r="N313" t="n">
        <x:v>3201</x:v>
      </x:c>
      <x:c r="O313" t="n">
        <x:v>0.23</x:v>
      </x:c>
      <x:c r="P313" t="n">
        <x:v>0.18</x:v>
      </x:c>
      <x:c r="Q313" t="n">
        <x:v>0.14</x:v>
      </x:c>
      <x:c r="R313" t="n">
        <x:v>0.78</x:v>
      </x:c>
      <x:c r="S313" t="n">
        <x:v>79</x:v>
      </x:c>
      <x:c r="T313" t="n">
        <x:v>79</x:v>
      </x:c>
      <x:c r="U313" t="n">
        <x:v>2.56</x:v>
      </x:c>
      <x:c r="V313" t="n">
        <x:v>0.04</x:v>
      </x:c>
      <x:c r="W313" t="n">
        <x:v>11.39</x:v>
      </x:c>
      <x:c r="X313" t="n">
        <x:v>91</x:v>
      </x:c>
      <x:c r="Y313" t="n">
        <x:v>107</x:v>
      </x:c>
      <x:c r="Z313" t="n">
        <x:v>64</x:v>
      </x:c>
      <x:c r="AA313" t="n">
        <x:v>21</x:v>
      </x:c>
      <x:c r="AB313" t="n">
        <x:v>22</x:v>
      </x:c>
      <x:c r="AC313" t="n">
        <x:v>1.5</x:v>
      </x:c>
      <x:c r="AD313" t="n">
        <x:v>44.5</x:v>
      </x:c>
      <x:c r="AE313" t="n">
        <x:v>0.12</x:v>
      </x:c>
      <x:c r="AF313" t="n">
        <x:v>12</x:v>
      </x:c>
      <x:c r="AG313" t="n">
        <x:v>12</x:v>
      </x:c>
      <x:c r="AH313" t="n">
        <x:v>24</x:v>
      </x:c>
      <x:c r="AI313" t="n">
        <x:v>8</x:v>
      </x:c>
      <x:c r="AJ313" t="n">
        <x:v>11</x:v>
      </x:c>
      <x:c r="AK313" t="n">
        <x:v>240</x:v>
      </x:c>
      <x:c r="AL313" t="str">
        <x:v>Direkte elektrisk;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1</x:v>
      </x:c>
      <x:c r="AR313" t="n">
        <x:v>0</x:v>
      </x:c>
      <x:c r="AS313" t="n">
        <x:v>0</x:v>
      </x:c>
      <x:c r="AT313" t="n">
        <x:v>0</x:v>
      </x:c>
      <x:c r="AU313" t="str">
        <x:v>energiattester_export_2025-08-14.json | PDF vedlegg side 5-7</x:v>
      </x:c>
      <x:c r="AV313" s="12" t="n">
        <x:f>IF(COUNT(O313,P313,Q313,R313,K313,L313,M313,N313)=8,O313*K313+P313*L313+Q313*M313+R313*N313,"")</x:f>
        <x:v>3609.7200000000003</x:v>
      </x:c>
      <x:c r="AW313" s="12" t="n">
        <x:f>IF(AND(ISNUMBER(AV313),H313&gt;0),AV313/H313,"")</x:f>
        <x:v>0.25965472593871386</x:v>
      </x:c>
      <x:c r="AX313" s="12" t="n">
        <x:f>IF(AND(ISNUMBER(AD313),H313&gt;0),AD313*H313*3600,"")</x:f>
        <x:v>2227100400</x:v>
      </x:c>
      <x:c r="AY313" s="12" t="n">
        <x:f>IF(AND(ISNUMBER(Y313),H313&gt;0),Y313*H313,"")</x:f>
        <x:v>1487514</x:v>
      </x:c>
      <x:c r="AZ313" t="str">
        <x:v>Høy</x:v>
      </x:c>
    </x:row>
    <x:row r="314" ht="22" customHeight="1">
      <x:c r="A314" t="str">
        <x:v>OT-77a827b413c4</x:v>
      </x:c>
      <x:c r="B314" t="n">
        <x:v>2015</x:v>
      </x:c>
      <x:c r="C314" t="str">
        <x:v>Forretningsbygg</x:v>
      </x:c>
      <x:c r="D314" t="str">
        <x:v>BUTIKK</x:v>
      </x:c>
      <x:c r="E314" t="str">
        <x:v>E</x:v>
      </x:c>
      <x:c r="F314" t="str">
        <x:v>RED</x:v>
      </x:c>
      <x:c r="G314" t="n">
        <x:v>1976</x:v>
      </x:c>
      <x:c r="H314" t="n">
        <x:v>3448</x:v>
      </x:c>
      <x:c r="I314" t="n">
        <x:v>271.9</x:v>
      </x:c>
      <x:c r="J314" t="str">
        <x:v>PDF/avansert</x:v>
      </x:c>
      <x:c r="K314" t="n">
        <x:v>2107</x:v>
      </x:c>
      <x:c r="L314" t="n">
        <x:v>3364</x:v>
      </x:c>
      <x:c r="M314" t="n">
        <x:v>3448</x:v>
      </x:c>
      <x:c r="N314" t="n">
        <x:v>221</x:v>
      </x:c>
      <x:c r="O314" t="n">
        <x:v>0.46</x:v>
      </x:c>
      <x:c r="P314" t="n">
        <x:v>0.21</x:v>
      </x:c>
      <x:c r="Q314" t="n">
        <x:v>0.13</x:v>
      </x:c>
      <x:c r="R314" t="n">
        <x:v>2.26</x:v>
      </x:c>
      <x:c r="S314" t="n">
        <x:v>70</x:v>
      </x:c>
      <x:c r="T314" t="n">
        <x:v>70</x:v>
      </x:c>
      <x:c r="U314" t="n">
        <x:v>2</x:v>
      </x:c>
      <x:c r="V314" t="n">
        <x:v>0.23</x:v>
      </x:c>
      <x:c r="W314" t="n">
        <x:v>13</x:v>
      </x:c>
      <x:c r="X314" t="n">
        <x:v>81</x:v>
      </x:c>
      <x:c r="Y314" t="n">
        <x:v>56</x:v>
      </x:c>
      <x:c r="Z314" t="n">
        <x:v>17</x:v>
      </x:c>
      <x:c r="AA314" t="n">
        <x:v>21</x:v>
      </x:c>
      <x:c r="AB314" t="n">
        <x:v>22</x:v>
      </x:c>
      <x:c r="AC314" t="n">
        <x:v>2</x:v>
      </x:c>
      <x:c r="AD314" t="n">
        <x:v>101.2</x:v>
      </x:c>
      <x:c r="AE314" t="n">
        <x:v>0.06</x:v>
      </x:c>
      <x:c r="AF314" t="n">
        <x:v>12</x:v>
      </x:c>
      <x:c r="AG314" t="n">
        <x:v>12</x:v>
      </x:c>
      <x:c r="AH314" t="n">
        <x:v>24</x:v>
      </x:c>
      <x:c r="AI314" t="n">
        <x:v>15</x:v>
      </x:c>
      <x:c r="AJ314" t="n">
        <x:v>1</x:v>
      </x:c>
      <x:c r="AK314" t="n">
        <x:v>250</x:v>
      </x:c>
      <x:c r="AL314" t="str">
        <x:v>Direkte elektrisk;</x:v>
      </x:c>
      <x:c r="AM314" t="n">
        <x:v>0</x:v>
      </x:c>
      <x:c r="AN314" t="n">
        <x:v>0</x:v>
      </x:c>
      <x:c r="AO314" t="n">
        <x:v>1</x:v>
      </x:c>
      <x:c r="AP314" t="n">
        <x:v>0</x:v>
      </x:c>
      <x:c r="AQ314" t="n">
        <x:v>0</x:v>
      </x:c>
      <x:c r="AR314" t="n">
        <x:v>1</x:v>
      </x:c>
      <x:c r="AS314" t="n">
        <x:v>1</x:v>
      </x:c>
      <x:c r="AT314" t="n">
        <x:v>0</x:v>
      </x:c>
      <x:c r="AU314" t="str">
        <x:v>energiattester_export_2025-08-14.json | PDF vedlegg side 5-7</x:v>
      </x:c>
      <x:c r="AV314" s="12" t="n">
        <x:f>IF(COUNT(O314,P314,Q314,R314,K314,L314,M314,N314)=8,O314*K314+P314*L314+Q314*M314+R314*N314,"")</x:f>
        <x:v>2623.3599999999997</x:v>
      </x:c>
      <x:c r="AW314" s="12" t="n">
        <x:f>IF(AND(ISNUMBER(AV314),H314&gt;0),AV314/H314,"")</x:f>
        <x:v>0.7608352668213456</x:v>
      </x:c>
      <x:c r="AX314" s="12" t="n">
        <x:f>IF(AND(ISNUMBER(AD314),H314&gt;0),AD314*H314*3600,"")</x:f>
        <x:v>1256175360.0000002</x:v>
      </x:c>
      <x:c r="AY314" s="12" t="n">
        <x:f>IF(AND(ISNUMBER(Y314),H314&gt;0),Y314*H314,"")</x:f>
        <x:v>193088</x:v>
      </x:c>
      <x:c r="AZ314" t="str">
        <x:v>Høy</x:v>
      </x:c>
    </x:row>
    <x:row r="315" ht="22" customHeight="1">
      <x:c r="A315" t="str">
        <x:v>OT-3b578fa51bd8</x:v>
      </x:c>
      <x:c r="B315" t="n">
        <x:v>2015</x:v>
      </x:c>
      <x:c r="C315" t="str">
        <x:v>Forretningsbygg</x:v>
      </x:c>
      <x:c r="D315" t="str">
        <x:v>Butikk</x:v>
      </x:c>
      <x:c r="E315" t="str">
        <x:v>G</x:v>
      </x:c>
      <x:c r="F315" t="str">
        <x:v>RED</x:v>
      </x:c>
      <x:c r="G315" t="n">
        <x:v>1960</x:v>
      </x:c>
      <x:c r="H315" t="n">
        <x:v>605</x:v>
      </x:c>
      <x:c r="I315" t="n">
        <x:v>535.09</x:v>
      </x:c>
      <x:c r="J315" t="str">
        <x:v>PDF/avansert</x:v>
      </x:c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 t="n">
        <x:v>1</x:v>
      </x:c>
      <x:c r="AN315" t="n">
        <x:v>0</x:v>
      </x:c>
      <x:c r="AO315" t="n">
        <x:v>1</x:v>
      </x:c>
      <x:c r="AP315" t="n">
        <x:v>1</x:v>
      </x:c>
      <x:c r="AQ315" t="n">
        <x:v>0</x:v>
      </x:c>
      <x:c r="AR315" t="n">
        <x:v>1</x:v>
      </x:c>
      <x:c r="AS315" t="n">
        <x:v>1</x:v>
      </x:c>
      <x:c r="AT315" t="n">
        <x:v>1</x:v>
      </x:c>
      <x:c r="AU315" t="str">
        <x:v>energiattester_export_2025-08-14.json | PDF vedlegg side 5-7</x:v>
      </x:c>
      <x:c r="AV315" s="12" t="str">
        <x:f>IF(COUNT(O315,P315,Q315,R315,K315,L315,M315,N315)=8,O315*K315+P315*L315+Q315*M315+R315*N315,"")</x:f>
      </x:c>
      <x:c r="AW315" s="12" t="str">
        <x:f>IF(AND(ISNUMBER(AV315),H315&gt;0),AV315/H315,"")</x:f>
      </x:c>
      <x:c r="AX315" s="12" t="str">
        <x:f>IF(AND(ISNUMBER(AD315),H315&gt;0),AD315*H315*3600,"")</x:f>
      </x:c>
      <x:c r="AY315" s="12" t="str">
        <x:f>IF(AND(ISNUMBER(Y315),H315&gt;0),Y315*H315,"")</x:f>
      </x:c>
      <x:c r="AZ315" t="str">
        <x:v>Mangler data</x:v>
      </x:c>
    </x:row>
    <x:row r="316" ht="22" customHeight="1">
      <x:c r="A316" t="str">
        <x:v>OT-99532866b81d</x:v>
      </x:c>
      <x:c r="B316" t="n">
        <x:v>2015</x:v>
      </x:c>
      <x:c r="C316" t="str">
        <x:v>Kontorbygg</x:v>
      </x:c>
      <x:c r="D316" t="str">
        <x:v>KONTORER, ENKLE</x:v>
      </x:c>
      <x:c r="E316" t="str">
        <x:v>E</x:v>
      </x:c>
      <x:c r="F316" t="str">
        <x:v>RED</x:v>
      </x:c>
      <x:c r="G316" t="n">
        <x:v>1999</x:v>
      </x:c>
      <x:c r="H316" t="n">
        <x:v>1078</x:v>
      </x:c>
      <x:c r="I316" t="n">
        <x:v>219.4</x:v>
      </x:c>
      <x:c r="J316" t="str">
        <x:v>PDF/avansert</x:v>
      </x:c>
      <x:c r="K316" t="n">
        <x:v>559</x:v>
      </x:c>
      <x:c r="L316" t="n">
        <x:v>703</x:v>
      </x:c>
      <x:c r="M316" t="n">
        <x:v>703</x:v>
      </x:c>
      <x:c r="N316" t="n">
        <x:v>138</x:v>
      </x:c>
      <x:c r="O316" t="n">
        <x:v>0.29</x:v>
      </x:c>
      <x:c r="P316" t="n">
        <x:v>0.13</x:v>
      </x:c>
      <x:c r="Q316" t="n">
        <x:v>0.14</x:v>
      </x:c>
      <x:c r="R316" t="n">
        <x:v>1.1</x:v>
      </x:c>
      <x:c r="S316" t="n">
        <x:v>71</x:v>
      </x:c>
      <x:c r="T316" t="n">
        <x:v>71</x:v>
      </x:c>
      <x:c r="U316" t="n">
        <x:v>2.42</x:v>
      </x:c>
      <x:c r="V316" t="n">
        <x:v>0.23</x:v>
      </x:c>
      <x:c r="W316" t="n">
        <x:v>12.96</x:v>
      </x:c>
      <x:c r="X316" t="n">
        <x:v>91</x:v>
      </x:c>
      <x:c r="Y316" t="n">
        <x:v>110</x:v>
      </x:c>
      <x:c r="Z316" t="n">
        <x:v>100</x:v>
      </x:c>
      <x:c r="AA316" t="n">
        <x:v>21</x:v>
      </x:c>
      <x:c r="AB316" t="n">
        <x:v>22</x:v>
      </x:c>
      <x:c r="AC316" t="n">
        <x:v>3.5</x:v>
      </x:c>
      <x:c r="AD316" t="n">
        <x:v>26.3</x:v>
      </x:c>
      <x:c r="AE316" t="n">
        <x:v>0.12</x:v>
      </x:c>
      <x:c r="AF316" t="n">
        <x:v>12</x:v>
      </x:c>
      <x:c r="AG316" t="n">
        <x:v>12</x:v>
      </x:c>
      <x:c r="AH316" t="n">
        <x:v>24</x:v>
      </x:c>
      <x:c r="AI316" t="n">
        <x:v>8</x:v>
      </x:c>
      <x:c r="AJ316" t="n">
        <x:v>11</x:v>
      </x:c>
      <x:c r="AK316" t="n">
        <x:v>250</x:v>
      </x:c>
      <x:c r="AL316" t="str">
        <x:v>Direkte elektrisk;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1</x:v>
      </x:c>
      <x:c r="AS316" t="n">
        <x:v>1</x:v>
      </x:c>
      <x:c r="AT316" t="n">
        <x:v>1</x:v>
      </x:c>
      <x:c r="AU316" t="str">
        <x:v>energiattester_export_2025-08-14.json | PDF vedlegg side 5-7</x:v>
      </x:c>
      <x:c r="AV316" s="12" t="n">
        <x:f>IF(COUNT(O316,P316,Q316,R316,K316,L316,M316,N316)=8,O316*K316+P316*L316+Q316*M316+R316*N316,"")</x:f>
        <x:v>503.72</x:v>
      </x:c>
      <x:c r="AW316" s="12" t="n">
        <x:f>IF(AND(ISNUMBER(AV316),H316&gt;0),AV316/H316,"")</x:f>
        <x:v>0.4672727272727273</x:v>
      </x:c>
      <x:c r="AX316" s="12" t="n">
        <x:f>IF(AND(ISNUMBER(AD316),H316&gt;0),AD316*H316*3600,"")</x:f>
        <x:v>102065040</x:v>
      </x:c>
      <x:c r="AY316" s="12" t="n">
        <x:f>IF(AND(ISNUMBER(Y316),H316&gt;0),Y316*H316,"")</x:f>
        <x:v>118580</x:v>
      </x:c>
      <x:c r="AZ316" t="str">
        <x:v>Høy</x:v>
      </x:c>
    </x:row>
    <x:row r="317" ht="22" customHeight="1">
      <x:c r="A317" t="str">
        <x:v>OT-5ba66970f99b</x:v>
      </x:c>
      <x:c r="B317" t="n">
        <x:v>2015</x:v>
      </x:c>
      <x:c r="C317" t="str">
        <x:v>Kontorbygg</x:v>
      </x:c>
      <x:c r="D317" t="str">
        <x:v>KONTORER, ENKLE</x:v>
      </x:c>
      <x:c r="E317" t="str">
        <x:v>E</x:v>
      </x:c>
      <x:c r="F317" t="str">
        <x:v>RED</x:v>
      </x:c>
      <x:c r="G317" t="n">
        <x:v>1898</x:v>
      </x:c>
      <x:c r="H317" t="n">
        <x:v>2506</x:v>
      </x:c>
      <x:c r="I317" t="n">
        <x:v>194</x:v>
      </x:c>
      <x:c r="J317" t="str">
        <x:v>PDF/avansert</x:v>
      </x:c>
      <x:c r="K317" t="n">
        <x:v>374</x:v>
      </x:c>
      <x:c r="L317" t="n">
        <x:v>625</x:v>
      </x:c>
      <x:c r="M317" t="n">
        <x:v>0</x:v>
      </x:c>
      <x:c r="N317" t="n">
        <x:v>306</x:v>
      </x:c>
      <x:c r="O317" t="n">
        <x:v>0.7</x:v>
      </x:c>
      <x:c r="P317" t="n">
        <x:v>0.41</x:v>
      </x:c>
      <x:c r="Q317" t="n">
        <x:v>0</x:v>
      </x:c>
      <x:c r="R317" t="n">
        <x:v>2.4</x:v>
      </x:c>
      <x:c r="S317" t="n">
        <x:v>70</x:v>
      </x:c>
      <x:c r="T317" t="n">
        <x:v>70</x:v>
      </x:c>
      <x:c r="U317" t="n">
        <x:v>3</x:v>
      </x:c>
      <x:c r="V317" t="n">
        <x:v>0.38</x:v>
      </x:c>
      <x:c r="W317" t="n">
        <x:v>7</x:v>
      </x:c>
      <x:c r="X317" t="n">
        <x:v>98</x:v>
      </x:c>
      <x:c r="Y317" t="n">
        <x:v>80</x:v>
      </x:c>
      <x:c r="Z317" t="n">
        <x:v>70</x:v>
      </x:c>
      <x:c r="AA317" t="n">
        <x:v>21</x:v>
      </x:c>
      <x:c r="AB317" t="n">
        <x:v>22</x:v>
      </x:c>
      <x:c r="AC317" t="n">
        <x:v>3.5</x:v>
      </x:c>
      <x:c r="AD317" t="n">
        <x:v>15.2</x:v>
      </x:c>
      <x:c r="AE317" t="n">
        <x:v>0.12</x:v>
      </x:c>
      <x:c r="AF317" t="n">
        <x:v>12</x:v>
      </x:c>
      <x:c r="AG317" t="n">
        <x:v>12</x:v>
      </x:c>
      <x:c r="AH317" t="n">
        <x:v>24</x:v>
      </x:c>
      <x:c r="AI317" t="n">
        <x:v>8</x:v>
      </x:c>
      <x:c r="AJ317" t="n">
        <x:v>11</x:v>
      </x:c>
      <x:c r="AK317" t="n">
        <x:v>250</x:v>
      </x:c>
      <x:c r="AL317" t="str">
        <x:v>Direkte elektrisk;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str">
        <x:v>energiattester_export_2025-08-14.json | PDF vedlegg side 5-7</x:v>
      </x:c>
      <x:c r="AV317" s="12" t="n">
        <x:f>IF(COUNT(O317,P317,Q317,R317,K317,L317,M317,N317)=8,O317*K317+P317*L317+Q317*M317+R317*N317,"")</x:f>
        <x:v>1252.4499999999998</x:v>
      </x:c>
      <x:c r="AW317" s="12" t="n">
        <x:f>IF(AND(ISNUMBER(AV317),H317&gt;0),AV317/H317,"")</x:f>
        <x:v>0.49978052673583395</x:v>
      </x:c>
      <x:c r="AX317" s="12" t="n">
        <x:f>IF(AND(ISNUMBER(AD317),H317&gt;0),AD317*H317*3600,"")</x:f>
        <x:v>137128320</x:v>
      </x:c>
      <x:c r="AY317" s="12" t="n">
        <x:f>IF(AND(ISNUMBER(Y317),H317&gt;0),Y317*H317,"")</x:f>
        <x:v>200480</x:v>
      </x:c>
      <x:c r="AZ317" t="str">
        <x:v>Høy</x:v>
      </x:c>
    </x:row>
    <x:row r="318" ht="22" customHeight="1">
      <x:c r="A318" t="str">
        <x:v>OT-44e50715b455</x:v>
      </x:c>
      <x:c r="B318" t="n">
        <x:v>2015</x:v>
      </x:c>
      <x:c r="C318" t="str">
        <x:v>Forretningsbygg</x:v>
      </x:c>
      <x:c r="D318" t="str">
        <x:v>BUTIKK</x:v>
      </x:c>
      <x:c r="E318" t="str">
        <x:v>C</x:v>
      </x:c>
      <x:c r="F318" t="str">
        <x:v>RED</x:v>
      </x:c>
      <x:c r="G318" t="n">
        <x:v>1898</x:v>
      </x:c>
      <x:c r="H318" t="n">
        <x:v>1086</x:v>
      </x:c>
      <x:c r="I318" t="n">
        <x:v>194</x:v>
      </x:c>
      <x:c r="J318" t="str">
        <x:v>PDF/avansert</x:v>
      </x:c>
      <x:c r="K318" t="n">
        <x:v>183</x:v>
      </x:c>
      <x:c r="L318" t="n">
        <x:v>5</x:v>
      </x:c>
      <x:c r="M318" t="n">
        <x:v>581</x:v>
      </x:c>
      <x:c r="N318" t="n">
        <x:v>220</x:v>
      </x:c>
      <x:c r="O318" t="n">
        <x:v>0.29</x:v>
      </x:c>
      <x:c r="P318" t="n">
        <x:v>0.41</x:v>
      </x:c>
      <x:c r="Q318" t="n">
        <x:v>0.16</x:v>
      </x:c>
      <x:c r="R318" t="n">
        <x:v>1.52</x:v>
      </x:c>
      <x:c r="S318" t="n">
        <x:v>66</x:v>
      </x:c>
      <x:c r="T318" t="n">
        <x:v>66</x:v>
      </x:c>
      <x:c r="U318" t="n">
        <x:v>3</x:v>
      </x:c>
      <x:c r="V318" t="n">
        <x:v>0.22</x:v>
      </x:c>
      <x:c r="W318" t="n">
        <x:v>13</x:v>
      </x:c>
      <x:c r="X318" t="n">
        <x:v>98</x:v>
      </x:c>
      <x:c r="Y318" t="n">
        <x:v>80</x:v>
      </x:c>
      <x:c r="Z318" t="n">
        <x:v>30</x:v>
      </x:c>
      <x:c r="AA318" t="n">
        <x:v>21</x:v>
      </x:c>
      <x:c r="AB318" t="n">
        <x:v>22</x:v>
      </x:c>
      <x:c r="AC318" t="n">
        <x:v>3.5</x:v>
      </x:c>
      <x:c r="AD318" t="n">
        <x:v>37.7</x:v>
      </x:c>
      <x:c r="AE318" t="n">
        <x:v>0.12</x:v>
      </x:c>
      <x:c r="AF318" t="n">
        <x:v>12</x:v>
      </x:c>
      <x:c r="AG318" t="n">
        <x:v>12</x:v>
      </x:c>
      <x:c r="AH318" t="n">
        <x:v>24</x:v>
      </x:c>
      <x:c r="AI318" t="n">
        <x:v>15</x:v>
      </x:c>
      <x:c r="AJ318" t="n">
        <x:v>1</x:v>
      </x:c>
      <x:c r="AK318" t="n">
        <x:v>250</x:v>
      </x:c>
      <x:c r="AL318" t="str">
        <x:v>Direkte elektrisk;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str">
        <x:v>energiattester_export_2025-08-14.json | PDF vedlegg side 5-7</x:v>
      </x:c>
      <x:c r="AV318" s="12" t="n">
        <x:f>IF(COUNT(O318,P318,Q318,R318,K318,L318,M318,N318)=8,O318*K318+P318*L318+Q318*M318+R318*N318,"")</x:f>
        <x:v>482.47999999999996</x:v>
      </x:c>
      <x:c r="AW318" s="12" t="n">
        <x:f>IF(AND(ISNUMBER(AV318),H318&gt;0),AV318/H318,"")</x:f>
        <x:v>0.44427255985267033</x:v>
      </x:c>
      <x:c r="AX318" s="12" t="n">
        <x:f>IF(AND(ISNUMBER(AD318),H318&gt;0),AD318*H318*3600,"")</x:f>
        <x:v>147391920.00000003</x:v>
      </x:c>
      <x:c r="AY318" s="12" t="n">
        <x:f>IF(AND(ISNUMBER(Y318),H318&gt;0),Y318*H318,"")</x:f>
        <x:v>86880</x:v>
      </x:c>
      <x:c r="AZ318" t="str">
        <x:v>Høy</x:v>
      </x:c>
    </x:row>
    <x:row r="319" ht="22" customHeight="1">
      <x:c r="A319" t="str">
        <x:v>OT-4de90de8c1ba</x:v>
      </x:c>
      <x:c r="B319" t="n">
        <x:v>2015</x:v>
      </x:c>
      <x:c r="C319" t="str">
        <x:v>Forretningsbygg</x:v>
      </x:c>
      <x:c r="D319" t="str">
        <x:v>BUTIKK MED KJØLE- / FRYSEROM</x:v>
      </x:c>
      <x:c r="E319" t="str">
        <x:v>B</x:v>
      </x:c>
      <x:c r="F319" t="str">
        <x:v>ORANGE</x:v>
      </x:c>
      <x:c r="G319" t="n">
        <x:v>2011</x:v>
      </x:c>
      <x:c r="H319" t="n">
        <x:v>1226</x:v>
      </x:c>
      <x:c r="I319" t="n">
        <x:v>123.9</x:v>
      </x:c>
      <x:c r="J319" t="str">
        <x:v>PDF/avansert</x:v>
      </x:c>
      <x:c r="K319" t="n">
        <x:v>653</x:v>
      </x:c>
      <x:c r="L319" t="n">
        <x:v>1181</x:v>
      </x:c>
      <x:c r="M319" t="n">
        <x:v>1226</x:v>
      </x:c>
      <x:c r="N319" t="n">
        <x:v>116</x:v>
      </x:c>
      <x:c r="O319" t="n">
        <x:v>0.16</x:v>
      </x:c>
      <x:c r="P319" t="n">
        <x:v>0.13</x:v>
      </x:c>
      <x:c r="Q319" t="n">
        <x:v>0.09</x:v>
      </x:c>
      <x:c r="R319" t="n">
        <x:v>1.29</x:v>
      </x:c>
      <x:c r="S319" t="n">
        <x:v>85</x:v>
      </x:c>
      <x:c r="T319" t="n">
        <x:v>85</x:v>
      </x:c>
      <x:c r="U319" t="n">
        <x:v>1.53</x:v>
      </x:c>
      <x:c r="V319" t="n">
        <x:v>0.11</x:v>
      </x:c>
      <x:c r="W319" t="n">
        <x:v>13</x:v>
      </x:c>
      <x:c r="X319" t="n">
        <x:v>189</x:v>
      </x:c>
      <x:c r="Y319" t="n">
        <x:v>45</x:v>
      </x:c>
      <x:c r="Z319" t="n">
        <x:v>1</x:v>
      </x:c>
      <x:c r="AA319" t="n">
        <x:v>21</x:v>
      </x:c>
      <x:c r="AB319" t="n">
        <x:v>22</x:v>
      </x:c>
      <x:c r="AC319" t="n">
        <x:v>3</x:v>
      </x:c>
      <x:c r="AD319" t="n">
        <x:v>77</x:v>
      </x:c>
      <x:c r="AE319" t="n">
        <x:v>0.04</x:v>
      </x:c>
      <x:c r="AF319" t="n">
        <x:v>12</x:v>
      </x:c>
      <x:c r="AG319" t="n">
        <x:v>12</x:v>
      </x:c>
      <x:c r="AH319" t="n">
        <x:v>24</x:v>
      </x:c>
      <x:c r="AI319" t="n">
        <x:v>15</x:v>
      </x:c>
      <x:c r="AJ319" t="n">
        <x:v>1</x:v>
      </x:c>
      <x:c r="AK319" t="n">
        <x:v>250</x:v>
      </x:c>
      <x:c r="AL319" t="str">
        <x:v>Direkte elektrisk; Varmepumpe;</x:v>
      </x:c>
      <x:c r="AM319"/>
      <x:c r="AN319"/>
      <x:c r="AO319"/>
      <x:c r="AP319"/>
      <x:c r="AQ319"/>
      <x:c r="AR319"/>
      <x:c r="AS319"/>
      <x:c r="AT319"/>
      <x:c r="AU319" t="str">
        <x:v>energiattester_export_2025-08-14.json | PDF vedlegg side 5-7</x:v>
      </x:c>
      <x:c r="AV319" s="12" t="n">
        <x:f>IF(COUNT(O319,P319,Q319,R319,K319,L319,M319,N319)=8,O319*K319+P319*L319+Q319*M319+R319*N319,"")</x:f>
        <x:v>517.99</x:v>
      </x:c>
      <x:c r="AW319" s="12" t="n">
        <x:f>IF(AND(ISNUMBER(AV319),H319&gt;0),AV319/H319,"")</x:f>
        <x:v>0.4225040783034258</x:v>
      </x:c>
      <x:c r="AX319" s="12" t="n">
        <x:f>IF(AND(ISNUMBER(AD319),H319&gt;0),AD319*H319*3600,"")</x:f>
        <x:v>339847200</x:v>
      </x:c>
      <x:c r="AY319" s="12" t="n">
        <x:f>IF(AND(ISNUMBER(Y319),H319&gt;0),Y319*H319,"")</x:f>
        <x:v>55170</x:v>
      </x:c>
      <x:c r="AZ319" t="str">
        <x:v>Høy</x:v>
      </x:c>
    </x:row>
    <x:row r="320" ht="22" customHeight="1">
      <x:c r="A320" t="str">
        <x:v>OT-b3b20b33843f</x:v>
      </x:c>
      <x:c r="B320" t="n">
        <x:v>2015</x:v>
      </x:c>
      <x:c r="C320" t="str">
        <x:v>Kontorbygg</x:v>
      </x:c>
      <x:c r="D320" t="str">
        <x:v>ANNET KONTORBYGG</x:v>
      </x:c>
      <x:c r="E320" t="str">
        <x:v>F</x:v>
      </x:c>
      <x:c r="F320" t="str">
        <x:v>RED</x:v>
      </x:c>
      <x:c r="G320" t="n">
        <x:v>1975</x:v>
      </x:c>
      <x:c r="H320" t="n">
        <x:v>3002</x:v>
      </x:c>
      <x:c r="I320" t="n">
        <x:v>240</x:v>
      </x:c>
      <x:c r="J320" t="str">
        <x:v>PDF/avansert</x:v>
      </x:c>
      <x:c r="K320" t="n">
        <x:v>1190</x:v>
      </x:c>
      <x:c r="L320" t="n">
        <x:v>1020</x:v>
      </x:c>
      <x:c r="M320" t="n">
        <x:v>1070</x:v>
      </x:c>
      <x:c r="N320" t="n">
        <x:v>508</x:v>
      </x:c>
      <x:c r="O320" t="n">
        <x:v>0.45</x:v>
      </x:c>
      <x:c r="P320" t="n">
        <x:v>0.41</x:v>
      </x:c>
      <x:c r="Q320" t="n">
        <x:v>0.17</x:v>
      </x:c>
      <x:c r="R320" t="n">
        <x:v>2.6</x:v>
      </x:c>
      <x:c r="S320" t="n">
        <x:v>69</x:v>
      </x:c>
      <x:c r="T320" t="n">
        <x:v>69</x:v>
      </x:c>
      <x:c r="U320" t="n">
        <x:v>3.36</x:v>
      </x:c>
      <x:c r="V320" t="n">
        <x:v>0.31</x:v>
      </x:c>
      <x:c r="W320" t="n">
        <x:v>10</x:v>
      </x:c>
      <x:c r="X320" t="n">
        <x:v>98</x:v>
      </x:c>
      <x:c r="Y320" t="n">
        <x:v>115</x:v>
      </x:c>
      <x:c r="Z320" t="n">
        <x:v>2</x:v>
      </x:c>
      <x:c r="AA320" t="n">
        <x:v>21</x:v>
      </x:c>
      <x:c r="AB320" t="n">
        <x:v>22</x:v>
      </x:c>
      <x:c r="AC320" t="n">
        <x:v>4</x:v>
      </x:c>
      <x:c r="AD320" t="n">
        <x:v>36</x:v>
      </x:c>
      <x:c r="AE320" t="n">
        <x:v>0.2</x:v>
      </x:c>
      <x:c r="AF320" t="n">
        <x:v>12</x:v>
      </x:c>
      <x:c r="AG320" t="n">
        <x:v>12</x:v>
      </x:c>
      <x:c r="AH320" t="n">
        <x:v>24</x:v>
      </x:c>
      <x:c r="AI320" t="n">
        <x:v>8</x:v>
      </x:c>
      <x:c r="AJ320" t="n">
        <x:v>11</x:v>
      </x:c>
      <x:c r="AK320" t="n">
        <x:v>240</x:v>
      </x:c>
      <x:c r="AL320" t="str">
        <x:v>Direkte elektrisk;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1</x:v>
      </x:c>
      <x:c r="AS320" t="n">
        <x:v>0</x:v>
      </x:c>
      <x:c r="AT320" t="n">
        <x:v>1</x:v>
      </x:c>
      <x:c r="AU320" t="str">
        <x:v>energiattester_export_2025-08-14.json | PDF vedlegg side 5-7</x:v>
      </x:c>
      <x:c r="AV320" s="12" t="n">
        <x:f>IF(COUNT(O320,P320,Q320,R320,K320,L320,M320,N320)=8,O320*K320+P320*L320+Q320*M320+R320*N320,"")</x:f>
        <x:v>2456.4</x:v>
      </x:c>
      <x:c r="AW320" s="12" t="n">
        <x:f>IF(AND(ISNUMBER(AV320),H320&gt;0),AV320/H320,"")</x:f>
        <x:v>0.8182544970019987</x:v>
      </x:c>
      <x:c r="AX320" s="12" t="n">
        <x:f>IF(AND(ISNUMBER(AD320),H320&gt;0),AD320*H320*3600,"")</x:f>
        <x:v>389059200</x:v>
      </x:c>
      <x:c r="AY320" s="12" t="n">
        <x:f>IF(AND(ISNUMBER(Y320),H320&gt;0),Y320*H320,"")</x:f>
        <x:v>345230</x:v>
      </x:c>
      <x:c r="AZ320" t="str">
        <x:v>Høy</x:v>
      </x:c>
    </x:row>
    <x:row r="321" ht="22" customHeight="1">
      <x:c r="A321" t="str">
        <x:v>OT-ce1c1b6e27e9</x:v>
      </x:c>
      <x:c r="B321" t="n">
        <x:v>2015</x:v>
      </x:c>
      <x:c r="C321" t="str">
        <x:v>Kontorbygg</x:v>
      </x:c>
      <x:c r="D321" t="str">
        <x:v>KONTORER, ENKLE</x:v>
      </x:c>
      <x:c r="E321" t="str">
        <x:v>E</x:v>
      </x:c>
      <x:c r="F321" t="str">
        <x:v>RED</x:v>
      </x:c>
      <x:c r="G321" t="n">
        <x:v>1983</x:v>
      </x:c>
      <x:c r="H321" t="n">
        <x:v>2450</x:v>
      </x:c>
      <x:c r="I321" t="n">
        <x:v>216</x:v>
      </x:c>
      <x:c r="J321" t="str">
        <x:v>PDF/avansert</x:v>
      </x:c>
      <x:c r="K321" t="n">
        <x:v>946</x:v>
      </x:c>
      <x:c r="L321" t="n">
        <x:v>1355</x:v>
      </x:c>
      <x:c r="M321" t="n">
        <x:v>845</x:v>
      </x:c>
      <x:c r="N321" t="n">
        <x:v>355</x:v>
      </x:c>
      <x:c r="O321" t="n">
        <x:v>0.42</x:v>
      </x:c>
      <x:c r="P321" t="n">
        <x:v>0.41</x:v>
      </x:c>
      <x:c r="Q321" t="n">
        <x:v>0.1</x:v>
      </x:c>
      <x:c r="R321" t="n">
        <x:v>2.5</x:v>
      </x:c>
      <x:c r="S321" t="n">
        <x:v>65</x:v>
      </x:c>
      <x:c r="T321" t="n">
        <x:v>65</x:v>
      </x:c>
      <x:c r="U321" t="n">
        <x:v>4</x:v>
      </x:c>
      <x:c r="V321" t="n">
        <x:v>0.51</x:v>
      </x:c>
      <x:c r="W321" t="n">
        <x:v>7</x:v>
      </x:c>
      <x:c r="X321" t="n">
        <x:v>98</x:v>
      </x:c>
      <x:c r="Y321" t="n">
        <x:v>130</x:v>
      </x:c>
      <x:c r="Z321" t="n">
        <x:v>30</x:v>
      </x:c>
      <x:c r="AA321" t="n">
        <x:v>21</x:v>
      </x:c>
      <x:c r="AB321" t="n">
        <x:v>22</x:v>
      </x:c>
      <x:c r="AC321" t="n">
        <x:v>4</x:v>
      </x:c>
      <x:c r="AD321" t="n">
        <x:v>41.7</x:v>
      </x:c>
      <x:c r="AE321" t="n">
        <x:v>0.12</x:v>
      </x:c>
      <x:c r="AF321" t="n">
        <x:v>12</x:v>
      </x:c>
      <x:c r="AG321" t="n">
        <x:v>12</x:v>
      </x:c>
      <x:c r="AH321" t="n">
        <x:v>24</x:v>
      </x:c>
      <x:c r="AI321" t="n">
        <x:v>8</x:v>
      </x:c>
      <x:c r="AJ321" t="n">
        <x:v>11</x:v>
      </x:c>
      <x:c r="AK321" t="n">
        <x:v>250</x:v>
      </x:c>
      <x:c r="AL321" t="str">
        <x:v>Direkte elektrisk;</x:v>
      </x:c>
      <x:c r="AM321" t="n">
        <x:v>0</x:v>
      </x:c>
      <x:c r="AN321" t="n">
        <x:v>0</x:v>
      </x:c>
      <x:c r="AO321" t="n">
        <x:v>1</x:v>
      </x:c>
      <x:c r="AP321" t="n">
        <x:v>1</x:v>
      </x:c>
      <x:c r="AQ321" t="n">
        <x:v>0</x:v>
      </x:c>
      <x:c r="AR321" t="n">
        <x:v>0</x:v>
      </x:c>
      <x:c r="AS321" t="n">
        <x:v>1</x:v>
      </x:c>
      <x:c r="AT321" t="n">
        <x:v>1</x:v>
      </x:c>
      <x:c r="AU321" t="str">
        <x:v>energiattester_export_2025-08-14.json | PDF vedlegg side 5-7</x:v>
      </x:c>
      <x:c r="AV321" s="12" t="n">
        <x:f>IF(COUNT(O321,P321,Q321,R321,K321,L321,M321,N321)=8,O321*K321+P321*L321+Q321*M321+R321*N321,"")</x:f>
        <x:v>1924.87</x:v>
      </x:c>
      <x:c r="AW321" s="12" t="n">
        <x:f>IF(AND(ISNUMBER(AV321),H321&gt;0),AV321/H321,"")</x:f>
        <x:v>0.7856612244897959</x:v>
      </x:c>
      <x:c r="AX321" s="12" t="n">
        <x:f>IF(AND(ISNUMBER(AD321),H321&gt;0),AD321*H321*3600,"")</x:f>
        <x:v>367794000</x:v>
      </x:c>
      <x:c r="AY321" s="12" t="n">
        <x:f>IF(AND(ISNUMBER(Y321),H321&gt;0),Y321*H321,"")</x:f>
        <x:v>318500</x:v>
      </x:c>
      <x:c r="AZ321" t="str">
        <x:v>Høy</x:v>
      </x:c>
    </x:row>
    <x:row r="322" ht="22" customHeight="1">
      <x:c r="A322" t="str">
        <x:v>OT-356501cbf1a9</x:v>
      </x:c>
      <x:c r="B322" t="n">
        <x:v>2015</x:v>
      </x:c>
      <x:c r="C322" t="str">
        <x:v>Forretningsbygg</x:v>
      </x:c>
      <x:c r="D322" t="str">
        <x:v>BUTIKK</x:v>
      </x:c>
      <x:c r="E322" t="str">
        <x:v>C</x:v>
      </x:c>
      <x:c r="F322" t="str">
        <x:v>RED</x:v>
      </x:c>
      <x:c r="G322" t="n">
        <x:v>1976</x:v>
      </x:c>
      <x:c r="H322" t="n">
        <x:v>1537</x:v>
      </x:c>
      <x:c r="I322" t="n">
        <x:v>187.2</x:v>
      </x:c>
      <x:c r="J322" t="str">
        <x:v>PDF/avansert</x:v>
      </x:c>
      <x:c r="K322" t="n">
        <x:v>757</x:v>
      </x:c>
      <x:c r="L322" t="n">
        <x:v>582</x:v>
      </x:c>
      <x:c r="M322" t="n">
        <x:v>440</x:v>
      </x:c>
      <x:c r="N322" t="n">
        <x:v>276</x:v>
      </x:c>
      <x:c r="O322" t="n">
        <x:v>0.28</x:v>
      </x:c>
      <x:c r="P322" t="n">
        <x:v>0.2</x:v>
      </x:c>
      <x:c r="Q322" t="n">
        <x:v>0.19</x:v>
      </x:c>
      <x:c r="R322" t="n">
        <x:v>1.96</x:v>
      </x:c>
      <x:c r="S322" t="n">
        <x:v>66</x:v>
      </x:c>
      <x:c r="T322" t="n">
        <x:v>66</x:v>
      </x:c>
      <x:c r="U322" t="n">
        <x:v>1.58</x:v>
      </x:c>
      <x:c r="V322" t="n">
        <x:v>0.04</x:v>
      </x:c>
      <x:c r="W322" t="n">
        <x:v>13</x:v>
      </x:c>
      <x:c r="X322" t="n">
        <x:v>91</x:v>
      </x:c>
      <x:c r="Y322" t="n">
        <x:v>72</x:v>
      </x:c>
      <x:c r="Z322" t="n">
        <x:v>31</x:v>
      </x:c>
      <x:c r="AA322" t="n">
        <x:v>21</x:v>
      </x:c>
      <x:c r="AB322" t="n">
        <x:v>22</x:v>
      </x:c>
      <x:c r="AC322" t="n">
        <x:v>1.5</x:v>
      </x:c>
      <x:c r="AD322" t="n">
        <x:v>84.5</x:v>
      </x:c>
      <x:c r="AE322" t="n">
        <x:v>0.12</x:v>
      </x:c>
      <x:c r="AF322" t="n">
        <x:v>12</x:v>
      </x:c>
      <x:c r="AG322" t="n">
        <x:v>12</x:v>
      </x:c>
      <x:c r="AH322" t="n">
        <x:v>24</x:v>
      </x:c>
      <x:c r="AI322" t="n">
        <x:v>15</x:v>
      </x:c>
      <x:c r="AJ322" t="n">
        <x:v>1</x:v>
      </x:c>
      <x:c r="AK322" t="n">
        <x:v>250</x:v>
      </x:c>
      <x:c r="AL322" t="str">
        <x:v>Direkte elektrisk;</x:v>
      </x:c>
      <x:c r="AM322" t="n">
        <x:v>1</x:v>
      </x:c>
      <x:c r="AN322" t="n">
        <x:v>0</x:v>
      </x:c>
      <x:c r="AO322" t="n">
        <x:v>1</x:v>
      </x:c>
      <x:c r="AP322" t="n">
        <x:v>1</x:v>
      </x:c>
      <x:c r="AQ322" t="n">
        <x:v>0</x:v>
      </x:c>
      <x:c r="AR322" t="n">
        <x:v>1</x:v>
      </x:c>
      <x:c r="AS322" t="n">
        <x:v>1</x:v>
      </x:c>
      <x:c r="AT322" t="n">
        <x:v>1</x:v>
      </x:c>
      <x:c r="AU322" t="str">
        <x:v>energiattester_export_2025-08-14.json | PDF vedlegg side 5-7</x:v>
      </x:c>
      <x:c r="AV322" s="12" t="n">
        <x:f>IF(COUNT(O322,P322,Q322,R322,K322,L322,M322,N322)=8,O322*K322+P322*L322+Q322*M322+R322*N322,"")</x:f>
        <x:v>952.9200000000001</x:v>
      </x:c>
      <x:c r="AW322" s="12" t="n">
        <x:f>IF(AND(ISNUMBER(AV322),H322&gt;0),AV322/H322,"")</x:f>
        <x:v>0.6199869876382564</x:v>
      </x:c>
      <x:c r="AX322" s="12" t="n">
        <x:f>IF(AND(ISNUMBER(AD322),H322&gt;0),AD322*H322*3600,"")</x:f>
        <x:v>467555400</x:v>
      </x:c>
      <x:c r="AY322" s="12" t="n">
        <x:f>IF(AND(ISNUMBER(Y322),H322&gt;0),Y322*H322,"")</x:f>
        <x:v>110664</x:v>
      </x:c>
      <x:c r="AZ322" t="str">
        <x:v>Høy</x:v>
      </x:c>
    </x:row>
    <x:row r="323" ht="22" customHeight="1">
      <x:c r="A323" t="str">
        <x:v>OT-bb0c0e74056a</x:v>
      </x:c>
      <x:c r="B323" t="n">
        <x:v>2015</x:v>
      </x:c>
      <x:c r="C323" t="str">
        <x:v>Kontorbygg</x:v>
      </x:c>
      <x:c r="D323" t="str">
        <x:v>KONTORER, ENKLE</x:v>
      </x:c>
      <x:c r="E323" t="str">
        <x:v>D</x:v>
      </x:c>
      <x:c r="F323" t="str">
        <x:v>RED</x:v>
      </x:c>
      <x:c r="G323" t="n">
        <x:v>2000</x:v>
      </x:c>
      <x:c r="H323" t="n">
        <x:v>653</x:v>
      </x:c>
      <x:c r="I323" t="n">
        <x:v>159.8</x:v>
      </x:c>
      <x:c r="J323" t="str">
        <x:v>PDF/avansert</x:v>
      </x:c>
      <x:c r="K323" t="n">
        <x:v>250</x:v>
      </x:c>
      <x:c r="L323" t="n">
        <x:v>366</x:v>
      </x:c>
      <x:c r="M323" t="n">
        <x:v>320</x:v>
      </x:c>
      <x:c r="N323" t="n">
        <x:v>163</x:v>
      </x:c>
      <x:c r="O323" t="n">
        <x:v>0.3</x:v>
      </x:c>
      <x:c r="P323" t="n">
        <x:v>0.21</x:v>
      </x:c>
      <x:c r="Q323" t="n">
        <x:v>0.16</x:v>
      </x:c>
      <x:c r="R323" t="n">
        <x:v>1.64</x:v>
      </x:c>
      <x:c r="S323" t="n">
        <x:v>70</x:v>
      </x:c>
      <x:c r="T323" t="n">
        <x:v>70</x:v>
      </x:c>
      <x:c r="U323" t="n">
        <x:v>2</x:v>
      </x:c>
      <x:c r="V323" t="n">
        <x:v>0.36</x:v>
      </x:c>
      <x:c r="W323" t="n">
        <x:v>8.4</x:v>
      </x:c>
      <x:c r="X323" t="n">
        <x:v>90</x:v>
      </x:c>
      <x:c r="Y323" t="n">
        <x:v>80</x:v>
      </x:c>
      <x:c r="Z323" t="n">
        <x:v>30</x:v>
      </x:c>
      <x:c r="AA323" t="n">
        <x:v>21</x:v>
      </x:c>
      <x:c r="AB323" t="n">
        <x:v>22</x:v>
      </x:c>
      <x:c r="AC323" t="n">
        <x:v>1.56</x:v>
      </x:c>
      <x:c r="AD323" t="n">
        <x:v>42.6</x:v>
      </x:c>
      <x:c r="AE323" t="n">
        <x:v>0.06</x:v>
      </x:c>
      <x:c r="AF323" t="n">
        <x:v>12</x:v>
      </x:c>
      <x:c r="AG323" t="n">
        <x:v>12</x:v>
      </x:c>
      <x:c r="AH323" t="n">
        <x:v>24</x:v>
      </x:c>
      <x:c r="AI323" t="n">
        <x:v>8</x:v>
      </x:c>
      <x:c r="AJ323" t="n">
        <x:v>11</x:v>
      </x:c>
      <x:c r="AK323" t="n">
        <x:v>250</x:v>
      </x:c>
      <x:c r="AL323" t="str">
        <x:v>Direkte elektrisk;</x:v>
      </x:c>
      <x:c r="AM323"/>
      <x:c r="AN323"/>
      <x:c r="AO323"/>
      <x:c r="AP323"/>
      <x:c r="AQ323"/>
      <x:c r="AR323"/>
      <x:c r="AS323"/>
      <x:c r="AT323"/>
      <x:c r="AU323" t="str">
        <x:v>energiattester_export_2025-08-14.json | PDF vedlegg side 5-7</x:v>
      </x:c>
      <x:c r="AV323" s="12" t="n">
        <x:f>IF(COUNT(O323,P323,Q323,R323,K323,L323,M323,N323)=8,O323*K323+P323*L323+Q323*M323+R323*N323,"")</x:f>
        <x:v>470.38</x:v>
      </x:c>
      <x:c r="AW323" s="12" t="n">
        <x:f>IF(AND(ISNUMBER(AV323),H323&gt;0),AV323/H323,"")</x:f>
        <x:v>0.7203369065849924</x:v>
      </x:c>
      <x:c r="AX323" s="12" t="n">
        <x:f>IF(AND(ISNUMBER(AD323),H323&gt;0),AD323*H323*3600,"")</x:f>
        <x:v>100144080</x:v>
      </x:c>
      <x:c r="AY323" s="12" t="n">
        <x:f>IF(AND(ISNUMBER(Y323),H323&gt;0),Y323*H323,"")</x:f>
        <x:v>52240</x:v>
      </x:c>
      <x:c r="AZ323" t="str">
        <x:v>Høy</x:v>
      </x:c>
    </x:row>
    <x:row r="324" ht="22" customHeight="1">
      <x:c r="A324" t="str">
        <x:v>OT-a54cca72633c</x:v>
      </x:c>
      <x:c r="B324" t="n">
        <x:v>2015</x:v>
      </x:c>
      <x:c r="C324" t="str">
        <x:v>Kontorbygg</x:v>
      </x:c>
      <x:c r="D324" t="str">
        <x:v>KONTORER, ENKLE</x:v>
      </x:c>
      <x:c r="E324" t="str">
        <x:v>D</x:v>
      </x:c>
      <x:c r="F324" t="str">
        <x:v>RED</x:v>
      </x:c>
      <x:c r="G324" t="n">
        <x:v>1988</x:v>
      </x:c>
      <x:c r="H324" t="n">
        <x:v>3483</x:v>
      </x:c>
      <x:c r="I324" t="n">
        <x:v>159.6</x:v>
      </x:c>
      <x:c r="J324" t="str">
        <x:v>PDF/avansert</x:v>
      </x:c>
      <x:c r="K324" t="n">
        <x:v>1533</x:v>
      </x:c>
      <x:c r="L324" t="n">
        <x:v>822</x:v>
      </x:c>
      <x:c r="M324" t="n">
        <x:v>714</x:v>
      </x:c>
      <x:c r="N324" t="n">
        <x:v>436</x:v>
      </x:c>
      <x:c r="O324" t="n">
        <x:v>0.3</x:v>
      </x:c>
      <x:c r="P324" t="n">
        <x:v>0.2</x:v>
      </x:c>
      <x:c r="Q324" t="n">
        <x:v>0.2</x:v>
      </x:c>
      <x:c r="R324" t="n">
        <x:v>2.17</x:v>
      </x:c>
      <x:c r="S324" t="n">
        <x:v>57</x:v>
      </x:c>
      <x:c r="T324" t="n">
        <x:v>57</x:v>
      </x:c>
      <x:c r="U324" t="n">
        <x:v>2.55</x:v>
      </x:c>
      <x:c r="V324" t="n">
        <x:v>0.22</x:v>
      </x:c>
      <x:c r="W324" t="n">
        <x:v>7</x:v>
      </x:c>
      <x:c r="X324" t="n">
        <x:v>81</x:v>
      </x:c>
      <x:c r="Y324" t="n">
        <x:v>139</x:v>
      </x:c>
      <x:c r="Z324" t="n">
        <x:v>0</x:v>
      </x:c>
      <x:c r="AA324" t="n">
        <x:v>21</x:v>
      </x:c>
      <x:c r="AB324" t="n">
        <x:v>22</x:v>
      </x:c>
      <x:c r="AC324" t="n">
        <x:v>1.5</x:v>
      </x:c>
      <x:c r="AD324" t="n">
        <x:v>16.6</x:v>
      </x:c>
      <x:c r="AE324" t="n">
        <x:v>0.05</x:v>
      </x:c>
      <x:c r="AF324" t="n">
        <x:v>12</x:v>
      </x:c>
      <x:c r="AG324" t="n">
        <x:v>12</x:v>
      </x:c>
      <x:c r="AH324" t="n">
        <x:v>24</x:v>
      </x:c>
      <x:c r="AI324" t="n">
        <x:v>8</x:v>
      </x:c>
      <x:c r="AJ324" t="n">
        <x:v>11</x:v>
      </x:c>
      <x:c r="AK324" t="n">
        <x:v>250</x:v>
      </x:c>
      <x:c r="AL324" t="str">
        <x:v>Direkte elektrisk;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1</x:v>
      </x:c>
      <x:c r="AS324" t="n">
        <x:v>1</x:v>
      </x:c>
      <x:c r="AT324" t="n">
        <x:v>1</x:v>
      </x:c>
      <x:c r="AU324" t="str">
        <x:v>energiattester_export_2025-08-14.json | PDF vedlegg side 5-7</x:v>
      </x:c>
      <x:c r="AV324" s="12" t="n">
        <x:f>IF(COUNT(O324,P324,Q324,R324,K324,L324,M324,N324)=8,O324*K324+P324*L324+Q324*M324+R324*N324,"")</x:f>
        <x:v>1713.2199999999998</x:v>
      </x:c>
      <x:c r="AW324" s="12" t="n">
        <x:f>IF(AND(ISNUMBER(AV324),H324&gt;0),AV324/H324,"")</x:f>
        <x:v>0.49188056273327585</x:v>
      </x:c>
      <x:c r="AX324" s="12" t="n">
        <x:f>IF(AND(ISNUMBER(AD324),H324&gt;0),AD324*H324*3600,"")</x:f>
        <x:v>208144080</x:v>
      </x:c>
      <x:c r="AY324" s="12" t="n">
        <x:f>IF(AND(ISNUMBER(Y324),H324&gt;0),Y324*H324,"")</x:f>
        <x:v>484137</x:v>
      </x:c>
      <x:c r="AZ324" t="str">
        <x:v>Høy</x:v>
      </x:c>
    </x:row>
    <x:row r="325" ht="22" customHeight="1">
      <x:c r="A325" t="str">
        <x:v>OT-887a50197959</x:v>
      </x:c>
      <x:c r="B325" t="n">
        <x:v>2015</x:v>
      </x:c>
      <x:c r="C325" t="str">
        <x:v>Kontorbygg</x:v>
      </x:c>
      <x:c r="D325" t="str">
        <x:v>KONTORER, ENKLE</x:v>
      </x:c>
      <x:c r="E325" t="str">
        <x:v>E</x:v>
      </x:c>
      <x:c r="F325" t="str">
        <x:v>RED</x:v>
      </x:c>
      <x:c r="G325" t="n">
        <x:v>1976</x:v>
      </x:c>
      <x:c r="H325" t="n">
        <x:v>7328</x:v>
      </x:c>
      <x:c r="I325" t="n">
        <x:v>195.2</x:v>
      </x:c>
      <x:c r="J325" t="str">
        <x:v>PDF/avansert</x:v>
      </x:c>
      <x:c r="K325" t="n">
        <x:v>1305</x:v>
      </x:c>
      <x:c r="L325" t="n">
        <x:v>1507</x:v>
      </x:c>
      <x:c r="M325" t="n">
        <x:v>1521</x:v>
      </x:c>
      <x:c r="N325" t="n">
        <x:v>948</x:v>
      </x:c>
      <x:c r="O325" t="n">
        <x:v>0.37</x:v>
      </x:c>
      <x:c r="P325" t="n">
        <x:v>0.44</x:v>
      </x:c>
      <x:c r="Q325" t="n">
        <x:v>0.21</x:v>
      </x:c>
      <x:c r="R325" t="n">
        <x:v>1.81</x:v>
      </x:c>
      <x:c r="S325" t="n">
        <x:v>72</x:v>
      </x:c>
      <x:c r="T325" t="n">
        <x:v>72</x:v>
      </x:c>
      <x:c r="U325" t="n">
        <x:v>2.76</x:v>
      </x:c>
      <x:c r="V325" t="n">
        <x:v>0.66</x:v>
      </x:c>
      <x:c r="W325" t="n">
        <x:v>12.91</x:v>
      </x:c>
      <x:c r="X325" t="n">
        <x:v>81</x:v>
      </x:c>
      <x:c r="Y325" t="n">
        <x:v>183</x:v>
      </x:c>
      <x:c r="Z325" t="n">
        <x:v>0</x:v>
      </x:c>
      <x:c r="AA325" t="n">
        <x:v>21</x:v>
      </x:c>
      <x:c r="AB325" t="n">
        <x:v>22</x:v>
      </x:c>
      <x:c r="AC325" t="n">
        <x:v>1.5</x:v>
      </x:c>
      <x:c r="AD325" t="n">
        <x:v>30.3</x:v>
      </x:c>
      <x:c r="AE325" t="n">
        <x:v>0.05</x:v>
      </x:c>
      <x:c r="AF325" t="n">
        <x:v>12</x:v>
      </x:c>
      <x:c r="AG325" t="n">
        <x:v>12</x:v>
      </x:c>
      <x:c r="AH325" t="n">
        <x:v>24</x:v>
      </x:c>
      <x:c r="AI325" t="n">
        <x:v>8</x:v>
      </x:c>
      <x:c r="AJ325" t="n">
        <x:v>11</x:v>
      </x:c>
      <x:c r="AK325" t="n">
        <x:v>250</x:v>
      </x:c>
      <x:c r="AL325" t="str">
        <x:v>Direkte elektrisk;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1</x:v>
      </x:c>
      <x:c r="AS325" t="n">
        <x:v>1</x:v>
      </x:c>
      <x:c r="AT325" t="n">
        <x:v>1</x:v>
      </x:c>
      <x:c r="AU325" t="str">
        <x:v>energiattester_export_2025-08-14.json | PDF vedlegg side 5-7</x:v>
      </x:c>
      <x:c r="AV325" s="12" t="n">
        <x:f>IF(COUNT(O325,P325,Q325,R325,K325,L325,M325,N325)=8,O325*K325+P325*L325+Q325*M325+R325*N325,"")</x:f>
        <x:v>3181.2200000000003</x:v>
      </x:c>
      <x:c r="AW325" s="12" t="n">
        <x:f>IF(AND(ISNUMBER(AV325),H325&gt;0),AV325/H325,"")</x:f>
        <x:v>0.4341184497816594</x:v>
      </x:c>
      <x:c r="AX325" s="12" t="n">
        <x:f>IF(AND(ISNUMBER(AD325),H325&gt;0),AD325*H325*3600,"")</x:f>
        <x:v>799338240</x:v>
      </x:c>
      <x:c r="AY325" s="12" t="n">
        <x:f>IF(AND(ISNUMBER(Y325),H325&gt;0),Y325*H325,"")</x:f>
        <x:v>1341024</x:v>
      </x:c>
      <x:c r="AZ325" t="str">
        <x:v>Høy</x:v>
      </x:c>
    </x:row>
    <x:row r="326" ht="22" customHeight="1">
      <x:c r="A326" t="str">
        <x:v>OT-60ac3f9da735</x:v>
      </x:c>
      <x:c r="B326" t="n">
        <x:v>2015</x:v>
      </x:c>
      <x:c r="C326" t="str">
        <x:v>Kontorbygg</x:v>
      </x:c>
      <x:c r="D326" t="str">
        <x:v>KONTORER, ENKLE</x:v>
      </x:c>
      <x:c r="E326" t="str">
        <x:v>G</x:v>
      </x:c>
      <x:c r="F326" t="str">
        <x:v>RED</x:v>
      </x:c>
      <x:c r="G326" t="n">
        <x:v>1851</x:v>
      </x:c>
      <x:c r="H326" t="n">
        <x:v>1153</x:v>
      </x:c>
      <x:c r="I326" t="n">
        <x:v>291</x:v>
      </x:c>
      <x:c r="J326" t="str">
        <x:v>PDF/avansert</x:v>
      </x:c>
      <x:c r="K326" t="n">
        <x:v>797</x:v>
      </x:c>
      <x:c r="L326" t="n">
        <x:v>893</x:v>
      </x:c>
      <x:c r="M326" t="n">
        <x:v>893</x:v>
      </x:c>
      <x:c r="N326" t="n">
        <x:v>157</x:v>
      </x:c>
      <x:c r="O326" t="n">
        <x:v>0.45</x:v>
      </x:c>
      <x:c r="P326" t="n">
        <x:v>0.3</x:v>
      </x:c>
      <x:c r="Q326" t="n">
        <x:v>0.5</x:v>
      </x:c>
      <x:c r="R326" t="n">
        <x:v>2.6</x:v>
      </x:c>
      <x:c r="S326" t="n">
        <x:v>39</x:v>
      </x:c>
      <x:c r="T326" t="n">
        <x:v>39</x:v>
      </x:c>
      <x:c r="U326" t="n">
        <x:v>2.46</x:v>
      </x:c>
      <x:c r="V326" t="n">
        <x:v>0.64</x:v>
      </x:c>
      <x:c r="W326" t="n">
        <x:v>7</x:v>
      </x:c>
      <x:c r="X326" t="n">
        <x:v>122</x:v>
      </x:c>
      <x:c r="Y326" t="n">
        <x:v>205</x:v>
      </x:c>
      <x:c r="Z326" t="n">
        <x:v>10</x:v>
      </x:c>
      <x:c r="AA326" t="n">
        <x:v>21</x:v>
      </x:c>
      <x:c r="AB326" t="n">
        <x:v>22</x:v>
      </x:c>
      <x:c r="AC326" t="n">
        <x:v>4</x:v>
      </x:c>
      <x:c r="AD326" t="n">
        <x:v>61.2</x:v>
      </x:c>
      <x:c r="AE326" t="n">
        <x:v>0.12</x:v>
      </x:c>
      <x:c r="AF326" t="n">
        <x:v>12</x:v>
      </x:c>
      <x:c r="AG326" t="n">
        <x:v>12</x:v>
      </x:c>
      <x:c r="AH326" t="n">
        <x:v>24</x:v>
      </x:c>
      <x:c r="AI326" t="n">
        <x:v>8</x:v>
      </x:c>
      <x:c r="AJ326" t="n">
        <x:v>11</x:v>
      </x:c>
      <x:c r="AK326" t="n">
        <x:v>250</x:v>
      </x:c>
      <x:c r="AL326" t="str">
        <x:v>Direkte elektrisk; Varmepumpe;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str">
        <x:v>energiattester_export_2025-08-14.json | PDF vedlegg side 5-7</x:v>
      </x:c>
      <x:c r="AV326" s="12" t="n">
        <x:f>IF(COUNT(O326,P326,Q326,R326,K326,L326,M326,N326)=8,O326*K326+P326*L326+Q326*M326+R326*N326,"")</x:f>
        <x:v>1481.25</x:v>
      </x:c>
      <x:c r="AW326" s="12" t="n">
        <x:f>IF(AND(ISNUMBER(AV326),H326&gt;0),AV326/H326,"")</x:f>
        <x:v>1.2846921075455333</x:v>
      </x:c>
      <x:c r="AX326" s="12" t="n">
        <x:f>IF(AND(ISNUMBER(AD326),H326&gt;0),AD326*H326*3600,"")</x:f>
        <x:v>254028960.00000003</x:v>
      </x:c>
      <x:c r="AY326" s="12" t="n">
        <x:f>IF(AND(ISNUMBER(Y326),H326&gt;0),Y326*H326,"")</x:f>
        <x:v>236365</x:v>
      </x:c>
      <x:c r="AZ326" t="str">
        <x:v>Høy</x:v>
      </x:c>
    </x:row>
    <x:row r="327" ht="22" customHeight="1">
      <x:c r="A327" t="str">
        <x:v>OT-c2caf6d05ba3</x:v>
      </x:c>
      <x:c r="B327" t="n">
        <x:v>2015</x:v>
      </x:c>
      <x:c r="C327" t="str">
        <x:v>Kontorbygg</x:v>
      </x:c>
      <x:c r="D327" t="str">
        <x:v>KONTORER, ENKLE</x:v>
      </x:c>
      <x:c r="E327" t="str">
        <x:v>E</x:v>
      </x:c>
      <x:c r="F327" t="str">
        <x:v>RED</x:v>
      </x:c>
      <x:c r="G327" t="n">
        <x:v>2008</x:v>
      </x:c>
      <x:c r="H327" t="n">
        <x:v>1204</x:v>
      </x:c>
      <x:c r="I327" t="n">
        <x:v>205.1</x:v>
      </x:c>
      <x:c r="J327" t="str">
        <x:v>PDF/avansert</x:v>
      </x:c>
      <x:c r="K327" t="n">
        <x:v>718</x:v>
      </x:c>
      <x:c r="L327" t="n">
        <x:v>902</x:v>
      </x:c>
      <x:c r="M327" t="n">
        <x:v>730</x:v>
      </x:c>
      <x:c r="N327" t="n">
        <x:v>155</x:v>
      </x:c>
      <x:c r="O327" t="n">
        <x:v>0.22</x:v>
      </x:c>
      <x:c r="P327" t="n">
        <x:v>0.15</x:v>
      </x:c>
      <x:c r="Q327" t="n">
        <x:v>0.12</x:v>
      </x:c>
      <x:c r="R327" t="n">
        <x:v>1.61</x:v>
      </x:c>
      <x:c r="S327" t="n">
        <x:v>76</x:v>
      </x:c>
      <x:c r="T327" t="n">
        <x:v>76</x:v>
      </x:c>
      <x:c r="U327" t="n">
        <x:v>4</x:v>
      </x:c>
      <x:c r="V327" t="n">
        <x:v>1.2</x:v>
      </x:c>
      <x:c r="W327" t="n">
        <x:v>10</x:v>
      </x:c>
      <x:c r="X327" t="n">
        <x:v>81</x:v>
      </x:c>
      <x:c r="Y327" t="n">
        <x:v>80</x:v>
      </x:c>
      <x:c r="Z327" t="n">
        <x:v>30</x:v>
      </x:c>
      <x:c r="AA327" t="n">
        <x:v>21</x:v>
      </x:c>
      <x:c r="AB327" t="n">
        <x:v>22</x:v>
      </x:c>
      <x:c r="AC327" t="n">
        <x:v>3.5</x:v>
      </x:c>
      <x:c r="AD327" t="n">
        <x:v>46.4</x:v>
      </x:c>
      <x:c r="AE327" t="n">
        <x:v>0.05</x:v>
      </x:c>
      <x:c r="AF327" t="n">
        <x:v>12</x:v>
      </x:c>
      <x:c r="AG327" t="n">
        <x:v>12</x:v>
      </x:c>
      <x:c r="AH327" t="n">
        <x:v>24</x:v>
      </x:c>
      <x:c r="AI327" t="n">
        <x:v>8</x:v>
      </x:c>
      <x:c r="AJ327" t="n">
        <x:v>11</x:v>
      </x:c>
      <x:c r="AK327" t="n">
        <x:v>250</x:v>
      </x:c>
      <x:c r="AL327" t="str">
        <x:v>Direkte elektrisk;</x:v>
      </x:c>
      <x:c r="AM327" t="n">
        <x:v>0</x:v>
      </x:c>
      <x:c r="AN327" t="n">
        <x:v>0</x:v>
      </x:c>
      <x:c r="AO327" t="n">
        <x:v>1</x:v>
      </x:c>
      <x:c r="AP327" t="n">
        <x:v>0</x:v>
      </x:c>
      <x:c r="AQ327" t="n">
        <x:v>0</x:v>
      </x:c>
      <x:c r="AR327" t="n">
        <x:v>1</x:v>
      </x:c>
      <x:c r="AS327" t="n">
        <x:v>1</x:v>
      </x:c>
      <x:c r="AT327" t="n">
        <x:v>1</x:v>
      </x:c>
      <x:c r="AU327" t="str">
        <x:v>energiattester_export_2025-08-14.json | PDF vedlegg side 5-7</x:v>
      </x:c>
      <x:c r="AV327" s="12" t="n">
        <x:f>IF(COUNT(O327,P327,Q327,R327,K327,L327,M327,N327)=8,O327*K327+P327*L327+Q327*M327+R327*N327,"")</x:f>
        <x:v>630.4100000000001</x:v>
      </x:c>
      <x:c r="AW327" s="12" t="n">
        <x:f>IF(AND(ISNUMBER(AV327),H327&gt;0),AV327/H327,"")</x:f>
        <x:v>0.5235963455149503</x:v>
      </x:c>
      <x:c r="AX327" s="12" t="n">
        <x:f>IF(AND(ISNUMBER(AD327),H327&gt;0),AD327*H327*3600,"")</x:f>
        <x:v>201116160</x:v>
      </x:c>
      <x:c r="AY327" s="12" t="n">
        <x:f>IF(AND(ISNUMBER(Y327),H327&gt;0),Y327*H327,"")</x:f>
        <x:v>96320</x:v>
      </x:c>
      <x:c r="AZ327" t="str">
        <x:v>Høy</x:v>
      </x:c>
    </x:row>
    <x:row r="328" ht="22" customHeight="1">
      <x:c r="A328" t="str">
        <x:v>OT-bcb42613a432</x:v>
      </x:c>
      <x:c r="B328" t="n">
        <x:v>2015</x:v>
      </x:c>
      <x:c r="C328" t="str">
        <x:v>Kontorbygg</x:v>
      </x:c>
      <x:c r="D328" t="str">
        <x:v>KONTORER, MED VENTILASJON OG KJØLEANLEGG</x:v>
      </x:c>
      <x:c r="E328" t="str">
        <x:v>D</x:v>
      </x:c>
      <x:c r="F328" t="str">
        <x:v>RED</x:v>
      </x:c>
      <x:c r="G328" t="n">
        <x:v>1999</x:v>
      </x:c>
      <x:c r="H328" t="n">
        <x:v>1225</x:v>
      </x:c>
      <x:c r="I328" t="n">
        <x:v>156.8</x:v>
      </x:c>
      <x:c r="J328" t="str">
        <x:v>PDF/avansert</x:v>
      </x:c>
      <x:c r="K328" t="n">
        <x:v>593</x:v>
      </x:c>
      <x:c r="L328" t="n">
        <x:v>945</x:v>
      </x:c>
      <x:c r="M328" t="n">
        <x:v>280</x:v>
      </x:c>
      <x:c r="N328" t="n">
        <x:v>132</x:v>
      </x:c>
      <x:c r="O328" t="n">
        <x:v>0.22</x:v>
      </x:c>
      <x:c r="P328" t="n">
        <x:v>0.18</x:v>
      </x:c>
      <x:c r="Q328" t="n">
        <x:v>0.19</x:v>
      </x:c>
      <x:c r="R328" t="n">
        <x:v>1.62</x:v>
      </x:c>
      <x:c r="S328" t="n">
        <x:v>75</x:v>
      </x:c>
      <x:c r="T328" t="n">
        <x:v>75</x:v>
      </x:c>
      <x:c r="U328" t="n">
        <x:v>2.5</x:v>
      </x:c>
      <x:c r="V328" t="n">
        <x:v>0.3</x:v>
      </x:c>
      <x:c r="W328" t="n">
        <x:v>10</x:v>
      </x:c>
      <x:c r="X328" t="n">
        <x:v>91</x:v>
      </x:c>
      <x:c r="Y328" t="n">
        <x:v>80</x:v>
      </x:c>
      <x:c r="Z328" t="n">
        <x:v>30</x:v>
      </x:c>
      <x:c r="AA328" t="n">
        <x:v>21</x:v>
      </x:c>
      <x:c r="AB328" t="n">
        <x:v>22</x:v>
      </x:c>
      <x:c r="AC328" t="n">
        <x:v>3</x:v>
      </x:c>
      <x:c r="AD328" t="n">
        <x:v>50.6</x:v>
      </x:c>
      <x:c r="AE328" t="n">
        <x:v>0.06</x:v>
      </x:c>
      <x:c r="AF328" t="n">
        <x:v>12</x:v>
      </x:c>
      <x:c r="AG328" t="n">
        <x:v>12</x:v>
      </x:c>
      <x:c r="AH328" t="n">
        <x:v>24</x:v>
      </x:c>
      <x:c r="AI328" t="n">
        <x:v>8</x:v>
      </x:c>
      <x:c r="AJ328" t="n">
        <x:v>11</x:v>
      </x:c>
      <x:c r="AK328" t="n">
        <x:v>250</x:v>
      </x:c>
      <x:c r="AL328" t="str">
        <x:v>Direkte elektrisk;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1</x:v>
      </x:c>
      <x:c r="AU328" t="str">
        <x:v>energiattester_export_2025-08-14.json | PDF vedlegg side 5-7</x:v>
      </x:c>
      <x:c r="AV328" s="12" t="n">
        <x:f>IF(COUNT(O328,P328,Q328,R328,K328,L328,M328,N328)=8,O328*K328+P328*L328+Q328*M328+R328*N328,"")</x:f>
        <x:v>567.6</x:v>
      </x:c>
      <x:c r="AW328" s="12" t="n">
        <x:f>IF(AND(ISNUMBER(AV328),H328&gt;0),AV328/H328,"")</x:f>
        <x:v>0.4633469387755102</x:v>
      </x:c>
      <x:c r="AX328" s="12" t="n">
        <x:f>IF(AND(ISNUMBER(AD328),H328&gt;0),AD328*H328*3600,"")</x:f>
        <x:v>223146000</x:v>
      </x:c>
      <x:c r="AY328" s="12" t="n">
        <x:f>IF(AND(ISNUMBER(Y328),H328&gt;0),Y328*H328,"")</x:f>
        <x:v>98000</x:v>
      </x:c>
      <x:c r="AZ328" t="str">
        <x:v>Høy</x:v>
      </x:c>
    </x:row>
    <x:row r="329" ht="22" customHeight="1">
      <x:c r="A329" t="str">
        <x:v>OT-34ddec0dd9dc</x:v>
      </x:c>
      <x:c r="B329" t="n">
        <x:v>2015</x:v>
      </x:c>
      <x:c r="C329" t="str">
        <x:v>Kontorbygg</x:v>
      </x:c>
      <x:c r="D329" t="str">
        <x:v>KONTORER, MED VENTILASJON OG KJØLEANLEGG</x:v>
      </x:c>
      <x:c r="E329" t="str">
        <x:v>E</x:v>
      </x:c>
      <x:c r="F329" t="str">
        <x:v>RED</x:v>
      </x:c>
      <x:c r="G329" t="n">
        <x:v>1990</x:v>
      </x:c>
      <x:c r="H329" t="n">
        <x:v>2469</x:v>
      </x:c>
      <x:c r="I329" t="n">
        <x:v>192.6</x:v>
      </x:c>
      <x:c r="J329" t="str">
        <x:v>PDF/avansert</x:v>
      </x:c>
      <x:c r="K329" t="n">
        <x:v>770</x:v>
      </x:c>
      <x:c r="L329" t="n">
        <x:v>751</x:v>
      </x:c>
      <x:c r="M329" t="n">
        <x:v>703</x:v>
      </x:c>
      <x:c r="N329" t="n">
        <x:v>677</x:v>
      </x:c>
      <x:c r="O329" t="n">
        <x:v>0.3</x:v>
      </x:c>
      <x:c r="P329" t="n">
        <x:v>0.2</x:v>
      </x:c>
      <x:c r="Q329" t="n">
        <x:v>0.18</x:v>
      </x:c>
      <x:c r="R329" t="n">
        <x:v>2.4</x:v>
      </x:c>
      <x:c r="S329" t="n">
        <x:v>80</x:v>
      </x:c>
      <x:c r="T329" t="n">
        <x:v>80</x:v>
      </x:c>
      <x:c r="U329" t="n">
        <x:v>2.5</x:v>
      </x:c>
      <x:c r="V329" t="n">
        <x:v>0.3</x:v>
      </x:c>
      <x:c r="W329" t="n">
        <x:v>10</x:v>
      </x:c>
      <x:c r="X329" t="n">
        <x:v>128</x:v>
      </x:c>
      <x:c r="Y329" t="n">
        <x:v>80</x:v>
      </x:c>
      <x:c r="Z329" t="n">
        <x:v>30</x:v>
      </x:c>
      <x:c r="AA329" t="n">
        <x:v>21</x:v>
      </x:c>
      <x:c r="AB329" t="n">
        <x:v>22</x:v>
      </x:c>
      <x:c r="AC329" t="n">
        <x:v>3</x:v>
      </x:c>
      <x:c r="AD329" t="n">
        <x:v>9.6</x:v>
      </x:c>
      <x:c r="AE329" t="n">
        <x:v>0.12</x:v>
      </x:c>
      <x:c r="AF329" t="n">
        <x:v>12</x:v>
      </x:c>
      <x:c r="AG329" t="n">
        <x:v>12</x:v>
      </x:c>
      <x:c r="AH329" t="n">
        <x:v>24</x:v>
      </x:c>
      <x:c r="AI329" t="n">
        <x:v>8</x:v>
      </x:c>
      <x:c r="AJ329" t="n">
        <x:v>11</x:v>
      </x:c>
      <x:c r="AK329" t="n">
        <x:v>250</x:v>
      </x:c>
      <x:c r="AL329" t="str">
        <x:v>Direkte elektrisk; Varmepumpe;</x:v>
      </x:c>
      <x:c r="AM329" t="n">
        <x:v>0</x:v>
      </x:c>
      <x:c r="AN329" t="n">
        <x:v>0</x:v>
      </x:c>
      <x:c r="AO329" t="n">
        <x:v>0</x:v>
      </x:c>
      <x:c r="AP329" t="n">
        <x:v>1</x:v>
      </x:c>
      <x:c r="AQ329" t="n">
        <x:v>0</x:v>
      </x:c>
      <x:c r="AR329" t="n">
        <x:v>0</x:v>
      </x:c>
      <x:c r="AS329" t="n">
        <x:v>0</x:v>
      </x:c>
      <x:c r="AT329" t="n">
        <x:v>1</x:v>
      </x:c>
      <x:c r="AU329" t="str">
        <x:v>energiattester_export_2025-08-14.json | PDF vedlegg side 5-7</x:v>
      </x:c>
      <x:c r="AV329" s="12" t="n">
        <x:f>IF(COUNT(O329,P329,Q329,R329,K329,L329,M329,N329)=8,O329*K329+P329*L329+Q329*M329+R329*N329,"")</x:f>
        <x:v>2132.54</x:v>
      </x:c>
      <x:c r="AW329" s="12" t="n">
        <x:f>IF(AND(ISNUMBER(AV329),H329&gt;0),AV329/H329,"")</x:f>
        <x:v>0.8637262049412717</x:v>
      </x:c>
      <x:c r="AX329" s="12" t="n">
        <x:f>IF(AND(ISNUMBER(AD329),H329&gt;0),AD329*H329*3600,"")</x:f>
        <x:v>85328639.99999999</x:v>
      </x:c>
      <x:c r="AY329" s="12" t="n">
        <x:f>IF(AND(ISNUMBER(Y329),H329&gt;0),Y329*H329,"")</x:f>
        <x:v>197520</x:v>
      </x:c>
      <x:c r="AZ329" t="str">
        <x:v>Høy</x:v>
      </x:c>
    </x:row>
    <x:row r="330" ht="22" customHeight="1">
      <x:c r="A330" t="str">
        <x:v>OT-8617e6447868</x:v>
      </x:c>
      <x:c r="B330" t="n">
        <x:v>2015</x:v>
      </x:c>
      <x:c r="C330" t="str">
        <x:v>Forretningsbygg</x:v>
      </x:c>
      <x:c r="D330" t="str">
        <x:v>BUTIKK</x:v>
      </x:c>
      <x:c r="E330" t="str">
        <x:v>C</x:v>
      </x:c>
      <x:c r="F330" t="str">
        <x:v>RED</x:v>
      </x:c>
      <x:c r="G330" t="n">
        <x:v>2007</x:v>
      </x:c>
      <x:c r="H330" t="n">
        <x:v>860</x:v>
      </x:c>
      <x:c r="I330" t="n">
        <x:v>179.4</x:v>
      </x:c>
      <x:c r="J330" t="str">
        <x:v>PDF/avansert</x:v>
      </x:c>
      <x:c r="K330" t="n">
        <x:v>413</x:v>
      </x:c>
      <x:c r="L330" t="n">
        <x:v>788</x:v>
      </x:c>
      <x:c r="M330" t="n">
        <x:v>788</x:v>
      </x:c>
      <x:c r="N330" t="n">
        <x:v>66</x:v>
      </x:c>
      <x:c r="O330" t="n">
        <x:v>0.22</x:v>
      </x:c>
      <x:c r="P330" t="n">
        <x:v>0.18</x:v>
      </x:c>
      <x:c r="Q330" t="n">
        <x:v>0.15</x:v>
      </x:c>
      <x:c r="R330" t="n">
        <x:v>2.56</x:v>
      </x:c>
      <x:c r="S330" t="n">
        <x:v>80</x:v>
      </x:c>
      <x:c r="T330" t="n">
        <x:v>80</x:v>
      </x:c>
      <x:c r="U330" t="n">
        <x:v>2</x:v>
      </x:c>
      <x:c r="V330" t="n">
        <x:v>0.23</x:v>
      </x:c>
      <x:c r="W330" t="n">
        <x:v>12.99</x:v>
      </x:c>
      <x:c r="X330" t="n">
        <x:v>98</x:v>
      </x:c>
      <x:c r="Y330" t="n">
        <x:v>50</x:v>
      </x:c>
      <x:c r="Z330" t="n">
        <x:v>0</x:v>
      </x:c>
      <x:c r="AA330" t="n">
        <x:v>21</x:v>
      </x:c>
      <x:c r="AB330" t="n">
        <x:v>22</x:v>
      </x:c>
      <x:c r="AC330" t="n">
        <x:v>2.5</x:v>
      </x:c>
      <x:c r="AD330" t="n">
        <x:v>135.9</x:v>
      </x:c>
      <x:c r="AE330" t="n">
        <x:v>0.06</x:v>
      </x:c>
      <x:c r="AF330" t="n">
        <x:v>12</x:v>
      </x:c>
      <x:c r="AG330" t="n">
        <x:v>12</x:v>
      </x:c>
      <x:c r="AH330" t="n">
        <x:v>24</x:v>
      </x:c>
      <x:c r="AI330" t="n">
        <x:v>15</x:v>
      </x:c>
      <x:c r="AJ330" t="n">
        <x:v>1</x:v>
      </x:c>
      <x:c r="AK330" t="n">
        <x:v>250</x:v>
      </x:c>
      <x:c r="AL330" t="str">
        <x:v>Direkte elektrisk;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1</x:v>
      </x:c>
      <x:c r="AU330" t="str">
        <x:v>energiattester_export_2025-08-14.json | PDF vedlegg side 5-7</x:v>
      </x:c>
      <x:c r="AV330" s="12" t="n">
        <x:f>IF(COUNT(O330,P330,Q330,R330,K330,L330,M330,N330)=8,O330*K330+P330*L330+Q330*M330+R330*N330,"")</x:f>
        <x:v>519.86</x:v>
      </x:c>
      <x:c r="AW330" s="12" t="n">
        <x:f>IF(AND(ISNUMBER(AV330),H330&gt;0),AV330/H330,"")</x:f>
        <x:v>0.6044883720930233</x:v>
      </x:c>
      <x:c r="AX330" s="12" t="n">
        <x:f>IF(AND(ISNUMBER(AD330),H330&gt;0),AD330*H330*3600,"")</x:f>
        <x:v>420746400</x:v>
      </x:c>
      <x:c r="AY330" s="12" t="n">
        <x:f>IF(AND(ISNUMBER(Y330),H330&gt;0),Y330*H330,"")</x:f>
        <x:v>43000</x:v>
      </x:c>
      <x:c r="AZ330" t="str">
        <x:v>Høy</x:v>
      </x:c>
    </x:row>
    <x:row r="331" ht="22" customHeight="1">
      <x:c r="A331" t="str">
        <x:v>OT-2e9d585e9d75</x:v>
      </x:c>
      <x:c r="B331" t="n">
        <x:v>2015</x:v>
      </x:c>
      <x:c r="C331" t="str">
        <x:v>Kontorbygg</x:v>
      </x:c>
      <x:c r="D331" t="str">
        <x:v>KONTORER, MED VENTILASJON OG KJØLEANLEGG</x:v>
      </x:c>
      <x:c r="E331" t="str">
        <x:v>F</x:v>
      </x:c>
      <x:c r="F331" t="str">
        <x:v>RED</x:v>
      </x:c>
      <x:c r="G331" t="n">
        <x:v>1978</x:v>
      </x:c>
      <x:c r="H331" t="n">
        <x:v>2248</x:v>
      </x:c>
      <x:c r="I331" t="n">
        <x:v>1</x:v>
      </x:c>
      <x:c r="J331" t="str">
        <x:v>PDF/avansert</x:v>
      </x:c>
      <x:c r="K331" t="n">
        <x:v>1379</x:v>
      </x:c>
      <x:c r="L331" t="n">
        <x:v>1365</x:v>
      </x:c>
      <x:c r="M331" t="n">
        <x:v>1012</x:v>
      </x:c>
      <x:c r="N331" t="n">
        <x:v>356</x:v>
      </x:c>
      <x:c r="O331" t="n">
        <x:v>0.29</x:v>
      </x:c>
      <x:c r="P331" t="n">
        <x:v>0.23</x:v>
      </x:c>
      <x:c r="Q331" t="n">
        <x:v>0.19</x:v>
      </x:c>
      <x:c r="R331" t="n">
        <x:v>2.06</x:v>
      </x:c>
      <x:c r="S331" t="n">
        <x:v>70</x:v>
      </x:c>
      <x:c r="T331" t="n">
        <x:v>70</x:v>
      </x:c>
      <x:c r="U331" t="n">
        <x:v>5.51</x:v>
      </x:c>
      <x:c r="V331" t="n">
        <x:v>0.35</x:v>
      </x:c>
      <x:c r="W331" t="n">
        <x:v>8.53</x:v>
      </x:c>
      <x:c r="X331" t="n">
        <x:v>81</x:v>
      </x:c>
      <x:c r="Y331" t="n">
        <x:v>78</x:v>
      </x:c>
      <x:c r="Z331" t="n">
        <x:v>30</x:v>
      </x:c>
      <x:c r="AA331" t="n">
        <x:v>21</x:v>
      </x:c>
      <x:c r="AB331" t="n">
        <x:v>22</x:v>
      </x:c>
      <x:c r="AC331" t="n">
        <x:v>3.99</x:v>
      </x:c>
      <x:c r="AD331" t="n">
        <x:v>78.6</x:v>
      </x:c>
      <x:c r="AE331" t="n">
        <x:v>0.06</x:v>
      </x:c>
      <x:c r="AF331"/>
      <x:c r="AG331"/>
      <x:c r="AH331"/>
      <x:c r="AI331"/>
      <x:c r="AJ331"/>
      <x:c r="AK331" t="n">
        <x:v>250</x:v>
      </x:c>
      <x:c r="AL331"/>
      <x:c r="AM331" t="n">
        <x:v>0</x:v>
      </x:c>
      <x:c r="AN331" t="n">
        <x:v>0</x:v>
      </x:c>
      <x:c r="AO331" t="n">
        <x:v>0</x:v>
      </x:c>
      <x:c r="AP331" t="n">
        <x:v>1</x:v>
      </x:c>
      <x:c r="AQ331" t="n">
        <x:v>0</x:v>
      </x:c>
      <x:c r="AR331" t="n">
        <x:v>1</x:v>
      </x:c>
      <x:c r="AS331" t="n">
        <x:v>1</x:v>
      </x:c>
      <x:c r="AT331" t="n">
        <x:v>1</x:v>
      </x:c>
      <x:c r="AU331" t="str">
        <x:v>energiattester_export_2025-08-14.json | PDF vedlegg side 5-7</x:v>
      </x:c>
      <x:c r="AV331" s="12" t="n">
        <x:f>IF(COUNT(O331,P331,Q331,R331,K331,L331,M331,N331)=8,O331*K331+P331*L331+Q331*M331+R331*N331,"")</x:f>
        <x:v>1639.5</x:v>
      </x:c>
      <x:c r="AW331" s="12" t="n">
        <x:f>IF(AND(ISNUMBER(AV331),H331&gt;0),AV331/H331,"")</x:f>
        <x:v>0.729314946619217</x:v>
      </x:c>
      <x:c r="AX331" s="12" t="n">
        <x:f>IF(AND(ISNUMBER(AD331),H331&gt;0),AD331*H331*3600,"")</x:f>
        <x:v>636094080</x:v>
      </x:c>
      <x:c r="AY331" s="12" t="n">
        <x:f>IF(AND(ISNUMBER(Y331),H331&gt;0),Y331*H331,"")</x:f>
        <x:v>175344</x:v>
      </x:c>
      <x:c r="AZ331" t="str">
        <x:v>Høy</x:v>
      </x:c>
    </x:row>
    <x:row r="332" ht="22" customHeight="1">
      <x:c r="A332" t="str">
        <x:v>OT-a35a2c4b229c</x:v>
      </x:c>
      <x:c r="B332" t="n">
        <x:v>2015</x:v>
      </x:c>
      <x:c r="C332" t="str">
        <x:v>Kontorbygg</x:v>
      </x:c>
      <x:c r="D332" t="str">
        <x:v>KONTORER, ENKLE</x:v>
      </x:c>
      <x:c r="E332" t="str">
        <x:v>F</x:v>
      </x:c>
      <x:c r="F332" t="str">
        <x:v>RED</x:v>
      </x:c>
      <x:c r="G332" t="n">
        <x:v>1958</x:v>
      </x:c>
      <x:c r="H332" t="n">
        <x:v>408</x:v>
      </x:c>
      <x:c r="I332" t="n">
        <x:v>231</x:v>
      </x:c>
      <x:c r="J332" t="str">
        <x:v>PDF/avansert</x:v>
      </x:c>
      <x:c r="K332" t="n">
        <x:v>200</x:v>
      </x:c>
      <x:c r="L332" t="n">
        <x:v>295</x:v>
      </x:c>
      <x:c r="M332" t="n">
        <x:v>295</x:v>
      </x:c>
      <x:c r="N332" t="n">
        <x:v>38</x:v>
      </x:c>
      <x:c r="O332" t="n">
        <x:v>0.3</x:v>
      </x:c>
      <x:c r="P332" t="n">
        <x:v>0.51</x:v>
      </x:c>
      <x:c r="Q332" t="n">
        <x:v>0.25</x:v>
      </x:c>
      <x:c r="R332" t="n">
        <x:v>2.45</x:v>
      </x:c>
      <x:c r="S332" t="n">
        <x:v>75</x:v>
      </x:c>
      <x:c r="T332" t="n">
        <x:v>75</x:v>
      </x:c>
      <x:c r="U332" t="n">
        <x:v>4.11</x:v>
      </x:c>
      <x:c r="V332" t="n">
        <x:v>0.33</x:v>
      </x:c>
      <x:c r="W332" t="n">
        <x:v>12</x:v>
      </x:c>
      <x:c r="X332" t="n">
        <x:v>98</x:v>
      </x:c>
      <x:c r="Y332" t="n">
        <x:v>111</x:v>
      </x:c>
      <x:c r="Z332" t="n">
        <x:v>0</x:v>
      </x:c>
      <x:c r="AA332" t="n">
        <x:v>21</x:v>
      </x:c>
      <x:c r="AB332" t="n">
        <x:v>22</x:v>
      </x:c>
      <x:c r="AC332" t="n">
        <x:v>3</x:v>
      </x:c>
      <x:c r="AD332" t="n">
        <x:v>122.1</x:v>
      </x:c>
      <x:c r="AE332" t="n">
        <x:v>0.06</x:v>
      </x:c>
      <x:c r="AF332" t="n">
        <x:v>12</x:v>
      </x:c>
      <x:c r="AG332" t="n">
        <x:v>12</x:v>
      </x:c>
      <x:c r="AH332" t="n">
        <x:v>24</x:v>
      </x:c>
      <x:c r="AI332" t="n">
        <x:v>8</x:v>
      </x:c>
      <x:c r="AJ332" t="n">
        <x:v>11</x:v>
      </x:c>
      <x:c r="AK332" t="n">
        <x:v>250</x:v>
      </x:c>
      <x:c r="AL332" t="str">
        <x:v>Direkte elektrisk;</x:v>
      </x:c>
      <x:c r="AM332"/>
      <x:c r="AN332"/>
      <x:c r="AO332"/>
      <x:c r="AP332"/>
      <x:c r="AQ332"/>
      <x:c r="AR332"/>
      <x:c r="AS332"/>
      <x:c r="AT332"/>
      <x:c r="AU332" t="str">
        <x:v>energiattester_export_2025-08-14.json | PDF vedlegg side 5-7</x:v>
      </x:c>
      <x:c r="AV332" s="12" t="n">
        <x:f>IF(COUNT(O332,P332,Q332,R332,K332,L332,M332,N332)=8,O332*K332+P332*L332+Q332*M332+R332*N332,"")</x:f>
        <x:v>377.3</x:v>
      </x:c>
      <x:c r="AW332" s="12" t="n">
        <x:f>IF(AND(ISNUMBER(AV332),H332&gt;0),AV332/H332,"")</x:f>
        <x:v>0.9247549019607844</x:v>
      </x:c>
      <x:c r="AX332" s="12" t="n">
        <x:f>IF(AND(ISNUMBER(AD332),H332&gt;0),AD332*H332*3600,"")</x:f>
        <x:v>179340479.99999997</x:v>
      </x:c>
      <x:c r="AY332" s="12" t="n">
        <x:f>IF(AND(ISNUMBER(Y332),H332&gt;0),Y332*H332,"")</x:f>
        <x:v>45288</x:v>
      </x:c>
      <x:c r="AZ332" t="str">
        <x:v>Høy</x:v>
      </x:c>
    </x:row>
    <x:row r="333" ht="22" customHeight="1">
      <x:c r="A333" t="str">
        <x:v>OT-7e7acba53850</x:v>
      </x:c>
      <x:c r="B333" t="n">
        <x:v>2015</x:v>
      </x:c>
      <x:c r="C333" t="str">
        <x:v>Forretningsbygg</x:v>
      </x:c>
      <x:c r="D333" t="str">
        <x:v>BUTIKK MED KJØLE- / FRYSEROM</x:v>
      </x:c>
      <x:c r="E333" t="str">
        <x:v>B</x:v>
      </x:c>
      <x:c r="F333" t="str">
        <x:v>RED</x:v>
      </x:c>
      <x:c r="G333" t="n">
        <x:v>2010</x:v>
      </x:c>
      <x:c r="H333" t="n">
        <x:v>1258</x:v>
      </x:c>
      <x:c r="I333" t="n">
        <x:v>154.6</x:v>
      </x:c>
      <x:c r="J333" t="str">
        <x:v>PDF/avansert</x:v>
      </x:c>
      <x:c r="K333" t="n">
        <x:v>848</x:v>
      </x:c>
      <x:c r="L333" t="n">
        <x:v>1260</x:v>
      </x:c>
      <x:c r="M333" t="n">
        <x:v>1258</x:v>
      </x:c>
      <x:c r="N333" t="n">
        <x:v>32</x:v>
      </x:c>
      <x:c r="O333" t="n">
        <x:v>0.18</x:v>
      </x:c>
      <x:c r="P333" t="n">
        <x:v>0.13</x:v>
      </x:c>
      <x:c r="Q333" t="n">
        <x:v>0.09</x:v>
      </x:c>
      <x:c r="R333" t="n">
        <x:v>1.84</x:v>
      </x:c>
      <x:c r="S333" t="n">
        <x:v>81</x:v>
      </x:c>
      <x:c r="T333" t="n">
        <x:v>81</x:v>
      </x:c>
      <x:c r="U333" t="n">
        <x:v>2</x:v>
      </x:c>
      <x:c r="V333" t="n">
        <x:v>0.23</x:v>
      </x:c>
      <x:c r="W333" t="n">
        <x:v>13</x:v>
      </x:c>
      <x:c r="X333" t="n">
        <x:v>90</x:v>
      </x:c>
      <x:c r="Y333" t="n">
        <x:v>147</x:v>
      </x:c>
      <x:c r="Z333" t="n">
        <x:v>49</x:v>
      </x:c>
      <x:c r="AA333" t="n">
        <x:v>21</x:v>
      </x:c>
      <x:c r="AB333" t="n">
        <x:v>22</x:v>
      </x:c>
      <x:c r="AC333" t="n">
        <x:v>1.5</x:v>
      </x:c>
      <x:c r="AD333" t="n">
        <x:v>92.8</x:v>
      </x:c>
      <x:c r="AE333" t="n">
        <x:v>0.09</x:v>
      </x:c>
      <x:c r="AF333" t="n">
        <x:v>12</x:v>
      </x:c>
      <x:c r="AG333" t="n">
        <x:v>12</x:v>
      </x:c>
      <x:c r="AH333" t="n">
        <x:v>24</x:v>
      </x:c>
      <x:c r="AI333" t="n">
        <x:v>15</x:v>
      </x:c>
      <x:c r="AJ333" t="n">
        <x:v>1</x:v>
      </x:c>
      <x:c r="AK333" t="n">
        <x:v>250</x:v>
      </x:c>
      <x:c r="AL333" t="str">
        <x:v>Direkte elektrisk;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str">
        <x:v>energiattester_export_2025-08-14.json | PDF vedlegg side 5-7</x:v>
      </x:c>
      <x:c r="AV333" s="12" t="n">
        <x:f>IF(COUNT(O333,P333,Q333,R333,K333,L333,M333,N333)=8,O333*K333+P333*L333+Q333*M333+R333*N333,"")</x:f>
        <x:v>488.53999999999996</x:v>
      </x:c>
      <x:c r="AW333" s="12" t="n">
        <x:f>IF(AND(ISNUMBER(AV333),H333&gt;0),AV333/H333,"")</x:f>
        <x:v>0.38834658187599363</x:v>
      </x:c>
      <x:c r="AX333" s="12" t="n">
        <x:f>IF(AND(ISNUMBER(AD333),H333&gt;0),AD333*H333*3600,"")</x:f>
        <x:v>420272640</x:v>
      </x:c>
      <x:c r="AY333" s="12" t="n">
        <x:f>IF(AND(ISNUMBER(Y333),H333&gt;0),Y333*H333,"")</x:f>
        <x:v>184926</x:v>
      </x:c>
      <x:c r="AZ333" t="str">
        <x:v>Høy</x:v>
      </x:c>
    </x:row>
    <x:row r="334" ht="22" customHeight="1">
      <x:c r="A334" t="str">
        <x:v>OT-88d4946fa56c</x:v>
      </x:c>
      <x:c r="B334" t="n">
        <x:v>2015</x:v>
      </x:c>
      <x:c r="C334" t="str">
        <x:v>Kontorbygg</x:v>
      </x:c>
      <x:c r="D334" t="str">
        <x:v>KONTORER, MED VENTILASJON OG KJØLEANLEGG</x:v>
      </x:c>
      <x:c r="E334" t="str">
        <x:v>B</x:v>
      </x:c>
      <x:c r="F334" t="str">
        <x:v>ORANGE</x:v>
      </x:c>
      <x:c r="G334" t="n">
        <x:v>2015</x:v>
      </x:c>
      <x:c r="H334" t="n">
        <x:v>3375</x:v>
      </x:c>
      <x:c r="I334" t="n">
        <x:v>114.6</x:v>
      </x:c>
      <x:c r="J334" t="str">
        <x:v>PDF/avansert</x:v>
      </x:c>
      <x:c r="K334" t="n">
        <x:v>178</x:v>
      </x:c>
      <x:c r="L334" t="n">
        <x:v>165</x:v>
      </x:c>
      <x:c r="M334" t="n">
        <x:v>165</x:v>
      </x:c>
      <x:c r="N334" t="n">
        <x:v>85</x:v>
      </x:c>
      <x:c r="O334" t="n">
        <x:v>0.18</x:v>
      </x:c>
      <x:c r="P334" t="n">
        <x:v>0.13</x:v>
      </x:c>
      <x:c r="Q334" t="n">
        <x:v>0.13</x:v>
      </x:c>
      <x:c r="R334" t="n">
        <x:v>0.82</x:v>
      </x:c>
      <x:c r="S334" t="n">
        <x:v>80</x:v>
      </x:c>
      <x:c r="T334" t="n">
        <x:v>80</x:v>
      </x:c>
      <x:c r="U334" t="n">
        <x:v>1.75</x:v>
      </x:c>
      <x:c r="V334" t="n">
        <x:v>0.17</x:v>
      </x:c>
      <x:c r="W334" t="n">
        <x:v>10.6</x:v>
      </x:c>
      <x:c r="X334" t="n">
        <x:v>98</x:v>
      </x:c>
      <x:c r="Y334" t="n">
        <x:v>80</x:v>
      </x:c>
      <x:c r="Z334" t="n">
        <x:v>0</x:v>
      </x:c>
      <x:c r="AA334" t="n">
        <x:v>21</x:v>
      </x:c>
      <x:c r="AB334" t="n">
        <x:v>22</x:v>
      </x:c>
      <x:c r="AC334" t="n">
        <x:v>1</x:v>
      </x:c>
      <x:c r="AD334" t="n">
        <x:v>73.1</x:v>
      </x:c>
      <x:c r="AE334" t="n">
        <x:v>0.06</x:v>
      </x:c>
      <x:c r="AF334" t="n">
        <x:v>12</x:v>
      </x:c>
      <x:c r="AG334" t="n">
        <x:v>12</x:v>
      </x:c>
      <x:c r="AH334" t="n">
        <x:v>24</x:v>
      </x:c>
      <x:c r="AI334" t="n">
        <x:v>6.4</x:v>
      </x:c>
      <x:c r="AJ334" t="n">
        <x:v>11</x:v>
      </x:c>
      <x:c r="AK334" t="n">
        <x:v>250</x:v>
      </x:c>
      <x:c r="AL334" t="str">
        <x:v>Direkte elektrisk;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str">
        <x:v>energiattester_export_2025-08-14.json | PDF vedlegg side 5-7</x:v>
      </x:c>
      <x:c r="AV334" s="12" t="n">
        <x:f>IF(COUNT(O334,P334,Q334,R334,K334,L334,M334,N334)=8,O334*K334+P334*L334+Q334*M334+R334*N334,"")</x:f>
        <x:v>144.64</x:v>
      </x:c>
      <x:c r="AW334" s="12" t="n">
        <x:f>IF(AND(ISNUMBER(AV334),H334&gt;0),AV334/H334,"")</x:f>
        <x:v>0.042856296296296295</x:v>
      </x:c>
      <x:c r="AX334" s="12" t="n">
        <x:f>IF(AND(ISNUMBER(AD334),H334&gt;0),AD334*H334*3600,"")</x:f>
        <x:v>888164999.9999999</x:v>
      </x:c>
      <x:c r="AY334" s="12" t="n">
        <x:f>IF(AND(ISNUMBER(Y334),H334&gt;0),Y334*H334,"")</x:f>
        <x:v>270000</x:v>
      </x:c>
      <x:c r="AZ334" t="str">
        <x:v>Høy</x:v>
      </x:c>
    </x:row>
    <x:row r="335" ht="22" customHeight="1">
      <x:c r="A335" t="str">
        <x:v>OT-3d29acfdbb32</x:v>
      </x:c>
      <x:c r="B335" t="n">
        <x:v>2015</x:v>
      </x:c>
      <x:c r="C335" t="str">
        <x:v>Kontorbygg</x:v>
      </x:c>
      <x:c r="D335" t="str">
        <x:v>KONTORER, MED VENTILASJON OG KJØLEANLEGG</x:v>
      </x:c>
      <x:c r="E335" t="str">
        <x:v>D</x:v>
      </x:c>
      <x:c r="F335" t="str">
        <x:v>RED</x:v>
      </x:c>
      <x:c r="G335" t="n">
        <x:v>1986</x:v>
      </x:c>
      <x:c r="H335" t="n">
        <x:v>3277</x:v>
      </x:c>
      <x:c r="I335" t="n">
        <x:v>176.4</x:v>
      </x:c>
      <x:c r="J335" t="str">
        <x:v>PDF/avansert</x:v>
      </x:c>
      <x:c r="K335" t="n">
        <x:v>843</x:v>
      </x:c>
      <x:c r="L335" t="n">
        <x:v>852</x:v>
      </x:c>
      <x:c r="M335" t="n">
        <x:v>895</x:v>
      </x:c>
      <x:c r="N335" t="n">
        <x:v>419</x:v>
      </x:c>
      <x:c r="O335" t="n">
        <x:v>0.3</x:v>
      </x:c>
      <x:c r="P335" t="n">
        <x:v>0.25</x:v>
      </x:c>
      <x:c r="Q335" t="n">
        <x:v>0.2</x:v>
      </x:c>
      <x:c r="R335" t="n">
        <x:v>2.4</x:v>
      </x:c>
      <x:c r="S335" t="n">
        <x:v>75</x:v>
      </x:c>
      <x:c r="T335" t="n">
        <x:v>75</x:v>
      </x:c>
      <x:c r="U335" t="n">
        <x:v>2.69</x:v>
      </x:c>
      <x:c r="V335" t="n">
        <x:v>0.46</x:v>
      </x:c>
      <x:c r="W335" t="n">
        <x:v>8.36</x:v>
      </x:c>
      <x:c r="X335" t="n">
        <x:v>95</x:v>
      </x:c>
      <x:c r="Y335" t="n">
        <x:v>94</x:v>
      </x:c>
      <x:c r="Z335" t="n">
        <x:v>35</x:v>
      </x:c>
      <x:c r="AA335" t="n">
        <x:v>21</x:v>
      </x:c>
      <x:c r="AB335" t="n">
        <x:v>22</x:v>
      </x:c>
      <x:c r="AC335" t="n">
        <x:v>5</x:v>
      </x:c>
      <x:c r="AD335" t="n">
        <x:v>104.5</x:v>
      </x:c>
      <x:c r="AE335" t="n">
        <x:v>0.08</x:v>
      </x:c>
      <x:c r="AF335" t="n">
        <x:v>12</x:v>
      </x:c>
      <x:c r="AG335" t="n">
        <x:v>12</x:v>
      </x:c>
      <x:c r="AH335" t="n">
        <x:v>24</x:v>
      </x:c>
      <x:c r="AI335" t="n">
        <x:v>8</x:v>
      </x:c>
      <x:c r="AJ335" t="n">
        <x:v>11</x:v>
      </x:c>
      <x:c r="AK335" t="n">
        <x:v>250</x:v>
      </x:c>
      <x:c r="AL335" t="str">
        <x:v>Direkte elektrisk;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str">
        <x:v>energiattester_export_2025-08-14.json | PDF vedlegg side 5-7</x:v>
      </x:c>
      <x:c r="AV335" s="12" t="n">
        <x:f>IF(COUNT(O335,P335,Q335,R335,K335,L335,M335,N335)=8,O335*K335+P335*L335+Q335*M335+R335*N335,"")</x:f>
        <x:v>1650.5</x:v>
      </x:c>
      <x:c r="AW335" s="12" t="n">
        <x:f>IF(AND(ISNUMBER(AV335),H335&gt;0),AV335/H335,"")</x:f>
        <x:v>0.5036618858712237</x:v>
      </x:c>
      <x:c r="AX335" s="12" t="n">
        <x:f>IF(AND(ISNUMBER(AD335),H335&gt;0),AD335*H335*3600,"")</x:f>
        <x:v>1232807400</x:v>
      </x:c>
      <x:c r="AY335" s="12" t="n">
        <x:f>IF(AND(ISNUMBER(Y335),H335&gt;0),Y335*H335,"")</x:f>
        <x:v>308038</x:v>
      </x:c>
      <x:c r="AZ335" t="str">
        <x:v>Høy</x:v>
      </x:c>
    </x:row>
    <x:row r="336" ht="22" customHeight="1">
      <x:c r="A336" t="str">
        <x:v>OT-0f5935726172</x:v>
      </x:c>
      <x:c r="B336" t="n">
        <x:v>2015</x:v>
      </x:c>
      <x:c r="C336" t="str">
        <x:v>Kontorbygg</x:v>
      </x:c>
      <x:c r="D336" t="str">
        <x:v>KONTORER, MED VENTILASJON OG KJØLEANLEGG</x:v>
      </x:c>
      <x:c r="E336" t="str">
        <x:v>F</x:v>
      </x:c>
      <x:c r="F336" t="str">
        <x:v>RED</x:v>
      </x:c>
      <x:c r="G336" t="n">
        <x:v>1980</x:v>
      </x:c>
      <x:c r="H336" t="n">
        <x:v>2080</x:v>
      </x:c>
      <x:c r="I336" t="n">
        <x:v>230.5</x:v>
      </x:c>
      <x:c r="J336" t="str">
        <x:v>PDF/avansert</x:v>
      </x:c>
      <x:c r="K336" t="n">
        <x:v>999</x:v>
      </x:c>
      <x:c r="L336" t="n">
        <x:v>1106</x:v>
      </x:c>
      <x:c r="M336" t="n">
        <x:v>1116</x:v>
      </x:c>
      <x:c r="N336" t="n">
        <x:v>245</x:v>
      </x:c>
      <x:c r="O336" t="n">
        <x:v>0.41</x:v>
      </x:c>
      <x:c r="P336" t="n">
        <x:v>0.28</x:v>
      </x:c>
      <x:c r="Q336" t="n">
        <x:v>0.24</x:v>
      </x:c>
      <x:c r="R336" t="n">
        <x:v>2.65</x:v>
      </x:c>
      <x:c r="S336" t="n">
        <x:v>66</x:v>
      </x:c>
      <x:c r="T336" t="n">
        <x:v>66</x:v>
      </x:c>
      <x:c r="U336" t="n">
        <x:v>3.35</x:v>
      </x:c>
      <x:c r="V336" t="n">
        <x:v>0.4</x:v>
      </x:c>
      <x:c r="W336" t="n">
        <x:v>10</x:v>
      </x:c>
      <x:c r="X336" t="n">
        <x:v>89</x:v>
      </x:c>
      <x:c r="Y336" t="n">
        <x:v>95</x:v>
      </x:c>
      <x:c r="Z336" t="n">
        <x:v>75</x:v>
      </x:c>
      <x:c r="AA336" t="n">
        <x:v>21</x:v>
      </x:c>
      <x:c r="AB336" t="n">
        <x:v>22</x:v>
      </x:c>
      <x:c r="AC336" t="n">
        <x:v>2</x:v>
      </x:c>
      <x:c r="AD336" t="n">
        <x:v>79.8</x:v>
      </x:c>
      <x:c r="AE336" t="n">
        <x:v>0.12</x:v>
      </x:c>
      <x:c r="AF336" t="n">
        <x:v>12</x:v>
      </x:c>
      <x:c r="AG336" t="n">
        <x:v>12</x:v>
      </x:c>
      <x:c r="AH336" t="n">
        <x:v>24</x:v>
      </x:c>
      <x:c r="AI336" t="n">
        <x:v>8</x:v>
      </x:c>
      <x:c r="AJ336" t="n">
        <x:v>11</x:v>
      </x:c>
      <x:c r="AK336" t="n">
        <x:v>240</x:v>
      </x:c>
      <x:c r="AL336" t="str">
        <x:v>Direkte elektrisk;</x:v>
      </x:c>
      <x:c r="AM336" t="n">
        <x:v>0</x:v>
      </x:c>
      <x:c r="AN336" t="n">
        <x:v>0</x:v>
      </x:c>
      <x:c r="AO336" t="n">
        <x:v>0</x:v>
      </x:c>
      <x:c r="AP336" t="n">
        <x:v>1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str">
        <x:v>energiattester_export_2025-08-14.json | PDF vedlegg side 5-7</x:v>
      </x:c>
      <x:c r="AV336" s="12" t="n">
        <x:f>IF(COUNT(O336,P336,Q336,R336,K336,L336,M336,N336)=8,O336*K336+P336*L336+Q336*M336+R336*N336,"")</x:f>
        <x:v>1636.36</x:v>
      </x:c>
      <x:c r="AW336" s="12" t="n">
        <x:f>IF(AND(ISNUMBER(AV336),H336&gt;0),AV336/H336,"")</x:f>
        <x:v>0.7867115384615384</x:v>
      </x:c>
      <x:c r="AX336" s="12" t="n">
        <x:f>IF(AND(ISNUMBER(AD336),H336&gt;0),AD336*H336*3600,"")</x:f>
        <x:v>597542400</x:v>
      </x:c>
      <x:c r="AY336" s="12" t="n">
        <x:f>IF(AND(ISNUMBER(Y336),H336&gt;0),Y336*H336,"")</x:f>
        <x:v>197600</x:v>
      </x:c>
      <x:c r="AZ336" t="str">
        <x:v>Høy</x:v>
      </x:c>
    </x:row>
    <x:row r="337" ht="22" customHeight="1">
      <x:c r="A337" t="str">
        <x:v>OT-897cd571dbea</x:v>
      </x:c>
      <x:c r="B337" t="n">
        <x:v>2015</x:v>
      </x:c>
      <x:c r="C337" t="str">
        <x:v>Hoteller</x:v>
      </x:c>
      <x:c r="D337" t="str">
        <x:v>HOTELLBYGNING</x:v>
      </x:c>
      <x:c r="E337" t="str">
        <x:v>F</x:v>
      </x:c>
      <x:c r="F337" t="str">
        <x:v>RED</x:v>
      </x:c>
      <x:c r="G337" t="n">
        <x:v>1900</x:v>
      </x:c>
      <x:c r="H337" t="n">
        <x:v>7209</x:v>
      </x:c>
      <x:c r="I337" t="n">
        <x:v>365</x:v>
      </x:c>
      <x:c r="J337" t="str">
        <x:v>PDF/avansert</x:v>
      </x:c>
      <x:c r="K337" t="n">
        <x:v>3653</x:v>
      </x:c>
      <x:c r="L337" t="n">
        <x:v>1586</x:v>
      </x:c>
      <x:c r="M337" t="n">
        <x:v>1586</x:v>
      </x:c>
      <x:c r="N337" t="n">
        <x:v>837</x:v>
      </x:c>
      <x:c r="O337" t="n">
        <x:v>0.88</x:v>
      </x:c>
      <x:c r="P337" t="n">
        <x:v>1.41</x:v>
      </x:c>
      <x:c r="Q337" t="n">
        <x:v>0.25</x:v>
      </x:c>
      <x:c r="R337" t="n">
        <x:v>2.26</x:v>
      </x:c>
      <x:c r="S337" t="n">
        <x:v>15</x:v>
      </x:c>
      <x:c r="T337" t="n">
        <x:v>15</x:v>
      </x:c>
      <x:c r="U337" t="n">
        <x:v>3</x:v>
      </x:c>
      <x:c r="V337" t="n">
        <x:v>0.38</x:v>
      </x:c>
      <x:c r="W337" t="n">
        <x:v>7</x:v>
      </x:c>
      <x:c r="X337" t="n">
        <x:v>98</x:v>
      </x:c>
      <x:c r="Y337" t="n">
        <x:v>70</x:v>
      </x:c>
      <x:c r="Z337" t="n">
        <x:v>0</x:v>
      </x:c>
      <x:c r="AA337" t="n">
        <x:v>21</x:v>
      </x:c>
      <x:c r="AB337" t="n">
        <x:v>22</x:v>
      </x:c>
      <x:c r="AC337" t="n">
        <x:v>2.95</x:v>
      </x:c>
      <x:c r="AD337" t="n">
        <x:v>170</x:v>
      </x:c>
      <x:c r="AE337" t="n">
        <x:v>0.08</x:v>
      </x:c>
      <x:c r="AF337" t="n">
        <x:v>16</x:v>
      </x:c>
      <x:c r="AG337" t="n">
        <x:v>16</x:v>
      </x:c>
      <x:c r="AH337" t="n">
        <x:v>24</x:v>
      </x:c>
      <x:c r="AI337" t="n">
        <x:v>8</x:v>
      </x:c>
      <x:c r="AJ337" t="n">
        <x:v>1</x:v>
      </x:c>
      <x:c r="AK337" t="n">
        <x:v>250</x:v>
      </x:c>
      <x:c r="AL337" t="str">
        <x:v>Direkte elektrisk;</x:v>
      </x:c>
      <x:c r="AM337" t="n">
        <x:v>1</x:v>
      </x:c>
      <x:c r="AN337" t="n">
        <x:v>0</x:v>
      </x:c>
      <x:c r="AO337" t="n">
        <x:v>0</x:v>
      </x:c>
      <x:c r="AP337" t="n">
        <x:v>1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str">
        <x:v>energiattester_export_2025-08-14.json | PDF vedlegg side 5-7</x:v>
      </x:c>
      <x:c r="AV337" s="12" t="n">
        <x:f>IF(COUNT(O337,P337,Q337,R337,K337,L337,M337,N337)=8,O337*K337+P337*L337+Q337*M337+R337*N337,"")</x:f>
        <x:v>7739.0199999999995</x:v>
      </x:c>
      <x:c r="AW337" s="12" t="n">
        <x:f>IF(AND(ISNUMBER(AV337),H337&gt;0),AV337/H337,"")</x:f>
        <x:v>1.0735219864058814</x:v>
      </x:c>
      <x:c r="AX337" s="12" t="n">
        <x:f>IF(AND(ISNUMBER(AD337),H337&gt;0),AD337*H337*3600,"")</x:f>
        <x:v>4411908000</x:v>
      </x:c>
      <x:c r="AY337" s="12" t="n">
        <x:f>IF(AND(ISNUMBER(Y337),H337&gt;0),Y337*H337,"")</x:f>
        <x:v>504630</x:v>
      </x:c>
      <x:c r="AZ337" t="str">
        <x:v>Høy</x:v>
      </x:c>
    </x:row>
    <x:row r="338" ht="22" customHeight="1">
      <x:c r="A338" t="str">
        <x:v>OT-e59b463c8fdc</x:v>
      </x:c>
      <x:c r="B338" t="n">
        <x:v>2015</x:v>
      </x:c>
      <x:c r="C338" t="str">
        <x:v>Kontorbygg</x:v>
      </x:c>
      <x:c r="D338" t="str">
        <x:v>KONTORER, ENKLE</x:v>
      </x:c>
      <x:c r="E338" t="str">
        <x:v>G</x:v>
      </x:c>
      <x:c r="F338" t="str">
        <x:v>ORANGE</x:v>
      </x:c>
      <x:c r="G338" t="n">
        <x:v>1920</x:v>
      </x:c>
      <x:c r="H338" t="n">
        <x:v>450</x:v>
      </x:c>
      <x:c r="I338" t="n">
        <x:v>382.3</x:v>
      </x:c>
      <x:c r="J338" t="str">
        <x:v>PDF/avansert</x:v>
      </x:c>
      <x:c r="K338" t="n">
        <x:v>207</x:v>
      </x:c>
      <x:c r="L338" t="n">
        <x:v>174</x:v>
      </x:c>
      <x:c r="M338" t="n">
        <x:v>150</x:v>
      </x:c>
      <x:c r="N338" t="n">
        <x:v>43</x:v>
      </x:c>
      <x:c r="O338" t="n">
        <x:v>1.3</x:v>
      </x:c>
      <x:c r="P338" t="n">
        <x:v>1</x:v>
      </x:c>
      <x:c r="Q338" t="n">
        <x:v>0.6</x:v>
      </x:c>
      <x:c r="R338" t="n">
        <x:v>2.76</x:v>
      </x:c>
      <x:c r="S338" t="n">
        <x:v>0</x:v>
      </x:c>
      <x:c r="T338" t="n">
        <x:v>0</x:v>
      </x:c>
      <x:c r="U338" t="n">
        <x:v>0.01</x:v>
      </x:c>
      <x:c r="V338" t="n">
        <x:v>0</x:v>
      </x:c>
      <x:c r="W338" t="n">
        <x:v>7</x:v>
      </x:c>
      <x:c r="X338" t="n">
        <x:v>157</x:v>
      </x:c>
      <x:c r="Y338" t="n">
        <x:v>300</x:v>
      </x:c>
      <x:c r="Z338" t="n">
        <x:v>0</x:v>
      </x:c>
      <x:c r="AA338" t="n">
        <x:v>21</x:v>
      </x:c>
      <x:c r="AB338" t="n">
        <x:v>22</x:v>
      </x:c>
      <x:c r="AC338" t="n">
        <x:v>4</x:v>
      </x:c>
      <x:c r="AD338" t="n">
        <x:v>37</x:v>
      </x:c>
      <x:c r="AE338" t="n">
        <x:v>0.06</x:v>
      </x:c>
      <x:c r="AF338" t="n">
        <x:v>12</x:v>
      </x:c>
      <x:c r="AG338" t="n">
        <x:v>12</x:v>
      </x:c>
      <x:c r="AH338" t="n">
        <x:v>24</x:v>
      </x:c>
      <x:c r="AI338" t="n">
        <x:v>8</x:v>
      </x:c>
      <x:c r="AJ338" t="n">
        <x:v>11</x:v>
      </x:c>
      <x:c r="AK338" t="n">
        <x:v>250</x:v>
      </x:c>
      <x:c r="AL338" t="str">
        <x:v>Direkte elektrisk; Varmepumpe;</x:v>
      </x:c>
      <x:c r="AM338" t="n">
        <x:v>1</x:v>
      </x:c>
      <x:c r="AN338" t="n">
        <x:v>0</x:v>
      </x:c>
      <x:c r="AO338" t="n">
        <x:v>1</x:v>
      </x:c>
      <x:c r="AP338" t="n">
        <x:v>1</x:v>
      </x:c>
      <x:c r="AQ338" t="n">
        <x:v>1</x:v>
      </x:c>
      <x:c r="AR338" t="n">
        <x:v>1</x:v>
      </x:c>
      <x:c r="AS338" t="n">
        <x:v>1</x:v>
      </x:c>
      <x:c r="AT338" t="n">
        <x:v>0</x:v>
      </x:c>
      <x:c r="AU338" t="str">
        <x:v>energiattester_export_2025-08-14.json | PDF vedlegg side 5-7</x:v>
      </x:c>
      <x:c r="AV338" s="12" t="n">
        <x:f>IF(COUNT(O338,P338,Q338,R338,K338,L338,M338,N338)=8,O338*K338+P338*L338+Q338*M338+R338*N338,"")</x:f>
        <x:v>651.78</x:v>
      </x:c>
      <x:c r="AW338" s="12" t="n">
        <x:f>IF(AND(ISNUMBER(AV338),H338&gt;0),AV338/H338,"")</x:f>
        <x:v>1.4484</x:v>
      </x:c>
      <x:c r="AX338" s="12" t="n">
        <x:f>IF(AND(ISNUMBER(AD338),H338&gt;0),AD338*H338*3600,"")</x:f>
        <x:v>59940000</x:v>
      </x:c>
      <x:c r="AY338" s="12" t="n">
        <x:f>IF(AND(ISNUMBER(Y338),H338&gt;0),Y338*H338,"")</x:f>
        <x:v>135000</x:v>
      </x:c>
      <x:c r="AZ338" t="str">
        <x:v>Høy</x:v>
      </x:c>
    </x:row>
    <x:row r="339" ht="22" customHeight="1">
      <x:c r="A339" t="str">
        <x:v>OT-077977a6a701</x:v>
      </x:c>
      <x:c r="B339" t="n">
        <x:v>2015</x:v>
      </x:c>
      <x:c r="C339" t="str">
        <x:v>Kontorbygg</x:v>
      </x:c>
      <x:c r="D339" t="str">
        <x:v>Kontorer, enkle</x:v>
      </x:c>
      <x:c r="E339" t="str">
        <x:v>G</x:v>
      </x:c>
      <x:c r="F339" t="str">
        <x:v>ORANGE</x:v>
      </x:c>
      <x:c r="G339" t="n">
        <x:v>1929</x:v>
      </x:c>
      <x:c r="H339" t="n">
        <x:v>1495</x:v>
      </x:c>
      <x:c r="I339" t="n">
        <x:v>451.01</x:v>
      </x:c>
      <x:c r="J339" t="str">
        <x:v>PDF/avansert</x:v>
      </x:c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 t="n">
        <x:v>0</x:v>
      </x:c>
      <x:c r="AN339" t="n">
        <x:v>0</x:v>
      </x:c>
      <x:c r="AO339" t="n">
        <x:v>1</x:v>
      </x:c>
      <x:c r="AP339" t="n">
        <x:v>1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str">
        <x:v>energiattester_export_2025-08-14.json | PDF vedlegg side 5-7</x:v>
      </x:c>
      <x:c r="AV339" s="12" t="str">
        <x:f>IF(COUNT(O339,P339,Q339,R339,K339,L339,M339,N339)=8,O339*K339+P339*L339+Q339*M339+R339*N339,"")</x:f>
      </x:c>
      <x:c r="AW339" s="12" t="str">
        <x:f>IF(AND(ISNUMBER(AV339),H339&gt;0),AV339/H339,"")</x:f>
      </x:c>
      <x:c r="AX339" s="12" t="str">
        <x:f>IF(AND(ISNUMBER(AD339),H339&gt;0),AD339*H339*3600,"")</x:f>
      </x:c>
      <x:c r="AY339" s="12" t="str">
        <x:f>IF(AND(ISNUMBER(Y339),H339&gt;0),Y339*H339,"")</x:f>
      </x:c>
      <x:c r="AZ339" t="str">
        <x:v>Mangler data</x:v>
      </x:c>
    </x:row>
    <x:row r="340" ht="22" customHeight="1">
      <x:c r="A340" t="str">
        <x:v>OT-c3f068c6207d</x:v>
      </x:c>
      <x:c r="B340" t="n">
        <x:v>2015</x:v>
      </x:c>
      <x:c r="C340" t="str">
        <x:v>Kontorbygg</x:v>
      </x:c>
      <x:c r="D340" t="str">
        <x:v>KONTORER, ENKLE</x:v>
      </x:c>
      <x:c r="E340" t="str">
        <x:v>F</x:v>
      </x:c>
      <x:c r="F340" t="str">
        <x:v>RED</x:v>
      </x:c>
      <x:c r="G340" t="n">
        <x:v>1987</x:v>
      </x:c>
      <x:c r="H340" t="n">
        <x:v>896</x:v>
      </x:c>
      <x:c r="I340" t="n">
        <x:v>245.3</x:v>
      </x:c>
      <x:c r="J340" t="str">
        <x:v>PDF/avansert</x:v>
      </x:c>
      <x:c r="K340" t="n">
        <x:v>554</x:v>
      </x:c>
      <x:c r="L340" t="n">
        <x:v>404</x:v>
      </x:c>
      <x:c r="M340" t="n">
        <x:v>336</x:v>
      </x:c>
      <x:c r="N340" t="n">
        <x:v>119</x:v>
      </x:c>
      <x:c r="O340" t="n">
        <x:v>0.3</x:v>
      </x:c>
      <x:c r="P340" t="n">
        <x:v>0.2</x:v>
      </x:c>
      <x:c r="Q340" t="n">
        <x:v>0.2</x:v>
      </x:c>
      <x:c r="R340" t="n">
        <x:v>1.6</x:v>
      </x:c>
      <x:c r="S340" t="n">
        <x:v>25</x:v>
      </x:c>
      <x:c r="T340" t="n">
        <x:v>25</x:v>
      </x:c>
      <x:c r="U340" t="n">
        <x:v>1.5</x:v>
      </x:c>
      <x:c r="V340" t="n">
        <x:v>0.35</x:v>
      </x:c>
      <x:c r="W340" t="n">
        <x:v>8.68</x:v>
      </x:c>
      <x:c r="X340" t="n">
        <x:v>81</x:v>
      </x:c>
      <x:c r="Y340" t="n">
        <x:v>80</x:v>
      </x:c>
      <x:c r="Z340" t="n">
        <x:v>0</x:v>
      </x:c>
      <x:c r="AA340" t="n">
        <x:v>21</x:v>
      </x:c>
      <x:c r="AB340" t="n">
        <x:v>22</x:v>
      </x:c>
      <x:c r="AC340" t="n">
        <x:v>1.5</x:v>
      </x:c>
      <x:c r="AD340" t="n">
        <x:v>22.8</x:v>
      </x:c>
      <x:c r="AE340" t="n">
        <x:v>0.05</x:v>
      </x:c>
      <x:c r="AF340" t="n">
        <x:v>12</x:v>
      </x:c>
      <x:c r="AG340" t="n">
        <x:v>12</x:v>
      </x:c>
      <x:c r="AH340" t="n">
        <x:v>24</x:v>
      </x:c>
      <x:c r="AI340" t="n">
        <x:v>8</x:v>
      </x:c>
      <x:c r="AJ340" t="n">
        <x:v>11</x:v>
      </x:c>
      <x:c r="AK340" t="n">
        <x:v>250</x:v>
      </x:c>
      <x:c r="AL340" t="str">
        <x:v>Direkte elektrisk;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1</x:v>
      </x:c>
      <x:c r="AU340" t="str">
        <x:v>energiattester_export_2025-08-14.json | PDF vedlegg side 5-7</x:v>
      </x:c>
      <x:c r="AV340" s="12" t="n">
        <x:f>IF(COUNT(O340,P340,Q340,R340,K340,L340,M340,N340)=8,O340*K340+P340*L340+Q340*M340+R340*N340,"")</x:f>
        <x:v>504.6</x:v>
      </x:c>
      <x:c r="AW340" s="12" t="n">
        <x:f>IF(AND(ISNUMBER(AV340),H340&gt;0),AV340/H340,"")</x:f>
        <x:v>0.5631696428571429</x:v>
      </x:c>
      <x:c r="AX340" s="12" t="n">
        <x:f>IF(AND(ISNUMBER(AD340),H340&gt;0),AD340*H340*3600,"")</x:f>
        <x:v>73543680</x:v>
      </x:c>
      <x:c r="AY340" s="12" t="n">
        <x:f>IF(AND(ISNUMBER(Y340),H340&gt;0),Y340*H340,"")</x:f>
        <x:v>71680</x:v>
      </x:c>
      <x:c r="AZ340" t="str">
        <x:v>Høy</x:v>
      </x:c>
    </x:row>
    <x:row r="341" ht="22" customHeight="1">
      <x:c r="A341" t="str">
        <x:v>OT-420b821bcf90</x:v>
      </x:c>
      <x:c r="B341" t="n">
        <x:v>2015</x:v>
      </x:c>
      <x:c r="C341" t="str">
        <x:v>Kontorbygg</x:v>
      </x:c>
      <x:c r="D341" t="str">
        <x:v>KONTORER, ENKLE</x:v>
      </x:c>
      <x:c r="E341" t="str">
        <x:v>D</x:v>
      </x:c>
      <x:c r="F341" t="str">
        <x:v>RED</x:v>
      </x:c>
      <x:c r="G341" t="n">
        <x:v>1981</x:v>
      </x:c>
      <x:c r="H341" t="n">
        <x:v>4078</x:v>
      </x:c>
      <x:c r="I341" t="n">
        <x:v>170.8</x:v>
      </x:c>
      <x:c r="J341" t="str">
        <x:v>PDF/avansert</x:v>
      </x:c>
      <x:c r="K341" t="n">
        <x:v>879</x:v>
      </x:c>
      <x:c r="L341" t="n">
        <x:v>900</x:v>
      </x:c>
      <x:c r="M341" t="n">
        <x:v>855</x:v>
      </x:c>
      <x:c r="N341" t="n">
        <x:v>834</x:v>
      </x:c>
      <x:c r="O341" t="n">
        <x:v>0.37</x:v>
      </x:c>
      <x:c r="P341" t="n">
        <x:v>0.26</x:v>
      </x:c>
      <x:c r="Q341" t="n">
        <x:v>0.26</x:v>
      </x:c>
      <x:c r="R341" t="n">
        <x:v>1.61</x:v>
      </x:c>
      <x:c r="S341" t="n">
        <x:v>63</x:v>
      </x:c>
      <x:c r="T341" t="n">
        <x:v>63</x:v>
      </x:c>
      <x:c r="U341" t="n">
        <x:v>1.43</x:v>
      </x:c>
      <x:c r="V341" t="n">
        <x:v>0.32</x:v>
      </x:c>
      <x:c r="W341" t="n">
        <x:v>9.13</x:v>
      </x:c>
      <x:c r="X341" t="n">
        <x:v>81</x:v>
      </x:c>
      <x:c r="Y341" t="n">
        <x:v>140</x:v>
      </x:c>
      <x:c r="Z341" t="n">
        <x:v>0</x:v>
      </x:c>
      <x:c r="AA341" t="n">
        <x:v>21</x:v>
      </x:c>
      <x:c r="AB341" t="n">
        <x:v>22</x:v>
      </x:c>
      <x:c r="AC341" t="n">
        <x:v>1.5</x:v>
      </x:c>
      <x:c r="AD341" t="n">
        <x:v>14.1</x:v>
      </x:c>
      <x:c r="AE341" t="n">
        <x:v>0.05</x:v>
      </x:c>
      <x:c r="AF341" t="n">
        <x:v>12</x:v>
      </x:c>
      <x:c r="AG341" t="n">
        <x:v>12</x:v>
      </x:c>
      <x:c r="AH341" t="n">
        <x:v>24</x:v>
      </x:c>
      <x:c r="AI341" t="n">
        <x:v>8</x:v>
      </x:c>
      <x:c r="AJ341" t="n">
        <x:v>11</x:v>
      </x:c>
      <x:c r="AK341" t="n">
        <x:v>250</x:v>
      </x:c>
      <x:c r="AL341" t="str">
        <x:v>Direkte elektrisk;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1</x:v>
      </x:c>
      <x:c r="AU341" t="str">
        <x:v>energiattester_export_2025-08-14.json | PDF vedlegg side 5-7</x:v>
      </x:c>
      <x:c r="AV341" s="12" t="n">
        <x:f>IF(COUNT(O341,P341,Q341,R341,K341,L341,M341,N341)=8,O341*K341+P341*L341+Q341*M341+R341*N341,"")</x:f>
        <x:v>2124.27</x:v>
      </x:c>
      <x:c r="AW341" s="12" t="n">
        <x:f>IF(AND(ISNUMBER(AV341),H341&gt;0),AV341/H341,"")</x:f>
        <x:v>0.5209097596861206</x:v>
      </x:c>
      <x:c r="AX341" s="12" t="n">
        <x:f>IF(AND(ISNUMBER(AD341),H341&gt;0),AD341*H341*3600,"")</x:f>
        <x:v>206999279.99999997</x:v>
      </x:c>
      <x:c r="AY341" s="12" t="n">
        <x:f>IF(AND(ISNUMBER(Y341),H341&gt;0),Y341*H341,"")</x:f>
        <x:v>570920</x:v>
      </x:c>
      <x:c r="AZ341" t="str">
        <x:v>Høy</x:v>
      </x:c>
    </x:row>
    <x:row r="342" ht="22" customHeight="1">
      <x:c r="A342" t="str">
        <x:v>OT-002b441b68c7</x:v>
      </x:c>
      <x:c r="B342" t="n">
        <x:v>2015</x:v>
      </x:c>
      <x:c r="C342" t="str">
        <x:v>Forretningsbygg</x:v>
      </x:c>
      <x:c r="D342" t="str">
        <x:v>BUTIKK MED KJØLE- / FRYSEROM</x:v>
      </x:c>
      <x:c r="E342" t="str">
        <x:v>D</x:v>
      </x:c>
      <x:c r="F342" t="str">
        <x:v>RED</x:v>
      </x:c>
      <x:c r="G342" t="n">
        <x:v>2005</x:v>
      </x:c>
      <x:c r="H342" t="n">
        <x:v>1238</x:v>
      </x:c>
      <x:c r="I342" t="n">
        <x:v>211</x:v>
      </x:c>
      <x:c r="J342" t="str">
        <x:v>PDF/avansert</x:v>
      </x:c>
      <x:c r="K342" t="n">
        <x:v>959</x:v>
      </x:c>
      <x:c r="L342" t="n">
        <x:v>1238</x:v>
      </x:c>
      <x:c r="M342" t="n">
        <x:v>1238</x:v>
      </x:c>
      <x:c r="N342" t="n">
        <x:v>62</x:v>
      </x:c>
      <x:c r="O342" t="n">
        <x:v>0.21</x:v>
      </x:c>
      <x:c r="P342" t="n">
        <x:v>0.17</x:v>
      </x:c>
      <x:c r="Q342" t="n">
        <x:v>0.13</x:v>
      </x:c>
      <x:c r="R342" t="n">
        <x:v>1.22</x:v>
      </x:c>
      <x:c r="S342" t="n">
        <x:v>70</x:v>
      </x:c>
      <x:c r="T342" t="n">
        <x:v>70</x:v>
      </x:c>
      <x:c r="U342" t="n">
        <x:v>2</x:v>
      </x:c>
      <x:c r="V342" t="n">
        <x:v>0.43</x:v>
      </x:c>
      <x:c r="W342" t="n">
        <x:v>11</x:v>
      </x:c>
      <x:c r="X342" t="n">
        <x:v>90</x:v>
      </x:c>
      <x:c r="Y342" t="n">
        <x:v>80</x:v>
      </x:c>
      <x:c r="Z342" t="n">
        <x:v>70</x:v>
      </x:c>
      <x:c r="AA342" t="n">
        <x:v>21</x:v>
      </x:c>
      <x:c r="AB342" t="n">
        <x:v>22</x:v>
      </x:c>
      <x:c r="AC342" t="n">
        <x:v>1.5</x:v>
      </x:c>
      <x:c r="AD342" t="n">
        <x:v>69.3</x:v>
      </x:c>
      <x:c r="AE342" t="n">
        <x:v>0.09</x:v>
      </x:c>
      <x:c r="AF342" t="n">
        <x:v>12</x:v>
      </x:c>
      <x:c r="AG342" t="n">
        <x:v>12</x:v>
      </x:c>
      <x:c r="AH342" t="n">
        <x:v>24</x:v>
      </x:c>
      <x:c r="AI342" t="n">
        <x:v>15</x:v>
      </x:c>
      <x:c r="AJ342" t="n">
        <x:v>1</x:v>
      </x:c>
      <x:c r="AK342" t="n">
        <x:v>250</x:v>
      </x:c>
      <x:c r="AL342" t="str">
        <x:v>Direkte elektrisk;</x:v>
      </x:c>
      <x:c r="AM342"/>
      <x:c r="AN342"/>
      <x:c r="AO342"/>
      <x:c r="AP342"/>
      <x:c r="AQ342"/>
      <x:c r="AR342"/>
      <x:c r="AS342"/>
      <x:c r="AT342"/>
      <x:c r="AU342" t="str">
        <x:v>energiattester_export_2025-08-14.json | PDF vedlegg side 5-7</x:v>
      </x:c>
      <x:c r="AV342" s="12" t="n">
        <x:f>IF(COUNT(O342,P342,Q342,R342,K342,L342,M342,N342)=8,O342*K342+P342*L342+Q342*M342+R342*N342,"")</x:f>
        <x:v>648.43</x:v>
      </x:c>
      <x:c r="AW342" s="12" t="n">
        <x:f>IF(AND(ISNUMBER(AV342),H342&gt;0),AV342/H342,"")</x:f>
        <x:v>0.5237722132471728</x:v>
      </x:c>
      <x:c r="AX342" s="12" t="n">
        <x:f>IF(AND(ISNUMBER(AD342),H342&gt;0),AD342*H342*3600,"")</x:f>
        <x:v>308856240</x:v>
      </x:c>
      <x:c r="AY342" s="12" t="n">
        <x:f>IF(AND(ISNUMBER(Y342),H342&gt;0),Y342*H342,"")</x:f>
        <x:v>99040</x:v>
      </x:c>
      <x:c r="AZ342" t="str">
        <x:v>Høy</x:v>
      </x:c>
    </x:row>
    <x:row r="343" ht="22" customHeight="1">
      <x:c r="A343" t="str">
        <x:v>OT-5af9e5fd3947</x:v>
      </x:c>
      <x:c r="B343" t="n">
        <x:v>2015</x:v>
      </x:c>
      <x:c r="C343" t="str">
        <x:v>Forretningsbygg</x:v>
      </x:c>
      <x:c r="D343" t="str">
        <x:v>BUTIKK MED KJØLE- / FRYSEROM</x:v>
      </x:c>
      <x:c r="E343" t="str">
        <x:v>C</x:v>
      </x:c>
      <x:c r="F343" t="str">
        <x:v>RED</x:v>
      </x:c>
      <x:c r="G343" t="n">
        <x:v>2000</x:v>
      </x:c>
      <x:c r="H343" t="n">
        <x:v>1060</x:v>
      </x:c>
      <x:c r="I343" t="n">
        <x:v>207.1</x:v>
      </x:c>
      <x:c r="J343" t="str">
        <x:v>PDF/avansert</x:v>
      </x:c>
      <x:c r="K343" t="n">
        <x:v>412</x:v>
      </x:c>
      <x:c r="L343" t="n">
        <x:v>996</x:v>
      </x:c>
      <x:c r="M343" t="n">
        <x:v>1045</x:v>
      </x:c>
      <x:c r="N343" t="n">
        <x:v>56</x:v>
      </x:c>
      <x:c r="O343" t="n">
        <x:v>0.28</x:v>
      </x:c>
      <x:c r="P343" t="n">
        <x:v>0.16</x:v>
      </x:c>
      <x:c r="Q343" t="n">
        <x:v>0.16</x:v>
      </x:c>
      <x:c r="R343" t="n">
        <x:v>1.34</x:v>
      </x:c>
      <x:c r="S343" t="n">
        <x:v>70</x:v>
      </x:c>
      <x:c r="T343" t="n">
        <x:v>70</x:v>
      </x:c>
      <x:c r="U343" t="n">
        <x:v>2</x:v>
      </x:c>
      <x:c r="V343" t="n">
        <x:v>0.44</x:v>
      </x:c>
      <x:c r="W343" t="n">
        <x:v>10.9</x:v>
      </x:c>
      <x:c r="X343" t="n">
        <x:v>90</x:v>
      </x:c>
      <x:c r="Y343" t="n">
        <x:v>80</x:v>
      </x:c>
      <x:c r="Z343" t="n">
        <x:v>40</x:v>
      </x:c>
      <x:c r="AA343" t="n">
        <x:v>21</x:v>
      </x:c>
      <x:c r="AB343" t="n">
        <x:v>22</x:v>
      </x:c>
      <x:c r="AC343" t="n">
        <x:v>1.5</x:v>
      </x:c>
      <x:c r="AD343" t="n">
        <x:v>68.2</x:v>
      </x:c>
      <x:c r="AE343" t="n">
        <x:v>0.09</x:v>
      </x:c>
      <x:c r="AF343" t="n">
        <x:v>12</x:v>
      </x:c>
      <x:c r="AG343" t="n">
        <x:v>12</x:v>
      </x:c>
      <x:c r="AH343" t="n">
        <x:v>24</x:v>
      </x:c>
      <x:c r="AI343" t="n">
        <x:v>15</x:v>
      </x:c>
      <x:c r="AJ343" t="n">
        <x:v>1</x:v>
      </x:c>
      <x:c r="AK343" t="n">
        <x:v>240</x:v>
      </x:c>
      <x:c r="AL343" t="str">
        <x:v>Direkte elektrisk;</x:v>
      </x:c>
      <x:c r="AM343"/>
      <x:c r="AN343"/>
      <x:c r="AO343"/>
      <x:c r="AP343"/>
      <x:c r="AQ343"/>
      <x:c r="AR343"/>
      <x:c r="AS343"/>
      <x:c r="AT343"/>
      <x:c r="AU343" t="str">
        <x:v>energiattester_export_2025-08-14.json | PDF vedlegg side 5-7</x:v>
      </x:c>
      <x:c r="AV343" s="12" t="n">
        <x:f>IF(COUNT(O343,P343,Q343,R343,K343,L343,M343,N343)=8,O343*K343+P343*L343+Q343*M343+R343*N343,"")</x:f>
        <x:v>516.96</x:v>
      </x:c>
      <x:c r="AW343" s="12" t="n">
        <x:f>IF(AND(ISNUMBER(AV343),H343&gt;0),AV343/H343,"")</x:f>
        <x:v>0.4876981132075472</x:v>
      </x:c>
      <x:c r="AX343" s="12" t="n">
        <x:f>IF(AND(ISNUMBER(AD343),H343&gt;0),AD343*H343*3600,"")</x:f>
        <x:v>260251200</x:v>
      </x:c>
      <x:c r="AY343" s="12" t="n">
        <x:f>IF(AND(ISNUMBER(Y343),H343&gt;0),Y343*H343,"")</x:f>
        <x:v>84800</x:v>
      </x:c>
      <x:c r="AZ343" t="str">
        <x:v>Høy</x:v>
      </x:c>
    </x:row>
    <x:row r="344" ht="22" customHeight="1">
      <x:c r="A344" t="str">
        <x:v>OT-9d326754637f</x:v>
      </x:c>
      <x:c r="B344" t="n">
        <x:v>2015</x:v>
      </x:c>
      <x:c r="C344" t="str">
        <x:v>Kontorbygg</x:v>
      </x:c>
      <x:c r="D344" t="str">
        <x:v>KONTORER, ENKLE</x:v>
      </x:c>
      <x:c r="E344" t="str">
        <x:v>G</x:v>
      </x:c>
      <x:c r="F344" t="str">
        <x:v>RED</x:v>
      </x:c>
      <x:c r="G344" t="n">
        <x:v>1977</x:v>
      </x:c>
      <x:c r="H344" t="n">
        <x:v>277</x:v>
      </x:c>
      <x:c r="I344" t="n">
        <x:v>1</x:v>
      </x:c>
      <x:c r="J344" t="str">
        <x:v>PDF/avansert</x:v>
      </x:c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 t="n">
        <x:v>0</x:v>
      </x:c>
      <x:c r="AN344" t="n">
        <x:v>0</x:v>
      </x:c>
      <x:c r="AO344" t="n">
        <x:v>1</x:v>
      </x:c>
      <x:c r="AP344" t="n">
        <x:v>1</x:v>
      </x:c>
      <x:c r="AQ344" t="n">
        <x:v>0</x:v>
      </x:c>
      <x:c r="AR344" t="n">
        <x:v>1</x:v>
      </x:c>
      <x:c r="AS344" t="n">
        <x:v>1</x:v>
      </x:c>
      <x:c r="AT344" t="n">
        <x:v>1</x:v>
      </x:c>
      <x:c r="AU344" t="str">
        <x:v>energiattester_export_2025-08-14.json | PDF vedlegg side 5-7</x:v>
      </x:c>
      <x:c r="AV344" s="12" t="str">
        <x:f>IF(COUNT(O344,P344,Q344,R344,K344,L344,M344,N344)=8,O344*K344+P344*L344+Q344*M344+R344*N344,"")</x:f>
      </x:c>
      <x:c r="AW344" s="12" t="str">
        <x:f>IF(AND(ISNUMBER(AV344),H344&gt;0),AV344/H344,"")</x:f>
      </x:c>
      <x:c r="AX344" s="12" t="str">
        <x:f>IF(AND(ISNUMBER(AD344),H344&gt;0),AD344*H344*3600,"")</x:f>
      </x:c>
      <x:c r="AY344" s="12" t="str">
        <x:f>IF(AND(ISNUMBER(Y344),H344&gt;0),Y344*H344,"")</x:f>
      </x:c>
      <x:c r="AZ344" t="str">
        <x:v>Mangler data</x:v>
      </x:c>
    </x:row>
    <x:row r="345" ht="22" customHeight="1">
      <x:c r="A345" t="str">
        <x:v>OT-a8c99f213a08</x:v>
      </x:c>
      <x:c r="B345" t="n">
        <x:v>2015</x:v>
      </x:c>
      <x:c r="C345" t="str">
        <x:v>Kontorbygg</x:v>
      </x:c>
      <x:c r="D345" t="str">
        <x:v>KONTORER, MED VENTILASJON OG KJØLEANLEGG</x:v>
      </x:c>
      <x:c r="E345" t="str">
        <x:v>D</x:v>
      </x:c>
      <x:c r="F345" t="str">
        <x:v>RED</x:v>
      </x:c>
      <x:c r="G345" t="n">
        <x:v>1925</x:v>
      </x:c>
      <x:c r="H345" t="n">
        <x:v>7246</x:v>
      </x:c>
      <x:c r="I345" t="n">
        <x:v>166</x:v>
      </x:c>
      <x:c r="J345" t="str">
        <x:v>PDF/avansert</x:v>
      </x:c>
      <x:c r="K345" t="n">
        <x:v>1929</x:v>
      </x:c>
      <x:c r="L345" t="n">
        <x:v>1008</x:v>
      </x:c>
      <x:c r="M345" t="n">
        <x:v>1511</x:v>
      </x:c>
      <x:c r="N345" t="n">
        <x:v>847</x:v>
      </x:c>
      <x:c r="O345" t="n">
        <x:v>0.3</x:v>
      </x:c>
      <x:c r="P345" t="n">
        <x:v>0.15</x:v>
      </x:c>
      <x:c r="Q345" t="n">
        <x:v>0.13</x:v>
      </x:c>
      <x:c r="R345" t="n">
        <x:v>1.46</x:v>
      </x:c>
      <x:c r="S345" t="n">
        <x:v>72</x:v>
      </x:c>
      <x:c r="T345" t="n">
        <x:v>72</x:v>
      </x:c>
      <x:c r="U345" t="n">
        <x:v>3</x:v>
      </x:c>
      <x:c r="V345" t="n">
        <x:v>0.23</x:v>
      </x:c>
      <x:c r="W345" t="n">
        <x:v>12.6</x:v>
      </x:c>
      <x:c r="X345" t="n">
        <x:v>98</x:v>
      </x:c>
      <x:c r="Y345" t="n">
        <x:v>80</x:v>
      </x:c>
      <x:c r="Z345" t="n">
        <x:v>44</x:v>
      </x:c>
      <x:c r="AA345" t="n">
        <x:v>21</x:v>
      </x:c>
      <x:c r="AB345" t="n">
        <x:v>22</x:v>
      </x:c>
      <x:c r="AC345" t="n">
        <x:v>1.5</x:v>
      </x:c>
      <x:c r="AD345" t="n">
        <x:v>13.2</x:v>
      </x:c>
      <x:c r="AE345" t="n">
        <x:v>0.12</x:v>
      </x:c>
      <x:c r="AF345" t="n">
        <x:v>12</x:v>
      </x:c>
      <x:c r="AG345" t="n">
        <x:v>12</x:v>
      </x:c>
      <x:c r="AH345" t="n">
        <x:v>24</x:v>
      </x:c>
      <x:c r="AI345" t="n">
        <x:v>8</x:v>
      </x:c>
      <x:c r="AJ345" t="n">
        <x:v>11</x:v>
      </x:c>
      <x:c r="AK345" t="n">
        <x:v>250</x:v>
      </x:c>
      <x:c r="AL345" t="str">
        <x:v>Direkte elektrisk;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1</x:v>
      </x:c>
      <x:c r="AU345" t="str">
        <x:v>energiattester_export_2025-08-14.json | PDF vedlegg side 5-7</x:v>
      </x:c>
      <x:c r="AV345" s="12" t="n">
        <x:f>IF(COUNT(O345,P345,Q345,R345,K345,L345,M345,N345)=8,O345*K345+P345*L345+Q345*M345+R345*N345,"")</x:f>
        <x:v>2162.95</x:v>
      </x:c>
      <x:c r="AW345" s="12" t="n">
        <x:f>IF(AND(ISNUMBER(AV345),H345&gt;0),AV345/H345,"")</x:f>
        <x:v>0.2985026221363511</x:v>
      </x:c>
      <x:c r="AX345" s="12" t="n">
        <x:f>IF(AND(ISNUMBER(AD345),H345&gt;0),AD345*H345*3600,"")</x:f>
        <x:v>344329920</x:v>
      </x:c>
      <x:c r="AY345" s="12" t="n">
        <x:f>IF(AND(ISNUMBER(Y345),H345&gt;0),Y345*H345,"")</x:f>
        <x:v>579680</x:v>
      </x:c>
      <x:c r="AZ345" t="str">
        <x:v>Høy</x:v>
      </x:c>
    </x:row>
    <x:row r="346" ht="22" customHeight="1">
      <x:c r="A346" t="str">
        <x:v>OT-4241a2cd0f6d</x:v>
      </x:c>
      <x:c r="B346" t="n">
        <x:v>2015</x:v>
      </x:c>
      <x:c r="C346" t="str">
        <x:v>Kontorbygg</x:v>
      </x:c>
      <x:c r="D346" t="str">
        <x:v>ANNET KONTORBYGG</x:v>
      </x:c>
      <x:c r="E346" t="str">
        <x:v>E</x:v>
      </x:c>
      <x:c r="F346" t="str">
        <x:v>ORANGE</x:v>
      </x:c>
      <x:c r="G346" t="n">
        <x:v>2001</x:v>
      </x:c>
      <x:c r="H346" t="n">
        <x:v>307</x:v>
      </x:c>
      <x:c r="I346" t="n">
        <x:v>187.5</x:v>
      </x:c>
      <x:c r="J346" t="str">
        <x:v>PDF/avansert</x:v>
      </x:c>
      <x:c r="K346" t="n">
        <x:v>222</x:v>
      </x:c>
      <x:c r="L346" t="n">
        <x:v>267</x:v>
      </x:c>
      <x:c r="M346" t="n">
        <x:v>253</x:v>
      </x:c>
      <x:c r="N346" t="n">
        <x:v>27</x:v>
      </x:c>
      <x:c r="O346" t="n">
        <x:v>0.61</x:v>
      </x:c>
      <x:c r="P346" t="n">
        <x:v>0.15</x:v>
      </x:c>
      <x:c r="Q346" t="n">
        <x:v>0.19</x:v>
      </x:c>
      <x:c r="R346" t="n">
        <x:v>1.82</x:v>
      </x:c>
      <x:c r="S346" t="n">
        <x:v>75</x:v>
      </x:c>
      <x:c r="T346" t="n">
        <x:v>75</x:v>
      </x:c>
      <x:c r="U346" t="n">
        <x:v>2.6</x:v>
      </x:c>
      <x:c r="V346" t="n">
        <x:v>0.57</x:v>
      </x:c>
      <x:c r="W346" t="n">
        <x:v>7</x:v>
      </x:c>
      <x:c r="X346" t="n">
        <x:v>174</x:v>
      </x:c>
      <x:c r="Y346" t="n">
        <x:v>80</x:v>
      </x:c>
      <x:c r="Z346" t="n">
        <x:v>50</x:v>
      </x:c>
      <x:c r="AA346" t="n">
        <x:v>21</x:v>
      </x:c>
      <x:c r="AB346" t="n">
        <x:v>22</x:v>
      </x:c>
      <x:c r="AC346" t="n">
        <x:v>3.5</x:v>
      </x:c>
      <x:c r="AD346" t="n">
        <x:v>73.2</x:v>
      </x:c>
      <x:c r="AE346" t="n">
        <x:v>0.05</x:v>
      </x:c>
      <x:c r="AF346" t="n">
        <x:v>12</x:v>
      </x:c>
      <x:c r="AG346" t="n">
        <x:v>12</x:v>
      </x:c>
      <x:c r="AH346" t="n">
        <x:v>24</x:v>
      </x:c>
      <x:c r="AI346" t="n">
        <x:v>8</x:v>
      </x:c>
      <x:c r="AJ346" t="n">
        <x:v>11</x:v>
      </x:c>
      <x:c r="AK346" t="n">
        <x:v>250</x:v>
      </x:c>
      <x:c r="AL346" t="str">
        <x:v>Gass; Varmepumpe;</x:v>
      </x:c>
      <x:c r="AM346" t="n">
        <x:v>0</x:v>
      </x:c>
      <x:c r="AN346" t="n">
        <x:v>0</x:v>
      </x:c>
      <x:c r="AO346" t="n">
        <x:v>1</x:v>
      </x:c>
      <x:c r="AP346" t="n">
        <x:v>0</x:v>
      </x:c>
      <x:c r="AQ346" t="n">
        <x:v>0</x:v>
      </x:c>
      <x:c r="AR346" t="n">
        <x:v>1</x:v>
      </x:c>
      <x:c r="AS346" t="n">
        <x:v>1</x:v>
      </x:c>
      <x:c r="AT346" t="n">
        <x:v>1</x:v>
      </x:c>
      <x:c r="AU346" t="str">
        <x:v>energiattester_export_2025-08-14.json | PDF vedlegg side 5-7</x:v>
      </x:c>
      <x:c r="AV346" s="12" t="n">
        <x:f>IF(COUNT(O346,P346,Q346,R346,K346,L346,M346,N346)=8,O346*K346+P346*L346+Q346*M346+R346*N346,"")</x:f>
        <x:v>272.67999999999995</x:v>
      </x:c>
      <x:c r="AW346" s="12" t="n">
        <x:f>IF(AND(ISNUMBER(AV346),H346&gt;0),AV346/H346,"")</x:f>
        <x:v>0.8882084690553744</x:v>
      </x:c>
      <x:c r="AX346" s="12" t="n">
        <x:f>IF(AND(ISNUMBER(AD346),H346&gt;0),AD346*H346*3600,"")</x:f>
        <x:v>80900640</x:v>
      </x:c>
      <x:c r="AY346" s="12" t="n">
        <x:f>IF(AND(ISNUMBER(Y346),H346&gt;0),Y346*H346,"")</x:f>
        <x:v>24560</x:v>
      </x:c>
      <x:c r="AZ346" t="str">
        <x:v>Høy</x:v>
      </x:c>
    </x:row>
    <x:row r="347" ht="22" customHeight="1">
      <x:c r="A347" t="str">
        <x:v>OT-d9efb0e2c2c5</x:v>
      </x:c>
      <x:c r="B347" t="n">
        <x:v>2015</x:v>
      </x:c>
      <x:c r="C347" t="str">
        <x:v>Kontorbygg</x:v>
      </x:c>
      <x:c r="D347" t="str">
        <x:v>ANNET KONTORBYGG</x:v>
      </x:c>
      <x:c r="E347" t="str">
        <x:v>G</x:v>
      </x:c>
      <x:c r="F347" t="str">
        <x:v>RED</x:v>
      </x:c>
      <x:c r="G347" t="n">
        <x:v>1960</x:v>
      </x:c>
      <x:c r="H347" t="n">
        <x:v>416</x:v>
      </x:c>
      <x:c r="I347" t="n">
        <x:v>364</x:v>
      </x:c>
      <x:c r="J347" t="str">
        <x:v>PDF/avansert</x:v>
      </x:c>
      <x:c r="K347" t="n">
        <x:v>268</x:v>
      </x:c>
      <x:c r="L347" t="n">
        <x:v>219</x:v>
      </x:c>
      <x:c r="M347" t="n">
        <x:v>219</x:v>
      </x:c>
      <x:c r="N347" t="n">
        <x:v>32</x:v>
      </x:c>
      <x:c r="O347" t="n">
        <x:v>0.52</x:v>
      </x:c>
      <x:c r="P347" t="n">
        <x:v>0.38</x:v>
      </x:c>
      <x:c r="Q347" t="n">
        <x:v>0.29</x:v>
      </x:c>
      <x:c r="R347" t="n">
        <x:v>2.32</x:v>
      </x:c>
      <x:c r="S347" t="n">
        <x:v>0</x:v>
      </x:c>
      <x:c r="T347" t="n">
        <x:v>0</x:v>
      </x:c>
      <x:c r="U347" t="n">
        <x:v>3</x:v>
      </x:c>
      <x:c r="V347" t="n">
        <x:v>0.57</x:v>
      </x:c>
      <x:c r="W347" t="n">
        <x:v>7</x:v>
      </x:c>
      <x:c r="X347" t="n">
        <x:v>71</x:v>
      </x:c>
      <x:c r="Y347" t="n">
        <x:v>200</x:v>
      </x:c>
      <x:c r="Z347" t="n">
        <x:v>40</x:v>
      </x:c>
      <x:c r="AA347" t="n">
        <x:v>21</x:v>
      </x:c>
      <x:c r="AB347" t="n">
        <x:v>22</x:v>
      </x:c>
      <x:c r="AC347" t="n">
        <x:v>4.5</x:v>
      </x:c>
      <x:c r="AD347" t="n">
        <x:v>63.2</x:v>
      </x:c>
      <x:c r="AE347" t="n">
        <x:v>0.05</x:v>
      </x:c>
      <x:c r="AF347" t="n">
        <x:v>12</x:v>
      </x:c>
      <x:c r="AG347" t="n">
        <x:v>12</x:v>
      </x:c>
      <x:c r="AH347" t="n">
        <x:v>24</x:v>
      </x:c>
      <x:c r="AI347" t="n">
        <x:v>8</x:v>
      </x:c>
      <x:c r="AJ347" t="n">
        <x:v>11</x:v>
      </x:c>
      <x:c r="AK347" t="n">
        <x:v>250</x:v>
      </x:c>
      <x:c r="AL347" t="str">
        <x:v>Direkte elektrisk; Olje;</x:v>
      </x:c>
      <x:c r="AM347" t="n">
        <x:v>1</x:v>
      </x:c>
      <x:c r="AN347" t="n">
        <x:v>0</x:v>
      </x:c>
      <x:c r="AO347" t="n">
        <x:v>1</x:v>
      </x:c>
      <x:c r="AP347" t="n">
        <x:v>1</x:v>
      </x:c>
      <x:c r="AQ347" t="n">
        <x:v>1</x:v>
      </x:c>
      <x:c r="AR347" t="n">
        <x:v>1</x:v>
      </x:c>
      <x:c r="AS347" t="n">
        <x:v>1</x:v>
      </x:c>
      <x:c r="AT347" t="n">
        <x:v>1</x:v>
      </x:c>
      <x:c r="AU347" t="str">
        <x:v>energiattester_export_2025-08-14.json | PDF vedlegg side 5-7</x:v>
      </x:c>
      <x:c r="AV347" s="12" t="n">
        <x:f>IF(COUNT(O347,P347,Q347,R347,K347,L347,M347,N347)=8,O347*K347+P347*L347+Q347*M347+R347*N347,"")</x:f>
        <x:v>360.33000000000004</x:v>
      </x:c>
      <x:c r="AW347" s="12" t="n">
        <x:f>IF(AND(ISNUMBER(AV347),H347&gt;0),AV347/H347,"")</x:f>
        <x:v>0.8661778846153847</x:v>
      </x:c>
      <x:c r="AX347" s="12" t="n">
        <x:f>IF(AND(ISNUMBER(AD347),H347&gt;0),AD347*H347*3600,"")</x:f>
        <x:v>94648320</x:v>
      </x:c>
      <x:c r="AY347" s="12" t="n">
        <x:f>IF(AND(ISNUMBER(Y347),H347&gt;0),Y347*H347,"")</x:f>
        <x:v>83200</x:v>
      </x:c>
      <x:c r="AZ347" t="str">
        <x:v>Høy</x:v>
      </x:c>
    </x:row>
    <x:row r="348" ht="22" customHeight="1">
      <x:c r="A348" t="str">
        <x:v>OT-627a661edadb</x:v>
      </x:c>
      <x:c r="B348" t="n">
        <x:v>2015</x:v>
      </x:c>
      <x:c r="C348" t="str">
        <x:v>Kontorbygg</x:v>
      </x:c>
      <x:c r="D348" t="str">
        <x:v>KONTORER, ENKLE</x:v>
      </x:c>
      <x:c r="E348" t="str">
        <x:v>G</x:v>
      </x:c>
      <x:c r="F348" t="str">
        <x:v>RED</x:v>
      </x:c>
      <x:c r="G348" t="n">
        <x:v>1960</x:v>
      </x:c>
      <x:c r="H348" t="n">
        <x:v>488</x:v>
      </x:c>
      <x:c r="I348" t="n">
        <x:v>401.9</x:v>
      </x:c>
      <x:c r="J348" t="str">
        <x:v>PDF/avansert</x:v>
      </x:c>
      <x:c r="K348" t="n">
        <x:v>49</x:v>
      </x:c>
      <x:c r="L348" t="n">
        <x:v>235</x:v>
      </x:c>
      <x:c r="M348" t="n">
        <x:v>0</x:v>
      </x:c>
      <x:c r="N348" t="n">
        <x:v>43</x:v>
      </x:c>
      <x:c r="O348" t="n">
        <x:v>0.64</x:v>
      </x:c>
      <x:c r="P348" t="n">
        <x:v>0.93</x:v>
      </x:c>
      <x:c r="Q348" t="n">
        <x:v>0</x:v>
      </x:c>
      <x:c r="R348" t="n">
        <x:v>2.62</x:v>
      </x:c>
      <x:c r="S348" t="n">
        <x:v>75</x:v>
      </x:c>
      <x:c r="T348" t="n">
        <x:v>75</x:v>
      </x:c>
      <x:c r="U348" t="n">
        <x:v>2</x:v>
      </x:c>
      <x:c r="V348" t="n">
        <x:v>0.43</x:v>
      </x:c>
      <x:c r="W348" t="n">
        <x:v>7</x:v>
      </x:c>
      <x:c r="X348" t="n">
        <x:v>61</x:v>
      </x:c>
      <x:c r="Y348" t="n">
        <x:v>210</x:v>
      </x:c>
      <x:c r="Z348" t="n">
        <x:v>150</x:v>
      </x:c>
      <x:c r="AA348" t="n">
        <x:v>21</x:v>
      </x:c>
      <x:c r="AB348" t="n">
        <x:v>22</x:v>
      </x:c>
      <x:c r="AC348" t="n">
        <x:v>3.5</x:v>
      </x:c>
      <x:c r="AD348" t="n">
        <x:v>108</x:v>
      </x:c>
      <x:c r="AE348" t="n">
        <x:v>0.15</x:v>
      </x:c>
      <x:c r="AF348" t="n">
        <x:v>12</x:v>
      </x:c>
      <x:c r="AG348" t="n">
        <x:v>12</x:v>
      </x:c>
      <x:c r="AH348" t="n">
        <x:v>24</x:v>
      </x:c>
      <x:c r="AI348" t="n">
        <x:v>8</x:v>
      </x:c>
      <x:c r="AJ348" t="n">
        <x:v>11</x:v>
      </x:c>
      <x:c r="AK348" t="n">
        <x:v>250</x:v>
      </x:c>
      <x:c r="AL348" t="str">
        <x:v>Direkte elektrisk; Olje;</x:v>
      </x:c>
      <x:c r="AM348" t="n">
        <x:v>0</x:v>
      </x:c>
      <x:c r="AN348" t="n">
        <x:v>0</x:v>
      </x:c>
      <x:c r="AO348" t="n">
        <x:v>1</x:v>
      </x:c>
      <x:c r="AP348" t="n">
        <x:v>1</x:v>
      </x:c>
      <x:c r="AQ348" t="n">
        <x:v>1</x:v>
      </x:c>
      <x:c r="AR348" t="n">
        <x:v>1</x:v>
      </x:c>
      <x:c r="AS348" t="n">
        <x:v>1</x:v>
      </x:c>
      <x:c r="AT348" t="n">
        <x:v>0</x:v>
      </x:c>
      <x:c r="AU348" t="str">
        <x:v>energiattester_export_2025-08-14.json | PDF vedlegg side 5-7</x:v>
      </x:c>
      <x:c r="AV348" s="12" t="n">
        <x:f>IF(COUNT(O348,P348,Q348,R348,K348,L348,M348,N348)=8,O348*K348+P348*L348+Q348*M348+R348*N348,"")</x:f>
        <x:v>362.57000000000005</x:v>
      </x:c>
      <x:c r="AW348" s="12" t="n">
        <x:f>IF(AND(ISNUMBER(AV348),H348&gt;0),AV348/H348,"")</x:f>
        <x:v>0.74297131147541</x:v>
      </x:c>
      <x:c r="AX348" s="12" t="n">
        <x:f>IF(AND(ISNUMBER(AD348),H348&gt;0),AD348*H348*3600,"")</x:f>
        <x:v>189734400</x:v>
      </x:c>
      <x:c r="AY348" s="12" t="n">
        <x:f>IF(AND(ISNUMBER(Y348),H348&gt;0),Y348*H348,"")</x:f>
        <x:v>102480</x:v>
      </x:c>
      <x:c r="AZ348" t="str">
        <x:v>Høy</x:v>
      </x:c>
    </x:row>
    <x:row r="349" ht="22" customHeight="1">
      <x:c r="A349" t="str">
        <x:v>OT-0e005c3badd5</x:v>
      </x:c>
      <x:c r="B349" t="n">
        <x:v>2015</x:v>
      </x:c>
      <x:c r="C349" t="str">
        <x:v>Forretningsbygg</x:v>
      </x:c>
      <x:c r="D349" t="str">
        <x:v>BUTIKK</x:v>
      </x:c>
      <x:c r="E349" t="str">
        <x:v>G</x:v>
      </x:c>
      <x:c r="F349" t="str">
        <x:v>RED</x:v>
      </x:c>
      <x:c r="G349" t="n">
        <x:v>1960</x:v>
      </x:c>
      <x:c r="H349" t="n">
        <x:v>499</x:v>
      </x:c>
      <x:c r="I349" t="n">
        <x:v>423.7</x:v>
      </x:c>
      <x:c r="J349" t="str">
        <x:v>PDF/avansert</x:v>
      </x:c>
      <x:c r="K349" t="n">
        <x:v>32</x:v>
      </x:c>
      <x:c r="L349" t="n">
        <x:v>261</x:v>
      </x:c>
      <x:c r="M349" t="n">
        <x:v>0</x:v>
      </x:c>
      <x:c r="N349" t="n">
        <x:v>49</x:v>
      </x:c>
      <x:c r="O349" t="n">
        <x:v>0.64</x:v>
      </x:c>
      <x:c r="P349" t="n">
        <x:v>0.45</x:v>
      </x:c>
      <x:c r="Q349" t="n">
        <x:v>0</x:v>
      </x:c>
      <x:c r="R349" t="n">
        <x:v>2.33</x:v>
      </x:c>
      <x:c r="S349" t="n">
        <x:v>0</x:v>
      </x:c>
      <x:c r="T349" t="n">
        <x:v>0</x:v>
      </x:c>
      <x:c r="U349" t="n">
        <x:v>2</x:v>
      </x:c>
      <x:c r="V349" t="n">
        <x:v>0.23</x:v>
      </x:c>
      <x:c r="W349" t="n">
        <x:v>13</x:v>
      </x:c>
      <x:c r="X349" t="n">
        <x:v>142</x:v>
      </x:c>
      <x:c r="Y349" t="n">
        <x:v>200</x:v>
      </x:c>
      <x:c r="Z349" t="n">
        <x:v>0</x:v>
      </x:c>
      <x:c r="AA349" t="n">
        <x:v>21</x:v>
      </x:c>
      <x:c r="AB349" t="n">
        <x:v>22</x:v>
      </x:c>
      <x:c r="AC349" t="n">
        <x:v>3.5</x:v>
      </x:c>
      <x:c r="AD349" t="n">
        <x:v>161.4</x:v>
      </x:c>
      <x:c r="AE349" t="n">
        <x:v>0.15</x:v>
      </x:c>
      <x:c r="AF349" t="n">
        <x:v>12</x:v>
      </x:c>
      <x:c r="AG349" t="n">
        <x:v>12</x:v>
      </x:c>
      <x:c r="AH349" t="n">
        <x:v>24</x:v>
      </x:c>
      <x:c r="AI349" t="n">
        <x:v>15</x:v>
      </x:c>
      <x:c r="AJ349" t="n">
        <x:v>1</x:v>
      </x:c>
      <x:c r="AK349" t="n">
        <x:v>250</x:v>
      </x:c>
      <x:c r="AL349" t="str">
        <x:v>Direkte elektrisk; Varmepumpe;</x:v>
      </x:c>
      <x:c r="AM349" t="n">
        <x:v>1</x:v>
      </x:c>
      <x:c r="AN349" t="n">
        <x:v>0</x:v>
      </x:c>
      <x:c r="AO349" t="n">
        <x:v>1</x:v>
      </x:c>
      <x:c r="AP349" t="n">
        <x:v>1</x:v>
      </x:c>
      <x:c r="AQ349" t="n">
        <x:v>1</x:v>
      </x:c>
      <x:c r="AR349" t="n">
        <x:v>1</x:v>
      </x:c>
      <x:c r="AS349" t="n">
        <x:v>1</x:v>
      </x:c>
      <x:c r="AT349" t="n">
        <x:v>1</x:v>
      </x:c>
      <x:c r="AU349" t="str">
        <x:v>energiattester_export_2025-08-14.json | PDF vedlegg side 5-7</x:v>
      </x:c>
      <x:c r="AV349" s="12" t="n">
        <x:f>IF(COUNT(O349,P349,Q349,R349,K349,L349,M349,N349)=8,O349*K349+P349*L349+Q349*M349+R349*N349,"")</x:f>
        <x:v>252.10000000000002</x:v>
      </x:c>
      <x:c r="AW349" s="12" t="n">
        <x:f>IF(AND(ISNUMBER(AV349),H349&gt;0),AV349/H349,"")</x:f>
        <x:v>0.5052104208416834</x:v>
      </x:c>
      <x:c r="AX349" s="12" t="n">
        <x:f>IF(AND(ISNUMBER(AD349),H349&gt;0),AD349*H349*3600,"")</x:f>
        <x:v>289938960</x:v>
      </x:c>
      <x:c r="AY349" s="12" t="n">
        <x:f>IF(AND(ISNUMBER(Y349),H349&gt;0),Y349*H349,"")</x:f>
        <x:v>99800</x:v>
      </x:c>
      <x:c r="AZ349" t="str">
        <x:v>Høy</x:v>
      </x:c>
    </x:row>
    <x:row r="350" ht="22" customHeight="1">
      <x:c r="A350" t="str">
        <x:v>OT-17f0826f9b41</x:v>
      </x:c>
      <x:c r="B350" t="n">
        <x:v>2015</x:v>
      </x:c>
      <x:c r="C350" t="str">
        <x:v>Kontorbygg</x:v>
      </x:c>
      <x:c r="D350" t="str">
        <x:v>KONTORER, MED VENTILASJON OG KJØLEANLEGG</x:v>
      </x:c>
      <x:c r="E350" t="str">
        <x:v>F</x:v>
      </x:c>
      <x:c r="F350" t="str">
        <x:v>RED</x:v>
      </x:c>
      <x:c r="G350" t="n">
        <x:v>1987</x:v>
      </x:c>
      <x:c r="H350" t="n">
        <x:v>3746</x:v>
      </x:c>
      <x:c r="I350" t="n">
        <x:v>237.4</x:v>
      </x:c>
      <x:c r="J350" t="str">
        <x:v>PDF/avansert</x:v>
      </x:c>
      <x:c r="K350" t="n">
        <x:v>1158</x:v>
      </x:c>
      <x:c r="L350" t="n">
        <x:v>1957</x:v>
      </x:c>
      <x:c r="M350" t="n">
        <x:v>0</x:v>
      </x:c>
      <x:c r="N350" t="n">
        <x:v>412</x:v>
      </x:c>
      <x:c r="O350" t="n">
        <x:v>0.36</x:v>
      </x:c>
      <x:c r="P350" t="n">
        <x:v>0.24</x:v>
      </x:c>
      <x:c r="Q350" t="n">
        <x:v>0</x:v>
      </x:c>
      <x:c r="R350" t="n">
        <x:v>2.4</x:v>
      </x:c>
      <x:c r="S350" t="n">
        <x:v>55</x:v>
      </x:c>
      <x:c r="T350" t="n">
        <x:v>55</x:v>
      </x:c>
      <x:c r="U350" t="n">
        <x:v>1.7</x:v>
      </x:c>
      <x:c r="V350" t="n">
        <x:v>0.45</x:v>
      </x:c>
      <x:c r="W350" t="n">
        <x:v>10</x:v>
      </x:c>
      <x:c r="X350" t="n">
        <x:v>95</x:v>
      </x:c>
      <x:c r="Y350" t="n">
        <x:v>80</x:v>
      </x:c>
      <x:c r="Z350" t="n">
        <x:v>35</x:v>
      </x:c>
      <x:c r="AA350" t="n">
        <x:v>21</x:v>
      </x:c>
      <x:c r="AB350" t="n">
        <x:v>22</x:v>
      </x:c>
      <x:c r="AC350" t="n">
        <x:v>5</x:v>
      </x:c>
      <x:c r="AD350" t="n">
        <x:v>27.3</x:v>
      </x:c>
      <x:c r="AE350" t="n">
        <x:v>0.12</x:v>
      </x:c>
      <x:c r="AF350" t="n">
        <x:v>12</x:v>
      </x:c>
      <x:c r="AG350" t="n">
        <x:v>12</x:v>
      </x:c>
      <x:c r="AH350" t="n">
        <x:v>24</x:v>
      </x:c>
      <x:c r="AI350" t="n">
        <x:v>8</x:v>
      </x:c>
      <x:c r="AJ350" t="n">
        <x:v>11</x:v>
      </x:c>
      <x:c r="AK350" t="n">
        <x:v>250</x:v>
      </x:c>
      <x:c r="AL350" t="str">
        <x:v>Direkte elektrisk;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1</x:v>
      </x:c>
      <x:c r="AS350" t="n">
        <x:v>1</x:v>
      </x:c>
      <x:c r="AT350" t="n">
        <x:v>1</x:v>
      </x:c>
      <x:c r="AU350" t="str">
        <x:v>energiattester_export_2025-08-14.json | PDF vedlegg side 5-7</x:v>
      </x:c>
      <x:c r="AV350" s="12" t="n">
        <x:f>IF(COUNT(O350,P350,Q350,R350,K350,L350,M350,N350)=8,O350*K350+P350*L350+Q350*M350+R350*N350,"")</x:f>
        <x:v>1875.36</x:v>
      </x:c>
      <x:c r="AW350" s="12" t="n">
        <x:f>IF(AND(ISNUMBER(AV350),H350&gt;0),AV350/H350,"")</x:f>
        <x:v>0.5006300053390282</x:v>
      </x:c>
      <x:c r="AX350" s="12" t="n">
        <x:f>IF(AND(ISNUMBER(AD350),H350&gt;0),AD350*H350*3600,"")</x:f>
        <x:v>368156880</x:v>
      </x:c>
      <x:c r="AY350" s="12" t="n">
        <x:f>IF(AND(ISNUMBER(Y350),H350&gt;0),Y350*H350,"")</x:f>
        <x:v>299680</x:v>
      </x:c>
      <x:c r="AZ350" t="str">
        <x:v>Høy</x:v>
      </x:c>
    </x:row>
    <x:row r="351" ht="22" customHeight="1">
      <x:c r="A351" t="str">
        <x:v>OT-19fc968ee284</x:v>
      </x:c>
      <x:c r="B351" t="n">
        <x:v>2015</x:v>
      </x:c>
      <x:c r="C351" t="str">
        <x:v>Forretningsbygg</x:v>
      </x:c>
      <x:c r="D351" t="str">
        <x:v>BUTIKK</x:v>
      </x:c>
      <x:c r="E351" t="str">
        <x:v>D</x:v>
      </x:c>
      <x:c r="F351" t="str">
        <x:v>RED</x:v>
      </x:c>
      <x:c r="G351" t="n">
        <x:v>1987</x:v>
      </x:c>
      <x:c r="H351" t="n">
        <x:v>2114</x:v>
      </x:c>
      <x:c r="I351" t="n">
        <x:v>235.3</x:v>
      </x:c>
      <x:c r="J351" t="str">
        <x:v>PDF/avansert</x:v>
      </x:c>
      <x:c r="K351" t="n">
        <x:v>393</x:v>
      </x:c>
      <x:c r="L351" t="n">
        <x:v>48</x:v>
      </x:c>
      <x:c r="M351" t="n">
        <x:v>0</x:v>
      </x:c>
      <x:c r="N351" t="n">
        <x:v>292</x:v>
      </x:c>
      <x:c r="O351" t="n">
        <x:v>0.36</x:v>
      </x:c>
      <x:c r="P351" t="n">
        <x:v>0.24</x:v>
      </x:c>
      <x:c r="Q351" t="n">
        <x:v>0</x:v>
      </x:c>
      <x:c r="R351" t="n">
        <x:v>2.37</x:v>
      </x:c>
      <x:c r="S351" t="n">
        <x:v>55</x:v>
      </x:c>
      <x:c r="T351" t="n">
        <x:v>55</x:v>
      </x:c>
      <x:c r="U351" t="n">
        <x:v>1.7</x:v>
      </x:c>
      <x:c r="V351" t="n">
        <x:v>0.23</x:v>
      </x:c>
      <x:c r="W351" t="n">
        <x:v>13</x:v>
      </x:c>
      <x:c r="X351" t="n">
        <x:v>95</x:v>
      </x:c>
      <x:c r="Y351" t="n">
        <x:v>80</x:v>
      </x:c>
      <x:c r="Z351" t="n">
        <x:v>31</x:v>
      </x:c>
      <x:c r="AA351" t="n">
        <x:v>21</x:v>
      </x:c>
      <x:c r="AB351" t="n">
        <x:v>22</x:v>
      </x:c>
      <x:c r="AC351" t="n">
        <x:v>5</x:v>
      </x:c>
      <x:c r="AD351" t="n">
        <x:v>89.1</x:v>
      </x:c>
      <x:c r="AE351" t="n">
        <x:v>0.12</x:v>
      </x:c>
      <x:c r="AF351" t="n">
        <x:v>12</x:v>
      </x:c>
      <x:c r="AG351" t="n">
        <x:v>12</x:v>
      </x:c>
      <x:c r="AH351" t="n">
        <x:v>24</x:v>
      </x:c>
      <x:c r="AI351" t="n">
        <x:v>15</x:v>
      </x:c>
      <x:c r="AJ351" t="n">
        <x:v>1</x:v>
      </x:c>
      <x:c r="AK351" t="n">
        <x:v>250</x:v>
      </x:c>
      <x:c r="AL351" t="str">
        <x:v>Direkte elektrisk;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1</x:v>
      </x:c>
      <x:c r="AS351" t="n">
        <x:v>1</x:v>
      </x:c>
      <x:c r="AT351" t="n">
        <x:v>0</x:v>
      </x:c>
      <x:c r="AU351" t="str">
        <x:v>energiattester_export_2025-08-14.json | PDF vedlegg side 5-7</x:v>
      </x:c>
      <x:c r="AV351" s="12" t="n">
        <x:f>IF(COUNT(O351,P351,Q351,R351,K351,L351,M351,N351)=8,O351*K351+P351*L351+Q351*M351+R351*N351,"")</x:f>
        <x:v>845.0400000000001</x:v>
      </x:c>
      <x:c r="AW351" s="12" t="n">
        <x:f>IF(AND(ISNUMBER(AV351),H351&gt;0),AV351/H351,"")</x:f>
        <x:v>0.39973509933774837</x:v>
      </x:c>
      <x:c r="AX351" s="12" t="n">
        <x:f>IF(AND(ISNUMBER(AD351),H351&gt;0),AD351*H351*3600,"")</x:f>
        <x:v>678086640</x:v>
      </x:c>
      <x:c r="AY351" s="12" t="n">
        <x:f>IF(AND(ISNUMBER(Y351),H351&gt;0),Y351*H351,"")</x:f>
        <x:v>169120</x:v>
      </x:c>
      <x:c r="AZ351" t="str">
        <x:v>Høy</x:v>
      </x:c>
    </x:row>
    <x:row r="352" ht="22" customHeight="1">
      <x:c r="A352" t="str">
        <x:v>OT-efa149b115da</x:v>
      </x:c>
      <x:c r="B352" t="n">
        <x:v>2015</x:v>
      </x:c>
      <x:c r="C352" t="str">
        <x:v>Kontorbygg</x:v>
      </x:c>
      <x:c r="D352" t="str">
        <x:v>KONTORER, ENKLE</x:v>
      </x:c>
      <x:c r="E352" t="str">
        <x:v>D</x:v>
      </x:c>
      <x:c r="F352" t="str">
        <x:v>RED</x:v>
      </x:c>
      <x:c r="G352" t="n">
        <x:v>2007</x:v>
      </x:c>
      <x:c r="H352" t="n">
        <x:v>1796</x:v>
      </x:c>
      <x:c r="I352" t="n">
        <x:v>161.2</x:v>
      </x:c>
      <x:c r="J352" t="str">
        <x:v>PDF/avansert</x:v>
      </x:c>
      <x:c r="K352" t="n">
        <x:v>543</x:v>
      </x:c>
      <x:c r="L352" t="n">
        <x:v>506</x:v>
      </x:c>
      <x:c r="M352" t="n">
        <x:v>641</x:v>
      </x:c>
      <x:c r="N352" t="n">
        <x:v>247</x:v>
      </x:c>
      <x:c r="O352" t="n">
        <x:v>0.22</x:v>
      </x:c>
      <x:c r="P352" t="n">
        <x:v>0.17</x:v>
      </x:c>
      <x:c r="Q352" t="n">
        <x:v>0.22</x:v>
      </x:c>
      <x:c r="R352" t="n">
        <x:v>1.6</x:v>
      </x:c>
      <x:c r="S352" t="n">
        <x:v>80</x:v>
      </x:c>
      <x:c r="T352" t="n">
        <x:v>80</x:v>
      </x:c>
      <x:c r="U352" t="n">
        <x:v>2.5</x:v>
      </x:c>
      <x:c r="V352" t="n">
        <x:v>0.75</x:v>
      </x:c>
      <x:c r="W352" t="n">
        <x:v>10</x:v>
      </x:c>
      <x:c r="X352" t="n">
        <x:v>105</x:v>
      </x:c>
      <x:c r="Y352" t="n">
        <x:v>80</x:v>
      </x:c>
      <x:c r="Z352" t="n">
        <x:v>30</x:v>
      </x:c>
      <x:c r="AA352" t="n">
        <x:v>21</x:v>
      </x:c>
      <x:c r="AB352" t="n">
        <x:v>22</x:v>
      </x:c>
      <x:c r="AC352" t="n">
        <x:v>1.5</x:v>
      </x:c>
      <x:c r="AD352" t="n">
        <x:v>65.9</x:v>
      </x:c>
      <x:c r="AE352" t="n">
        <x:v>0.12</x:v>
      </x:c>
      <x:c r="AF352" t="n">
        <x:v>12</x:v>
      </x:c>
      <x:c r="AG352" t="n">
        <x:v>12</x:v>
      </x:c>
      <x:c r="AH352" t="n">
        <x:v>24</x:v>
      </x:c>
      <x:c r="AI352" t="n">
        <x:v>8</x:v>
      </x:c>
      <x:c r="AJ352" t="n">
        <x:v>11</x:v>
      </x:c>
      <x:c r="AK352" t="n">
        <x:v>250</x:v>
      </x:c>
      <x:c r="AL352" t="str">
        <x:v>Direkte elektrisk; Varmepumpe;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str">
        <x:v>energiattester_export_2025-08-14.json | PDF vedlegg side 5-7</x:v>
      </x:c>
      <x:c r="AV352" s="12" t="n">
        <x:f>IF(COUNT(O352,P352,Q352,R352,K352,L352,M352,N352)=8,O352*K352+P352*L352+Q352*M352+R352*N352,"")</x:f>
        <x:v>741.7</x:v>
      </x:c>
      <x:c r="AW352" s="12" t="n">
        <x:f>IF(AND(ISNUMBER(AV352),H352&gt;0),AV352/H352,"")</x:f>
        <x:v>0.41297327394209354</x:v>
      </x:c>
      <x:c r="AX352" s="12" t="n">
        <x:f>IF(AND(ISNUMBER(AD352),H352&gt;0),AD352*H352*3600,"")</x:f>
        <x:v>426083040.00000006</x:v>
      </x:c>
      <x:c r="AY352" s="12" t="n">
        <x:f>IF(AND(ISNUMBER(Y352),H352&gt;0),Y352*H352,"")</x:f>
        <x:v>143680</x:v>
      </x:c>
      <x:c r="AZ352" t="str">
        <x:v>Høy</x:v>
      </x:c>
    </x:row>
    <x:row r="353" ht="22" customHeight="1">
      <x:c r="A353" t="str">
        <x:v>OT-17567bf4b878</x:v>
      </x:c>
      <x:c r="B353" t="n">
        <x:v>2015</x:v>
      </x:c>
      <x:c r="C353" t="str">
        <x:v>Kontorbygg</x:v>
      </x:c>
      <x:c r="D353" t="str">
        <x:v>ANNET KONTORBYGG</x:v>
      </x:c>
      <x:c r="E353" t="str">
        <x:v>F</x:v>
      </x:c>
      <x:c r="F353" t="str">
        <x:v>RED</x:v>
      </x:c>
      <x:c r="G353" t="n">
        <x:v>1952</x:v>
      </x:c>
      <x:c r="H353" t="n">
        <x:v>460</x:v>
      </x:c>
      <x:c r="I353" t="n">
        <x:v>246.8</x:v>
      </x:c>
      <x:c r="J353" t="str">
        <x:v>PDF/avansert</x:v>
      </x:c>
      <x:c r="K353" t="n">
        <x:v>313</x:v>
      </x:c>
      <x:c r="L353" t="n">
        <x:v>222</x:v>
      </x:c>
      <x:c r="M353" t="n">
        <x:v>180</x:v>
      </x:c>
      <x:c r="N353" t="n">
        <x:v>46</x:v>
      </x:c>
      <x:c r="O353" t="n">
        <x:v>0.72</x:v>
      </x:c>
      <x:c r="P353" t="n">
        <x:v>0.5</x:v>
      </x:c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 t="n">
        <x:v>1</x:v>
      </x:c>
      <x:c r="AN353" t="n">
        <x:v>0</x:v>
      </x:c>
      <x:c r="AO353" t="n">
        <x:v>1</x:v>
      </x:c>
      <x:c r="AP353" t="n">
        <x:v>0</x:v>
      </x:c>
      <x:c r="AQ353" t="n">
        <x:v>1</x:v>
      </x:c>
      <x:c r="AR353" t="n">
        <x:v>1</x:v>
      </x:c>
      <x:c r="AS353" t="n">
        <x:v>1</x:v>
      </x:c>
      <x:c r="AT353" t="n">
        <x:v>1</x:v>
      </x:c>
      <x:c r="AU353" t="str">
        <x:v>energiattester_export_2025-08-14.json | PDF vedlegg side 5-7</x:v>
      </x:c>
      <x:c r="AV353" s="12" t="str">
        <x:f>IF(COUNT(O353,P353,Q353,R353,K353,L353,M353,N353)=8,O353*K353+P353*L353+Q353*M353+R353*N353,"")</x:f>
      </x:c>
      <x:c r="AW353" s="12" t="str">
        <x:f>IF(AND(ISNUMBER(AV353),H353&gt;0),AV353/H353,"")</x:f>
      </x:c>
      <x:c r="AX353" s="12" t="str">
        <x:f>IF(AND(ISNUMBER(AD353),H353&gt;0),AD353*H353*3600,"")</x:f>
      </x:c>
      <x:c r="AY353" s="12" t="str">
        <x:f>IF(AND(ISNUMBER(Y353),H353&gt;0),Y353*H353,"")</x:f>
      </x:c>
      <x:c r="AZ353" t="str">
        <x:v>Mangler data</x:v>
      </x:c>
    </x:row>
    <x:row r="354" ht="22" customHeight="1">
      <x:c r="A354" t="str">
        <x:v>OT-b7dad379effc</x:v>
      </x:c>
      <x:c r="B354" t="n">
        <x:v>2015</x:v>
      </x:c>
      <x:c r="C354" t="str">
        <x:v>Kontorbygg</x:v>
      </x:c>
      <x:c r="D354" t="str">
        <x:v>KONTORER, ENKLE</x:v>
      </x:c>
      <x:c r="E354" t="str">
        <x:v>G</x:v>
      </x:c>
      <x:c r="F354" t="str">
        <x:v>RED</x:v>
      </x:c>
      <x:c r="G354" t="n">
        <x:v>1958</x:v>
      </x:c>
      <x:c r="H354" t="n">
        <x:v>232</x:v>
      </x:c>
      <x:c r="I354" t="n">
        <x:v>278</x:v>
      </x:c>
      <x:c r="J354" t="str">
        <x:v>PDF/avansert</x:v>
      </x:c>
      <x:c r="K354" t="n">
        <x:v>241</x:v>
      </x:c>
      <x:c r="L354" t="n">
        <x:v>100</x:v>
      </x:c>
      <x:c r="M354" t="n">
        <x:v>72</x:v>
      </x:c>
      <x:c r="N354" t="n">
        <x:v>37</x:v>
      </x:c>
      <x:c r="O354" t="n">
        <x:v>0.72</x:v>
      </x:c>
      <x:c r="P354" t="n">
        <x:v>0.5</x:v>
      </x:c>
      <x:c r="Q354" t="n">
        <x:v>0.49</x:v>
      </x:c>
      <x:c r="R354" t="n">
        <x:v>2.75</x:v>
      </x:c>
      <x:c r="S354" t="n">
        <x:v>70</x:v>
      </x:c>
      <x:c r="T354" t="n">
        <x:v>70</x:v>
      </x:c>
      <x:c r="U354" t="n">
        <x:v>4</x:v>
      </x:c>
      <x:c r="V354" t="n">
        <x:v>3.64</x:v>
      </x:c>
      <x:c r="W354" t="n">
        <x:v>2.2</x:v>
      </x:c>
      <x:c r="X354" t="n">
        <x:v>92</x:v>
      </x:c>
      <x:c r="Y354" t="n">
        <x:v>95</x:v>
      </x:c>
      <x:c r="Z354" t="n">
        <x:v>0</x:v>
      </x:c>
      <x:c r="AA354" t="n">
        <x:v>21</x:v>
      </x:c>
      <x:c r="AB354" t="n">
        <x:v>22</x:v>
      </x:c>
      <x:c r="AC354" t="n">
        <x:v>5</x:v>
      </x:c>
      <x:c r="AD354" t="n">
        <x:v>89.5</x:v>
      </x:c>
      <x:c r="AE354" t="n">
        <x:v>0.12</x:v>
      </x:c>
      <x:c r="AF354" t="n">
        <x:v>12</x:v>
      </x:c>
      <x:c r="AG354" t="n">
        <x:v>12</x:v>
      </x:c>
      <x:c r="AH354" t="n">
        <x:v>24</x:v>
      </x:c>
      <x:c r="AI354" t="n">
        <x:v>8</x:v>
      </x:c>
      <x:c r="AJ354" t="n">
        <x:v>11</x:v>
      </x:c>
      <x:c r="AK354" t="n">
        <x:v>250</x:v>
      </x:c>
      <x:c r="AL354" t="str">
        <x:v>Direkte elektrisk;</x:v>
      </x:c>
      <x:c r="AM354" t="n">
        <x:v>1</x:v>
      </x:c>
      <x:c r="AN354" t="n">
        <x:v>0</x:v>
      </x:c>
      <x:c r="AO354" t="n">
        <x:v>0</x:v>
      </x:c>
      <x:c r="AP354" t="n">
        <x:v>1</x:v>
      </x:c>
      <x:c r="AQ354" t="n">
        <x:v>0</x:v>
      </x:c>
      <x:c r="AR354" t="n">
        <x:v>1</x:v>
      </x:c>
      <x:c r="AS354" t="n">
        <x:v>1</x:v>
      </x:c>
      <x:c r="AT354" t="n">
        <x:v>1</x:v>
      </x:c>
      <x:c r="AU354" t="str">
        <x:v>energiattester_export_2025-08-14.json | PDF vedlegg side 5-7</x:v>
      </x:c>
      <x:c r="AV354" s="12" t="n">
        <x:f>IF(COUNT(O354,P354,Q354,R354,K354,L354,M354,N354)=8,O354*K354+P354*L354+Q354*M354+R354*N354,"")</x:f>
        <x:v>360.54999999999995</x:v>
      </x:c>
      <x:c r="AW354" s="12" t="n">
        <x:f>IF(AND(ISNUMBER(AV354),H354&gt;0),AV354/H354,"")</x:f>
        <x:v>1.5540948275862068</x:v>
      </x:c>
      <x:c r="AX354" s="12" t="n">
        <x:f>IF(AND(ISNUMBER(AD354),H354&gt;0),AD354*H354*3600,"")</x:f>
        <x:v>74750400</x:v>
      </x:c>
      <x:c r="AY354" s="12" t="n">
        <x:f>IF(AND(ISNUMBER(Y354),H354&gt;0),Y354*H354,"")</x:f>
        <x:v>22040</x:v>
      </x:c>
      <x:c r="AZ354" t="str">
        <x:v>Høy</x:v>
      </x:c>
    </x:row>
    <x:row r="355" ht="22" customHeight="1">
      <x:c r="A355" t="str">
        <x:v>OT-5f8f103f4c69</x:v>
      </x:c>
      <x:c r="B355" t="n">
        <x:v>2015</x:v>
      </x:c>
      <x:c r="C355" t="str">
        <x:v>Kontorbygg</x:v>
      </x:c>
      <x:c r="D355" t="str">
        <x:v>KONTORER, ENKLE</x:v>
      </x:c>
      <x:c r="E355" t="str">
        <x:v>G</x:v>
      </x:c>
      <x:c r="F355" t="str">
        <x:v>RED</x:v>
      </x:c>
      <x:c r="G355" t="n">
        <x:v>1993</x:v>
      </x:c>
      <x:c r="H355" t="n">
        <x:v>1245</x:v>
      </x:c>
      <x:c r="I355" t="n">
        <x:v>311.1</x:v>
      </x:c>
      <x:c r="J355" t="str">
        <x:v>PDF/avansert</x:v>
      </x:c>
      <x:c r="K355" t="n">
        <x:v>636</x:v>
      </x:c>
      <x:c r="L355" t="n">
        <x:v>917</x:v>
      </x:c>
      <x:c r="M355" t="n">
        <x:v>617</x:v>
      </x:c>
      <x:c r="N355" t="n">
        <x:v>213</x:v>
      </x:c>
      <x:c r="O355" t="n">
        <x:v>0.36</x:v>
      </x:c>
      <x:c r="P355" t="n">
        <x:v>0.21</x:v>
      </x:c>
      <x:c r="Q355" t="n">
        <x:v>0.38</x:v>
      </x:c>
      <x:c r="R355" t="n">
        <x:v>2.59</x:v>
      </x:c>
      <x:c r="S355" t="n">
        <x:v>55</x:v>
      </x:c>
      <x:c r="T355" t="n">
        <x:v>55</x:v>
      </x:c>
      <x:c r="U355" t="n">
        <x:v>4</x:v>
      </x:c>
      <x:c r="V355" t="n">
        <x:v>0.67</x:v>
      </x:c>
      <x:c r="W355" t="n">
        <x:v>12</x:v>
      </x:c>
      <x:c r="X355" t="n">
        <x:v>89</x:v>
      </x:c>
      <x:c r="Y355" t="n">
        <x:v>131</x:v>
      </x:c>
      <x:c r="Z355" t="n">
        <x:v>0</x:v>
      </x:c>
      <x:c r="AA355" t="n">
        <x:v>21</x:v>
      </x:c>
      <x:c r="AB355" t="n">
        <x:v>22</x:v>
      </x:c>
      <x:c r="AC355" t="n">
        <x:v>5</x:v>
      </x:c>
      <x:c r="AD355" t="n">
        <x:v>16.5</x:v>
      </x:c>
      <x:c r="AE355" t="n">
        <x:v>0.08</x:v>
      </x:c>
      <x:c r="AF355" t="n">
        <x:v>12</x:v>
      </x:c>
      <x:c r="AG355" t="n">
        <x:v>12</x:v>
      </x:c>
      <x:c r="AH355" t="n">
        <x:v>24</x:v>
      </x:c>
      <x:c r="AI355" t="n">
        <x:v>8</x:v>
      </x:c>
      <x:c r="AJ355" t="n">
        <x:v>11</x:v>
      </x:c>
      <x:c r="AK355" t="n">
        <x:v>240</x:v>
      </x:c>
      <x:c r="AL355" t="str">
        <x:v>Direkte elektrisk;</x:v>
      </x:c>
      <x:c r="AM355" t="n">
        <x:v>1</x:v>
      </x:c>
      <x:c r="AN355" t="n">
        <x:v>0</x:v>
      </x:c>
      <x:c r="AO355" t="n">
        <x:v>1</x:v>
      </x:c>
      <x:c r="AP355" t="n">
        <x:v>0</x:v>
      </x:c>
      <x:c r="AQ355" t="n">
        <x:v>0</x:v>
      </x:c>
      <x:c r="AR355" t="n">
        <x:v>1</x:v>
      </x:c>
      <x:c r="AS355" t="n">
        <x:v>1</x:v>
      </x:c>
      <x:c r="AT355" t="n">
        <x:v>1</x:v>
      </x:c>
      <x:c r="AU355" t="str">
        <x:v>energiattester_export_2025-08-14.json | PDF vedlegg side 5-7</x:v>
      </x:c>
      <x:c r="AV355" s="12" t="n">
        <x:f>IF(COUNT(O355,P355,Q355,R355,K355,L355,M355,N355)=8,O355*K355+P355*L355+Q355*M355+R355*N355,"")</x:f>
        <x:v>1207.6599999999999</x:v>
      </x:c>
      <x:c r="AW355" s="12" t="n">
        <x:f>IF(AND(ISNUMBER(AV355),H355&gt;0),AV355/H355,"")</x:f>
        <x:v>0.9700080321285139</x:v>
      </x:c>
      <x:c r="AX355" s="12" t="n">
        <x:f>IF(AND(ISNUMBER(AD355),H355&gt;0),AD355*H355*3600,"")</x:f>
        <x:v>73953000</x:v>
      </x:c>
      <x:c r="AY355" s="12" t="n">
        <x:f>IF(AND(ISNUMBER(Y355),H355&gt;0),Y355*H355,"")</x:f>
        <x:v>163095</x:v>
      </x:c>
      <x:c r="AZ355" t="str">
        <x:v>Høy</x:v>
      </x:c>
    </x:row>
    <x:row r="356" ht="22" customHeight="1">
      <x:c r="A356" t="str">
        <x:v>OT-934b2e8c2a93</x:v>
      </x:c>
      <x:c r="B356" t="n">
        <x:v>2015</x:v>
      </x:c>
      <x:c r="C356" t="str">
        <x:v>Kontorbygg</x:v>
      </x:c>
      <x:c r="D356" t="str">
        <x:v>KONTORER, ENKLE</x:v>
      </x:c>
      <x:c r="E356" t="str">
        <x:v>G</x:v>
      </x:c>
      <x:c r="F356" t="str">
        <x:v>RED</x:v>
      </x:c>
      <x:c r="G356" t="n">
        <x:v>1979</x:v>
      </x:c>
      <x:c r="H356" t="n">
        <x:v>1486</x:v>
      </x:c>
      <x:c r="I356" t="n">
        <x:v>278.9</x:v>
      </x:c>
      <x:c r="J356" t="str">
        <x:v>PDF/avansert</x:v>
      </x:c>
      <x:c r="K356" t="n">
        <x:v>792</x:v>
      </x:c>
      <x:c r="L356" t="n">
        <x:v>1153</x:v>
      </x:c>
      <x:c r="M356" t="n">
        <x:v>395</x:v>
      </x:c>
      <x:c r="N356" t="n">
        <x:v>243</x:v>
      </x:c>
      <x:c r="O356" t="n">
        <x:v>0.4</x:v>
      </x:c>
      <x:c r="P356" t="n">
        <x:v>0.35</x:v>
      </x:c>
      <x:c r="Q356" t="n">
        <x:v>0.36</x:v>
      </x:c>
      <x:c r="R356" t="n">
        <x:v>2.81</x:v>
      </x:c>
      <x:c r="S356" t="n">
        <x:v>55</x:v>
      </x:c>
      <x:c r="T356" t="n">
        <x:v>55</x:v>
      </x:c>
      <x:c r="U356" t="n">
        <x:v>4</x:v>
      </x:c>
      <x:c r="V356" t="n">
        <x:v>1.14</x:v>
      </x:c>
      <x:c r="W356" t="n">
        <x:v>7</x:v>
      </x:c>
      <x:c r="X356" t="n">
        <x:v>89</x:v>
      </x:c>
      <x:c r="Y356" t="n">
        <x:v>100</x:v>
      </x:c>
      <x:c r="Z356" t="n">
        <x:v>0</x:v>
      </x:c>
      <x:c r="AA356" t="n">
        <x:v>21</x:v>
      </x:c>
      <x:c r="AB356" t="n">
        <x:v>22</x:v>
      </x:c>
      <x:c r="AC356" t="n">
        <x:v>7</x:v>
      </x:c>
      <x:c r="AD356" t="n">
        <x:v>65.7</x:v>
      </x:c>
      <x:c r="AE356" t="n">
        <x:v>0.08</x:v>
      </x:c>
      <x:c r="AF356" t="n">
        <x:v>12</x:v>
      </x:c>
      <x:c r="AG356" t="n">
        <x:v>12</x:v>
      </x:c>
      <x:c r="AH356" t="n">
        <x:v>24</x:v>
      </x:c>
      <x:c r="AI356" t="n">
        <x:v>8</x:v>
      </x:c>
      <x:c r="AJ356" t="n">
        <x:v>11</x:v>
      </x:c>
      <x:c r="AK356" t="n">
        <x:v>240</x:v>
      </x:c>
      <x:c r="AL356" t="str">
        <x:v>Direkte elektrisk;</x:v>
      </x:c>
      <x:c r="AM356" t="n">
        <x:v>1</x:v>
      </x:c>
      <x:c r="AN356" t="n">
        <x:v>0</x:v>
      </x:c>
      <x:c r="AO356" t="n">
        <x:v>1</x:v>
      </x:c>
      <x:c r="AP356" t="n">
        <x:v>0</x:v>
      </x:c>
      <x:c r="AQ356" t="n">
        <x:v>0</x:v>
      </x:c>
      <x:c r="AR356" t="n">
        <x:v>1</x:v>
      </x:c>
      <x:c r="AS356" t="n">
        <x:v>1</x:v>
      </x:c>
      <x:c r="AT356" t="n">
        <x:v>1</x:v>
      </x:c>
      <x:c r="AU356" t="str">
        <x:v>energiattester_export_2025-08-14.json | PDF vedlegg side 5-7</x:v>
      </x:c>
      <x:c r="AV356" s="12" t="n">
        <x:f>IF(COUNT(O356,P356,Q356,R356,K356,L356,M356,N356)=8,O356*K356+P356*L356+Q356*M356+R356*N356,"")</x:f>
        <x:v>1545.38</x:v>
      </x:c>
      <x:c r="AW356" s="12" t="n">
        <x:f>IF(AND(ISNUMBER(AV356),H356&gt;0),AV356/H356,"")</x:f>
        <x:v>1.0399596231493944</x:v>
      </x:c>
      <x:c r="AX356" s="12" t="n">
        <x:f>IF(AND(ISNUMBER(AD356),H356&gt;0),AD356*H356*3600,"")</x:f>
        <x:v>351468720</x:v>
      </x:c>
      <x:c r="AY356" s="12" t="n">
        <x:f>IF(AND(ISNUMBER(Y356),H356&gt;0),Y356*H356,"")</x:f>
        <x:v>148600</x:v>
      </x:c>
      <x:c r="AZ356" t="str">
        <x:v>Høy</x:v>
      </x:c>
    </x:row>
    <x:row r="357" ht="22" customHeight="1">
      <x:c r="A357" t="str">
        <x:v>OT-ce4fea295c5b</x:v>
      </x:c>
      <x:c r="B357" t="n">
        <x:v>2015</x:v>
      </x:c>
      <x:c r="C357" t="str">
        <x:v>Forretningsbygg</x:v>
      </x:c>
      <x:c r="D357" t="str">
        <x:v>BUTIKK</x:v>
      </x:c>
      <x:c r="E357" t="str">
        <x:v>C</x:v>
      </x:c>
      <x:c r="F357" t="str">
        <x:v>RED</x:v>
      </x:c>
      <x:c r="G357" t="n">
        <x:v>2014</x:v>
      </x:c>
      <x:c r="H357" t="n">
        <x:v>76</x:v>
      </x:c>
      <x:c r="I357" t="n">
        <x:v>202.2</x:v>
      </x:c>
      <x:c r="J357" t="str">
        <x:v>PDF/avansert</x:v>
      </x:c>
      <x:c r="K357" t="n">
        <x:v>46</x:v>
      </x:c>
      <x:c r="L357" t="n">
        <x:v>0</x:v>
      </x:c>
      <x:c r="M357" t="n">
        <x:v>26</x:v>
      </x:c>
      <x:c r="N357" t="n">
        <x:v>5</x:v>
      </x:c>
      <x:c r="O357" t="n">
        <x:v>0.23</x:v>
      </x:c>
      <x:c r="P357" t="n">
        <x:v>0</x:v>
      </x:c>
      <x:c r="Q357" t="n">
        <x:v>0.16</x:v>
      </x:c>
      <x:c r="R357" t="n">
        <x:v>1.26</x:v>
      </x:c>
      <x:c r="S357" t="n">
        <x:v>80</x:v>
      </x:c>
      <x:c r="T357" t="n">
        <x:v>80</x:v>
      </x:c>
      <x:c r="U357" t="n">
        <x:v>2.5</x:v>
      </x:c>
      <x:c r="V357" t="n">
        <x:v>0.23</x:v>
      </x:c>
      <x:c r="W357" t="n">
        <x:v>13</x:v>
      </x:c>
      <x:c r="X357" t="n">
        <x:v>92</x:v>
      </x:c>
      <x:c r="Y357" t="n">
        <x:v>70</x:v>
      </x:c>
      <x:c r="Z357" t="n">
        <x:v>0</x:v>
      </x:c>
      <x:c r="AA357" t="n">
        <x:v>21</x:v>
      </x:c>
      <x:c r="AB357" t="n">
        <x:v>22</x:v>
      </x:c>
      <x:c r="AC357" t="n">
        <x:v>1.5</x:v>
      </x:c>
      <x:c r="AD357" t="n">
        <x:v>54.4</x:v>
      </x:c>
      <x:c r="AE357" t="n">
        <x:v>0.12</x:v>
      </x:c>
      <x:c r="AF357" t="n">
        <x:v>12</x:v>
      </x:c>
      <x:c r="AG357" t="n">
        <x:v>12</x:v>
      </x:c>
      <x:c r="AH357" t="n">
        <x:v>24</x:v>
      </x:c>
      <x:c r="AI357" t="n">
        <x:v>15</x:v>
      </x:c>
      <x:c r="AJ357" t="n">
        <x:v>1</x:v>
      </x:c>
      <x:c r="AK357" t="n">
        <x:v>250</x:v>
      </x:c>
      <x:c r="AL357" t="str">
        <x:v>Direkte elektrisk;</x:v>
      </x:c>
      <x:c r="AM357"/>
      <x:c r="AN357"/>
      <x:c r="AO357"/>
      <x:c r="AP357"/>
      <x:c r="AQ357"/>
      <x:c r="AR357"/>
      <x:c r="AS357"/>
      <x:c r="AT357"/>
      <x:c r="AU357" t="str">
        <x:v>energiattester_export_2025-08-14.json | PDF vedlegg side 5-7</x:v>
      </x:c>
      <x:c r="AV357" s="12" t="n">
        <x:f>IF(COUNT(O357,P357,Q357,R357,K357,L357,M357,N357)=8,O357*K357+P357*L357+Q357*M357+R357*N357,"")</x:f>
        <x:v>21.04</x:v>
      </x:c>
      <x:c r="AW357" s="12" t="n">
        <x:f>IF(AND(ISNUMBER(AV357),H357&gt;0),AV357/H357,"")</x:f>
        <x:v>0.2768421052631579</x:v>
      </x:c>
      <x:c r="AX357" s="12" t="n">
        <x:f>IF(AND(ISNUMBER(AD357),H357&gt;0),AD357*H357*3600,"")</x:f>
        <x:v>14883839.999999998</x:v>
      </x:c>
      <x:c r="AY357" s="12" t="n">
        <x:f>IF(AND(ISNUMBER(Y357),H357&gt;0),Y357*H357,"")</x:f>
        <x:v>5320</x:v>
      </x:c>
      <x:c r="AZ357" t="str">
        <x:v>Høy</x:v>
      </x:c>
    </x:row>
    <x:row r="358" ht="22" customHeight="1">
      <x:c r="A358" t="str">
        <x:v>OT-ee1860b8c0ae</x:v>
      </x:c>
      <x:c r="B358" t="n">
        <x:v>2015</x:v>
      </x:c>
      <x:c r="C358" t="str">
        <x:v>Kontorbygg</x:v>
      </x:c>
      <x:c r="D358" t="str">
        <x:v>KONTORER, ENKLE</x:v>
      </x:c>
      <x:c r="E358" t="str">
        <x:v>F</x:v>
      </x:c>
      <x:c r="F358" t="str">
        <x:v>RED</x:v>
      </x:c>
      <x:c r="G358" t="n">
        <x:v>1963</x:v>
      </x:c>
      <x:c r="H358" t="n">
        <x:v>616</x:v>
      </x:c>
      <x:c r="I358" t="n">
        <x:v>264.1</x:v>
      </x:c>
      <x:c r="J358" t="str">
        <x:v>PDF/avansert</x:v>
      </x:c>
      <x:c r="K358" t="n">
        <x:v>655</x:v>
      </x:c>
      <x:c r="L358" t="n">
        <x:v>563</x:v>
      </x:c>
      <x:c r="M358" t="n">
        <x:v>0</x:v>
      </x:c>
      <x:c r="N358" t="n">
        <x:v>61</x:v>
      </x:c>
      <x:c r="O358" t="n">
        <x:v>0.29</x:v>
      </x:c>
      <x:c r="P358" t="n">
        <x:v>0.93</x:v>
      </x:c>
      <x:c r="Q358" t="n">
        <x:v>0</x:v>
      </x:c>
      <x:c r="R358" t="n">
        <x:v>1.74</x:v>
      </x:c>
      <x:c r="S358" t="n">
        <x:v>76</x:v>
      </x:c>
      <x:c r="T358" t="n">
        <x:v>76</x:v>
      </x:c>
      <x:c r="U358" t="n">
        <x:v>2</x:v>
      </x:c>
      <x:c r="V358" t="n">
        <x:v>0.43</x:v>
      </x:c>
      <x:c r="W358" t="n">
        <x:v>7</x:v>
      </x:c>
      <x:c r="X358" t="n">
        <x:v>95</x:v>
      </x:c>
      <x:c r="Y358" t="n">
        <x:v>130</x:v>
      </x:c>
      <x:c r="Z358" t="n">
        <x:v>0</x:v>
      </x:c>
      <x:c r="AA358" t="n">
        <x:v>21</x:v>
      </x:c>
      <x:c r="AB358" t="n">
        <x:v>22</x:v>
      </x:c>
      <x:c r="AC358" t="n">
        <x:v>4</x:v>
      </x:c>
      <x:c r="AD358" t="n">
        <x:v>189.5</x:v>
      </x:c>
      <x:c r="AE358" t="n">
        <x:v>0.15</x:v>
      </x:c>
      <x:c r="AF358" t="n">
        <x:v>12</x:v>
      </x:c>
      <x:c r="AG358" t="n">
        <x:v>12</x:v>
      </x:c>
      <x:c r="AH358" t="n">
        <x:v>24</x:v>
      </x:c>
      <x:c r="AI358" t="n">
        <x:v>8</x:v>
      </x:c>
      <x:c r="AJ358" t="n">
        <x:v>11</x:v>
      </x:c>
      <x:c r="AK358" t="n">
        <x:v>250</x:v>
      </x:c>
      <x:c r="AL358" t="str">
        <x:v>Direkte elektrisk;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1</x:v>
      </x:c>
      <x:c r="AR358" t="n">
        <x:v>1</x:v>
      </x:c>
      <x:c r="AS358" t="n">
        <x:v>1</x:v>
      </x:c>
      <x:c r="AT358" t="n">
        <x:v>1</x:v>
      </x:c>
      <x:c r="AU358" t="str">
        <x:v>energiattester_export_2025-08-14.json | PDF vedlegg side 5-7</x:v>
      </x:c>
      <x:c r="AV358" s="12" t="n">
        <x:f>IF(COUNT(O358,P358,Q358,R358,K358,L358,M358,N358)=8,O358*K358+P358*L358+Q358*M358+R358*N358,"")</x:f>
        <x:v>819.68</x:v>
      </x:c>
      <x:c r="AW358" s="12" t="n">
        <x:f>IF(AND(ISNUMBER(AV358),H358&gt;0),AV358/H358,"")</x:f>
        <x:v>1.3306493506493506</x:v>
      </x:c>
      <x:c r="AX358" s="12" t="n">
        <x:f>IF(AND(ISNUMBER(AD358),H358&gt;0),AD358*H358*3600,"")</x:f>
        <x:v>420235200</x:v>
      </x:c>
      <x:c r="AY358" s="12" t="n">
        <x:f>IF(AND(ISNUMBER(Y358),H358&gt;0),Y358*H358,"")</x:f>
        <x:v>80080</x:v>
      </x:c>
      <x:c r="AZ358" t="str">
        <x:v>Høy</x:v>
      </x:c>
    </x:row>
    <x:row r="359" ht="22" customHeight="1">
      <x:c r="A359" t="str">
        <x:v>OT-da33fca68444</x:v>
      </x:c>
      <x:c r="B359" t="n">
        <x:v>2015</x:v>
      </x:c>
      <x:c r="C359" t="str">
        <x:v>Forretningsbygg</x:v>
      </x:c>
      <x:c r="D359" t="str">
        <x:v>BUTIKK</x:v>
      </x:c>
      <x:c r="E359" t="str">
        <x:v>G</x:v>
      </x:c>
      <x:c r="F359" t="str">
        <x:v>RED</x:v>
      </x:c>
      <x:c r="G359" t="n">
        <x:v>1963</x:v>
      </x:c>
      <x:c r="H359" t="n">
        <x:v>1093</x:v>
      </x:c>
      <x:c r="I359" t="n">
        <x:v>436.7</x:v>
      </x:c>
      <x:c r="J359" t="str">
        <x:v>PDF/avansert</x:v>
      </x:c>
      <x:c r="K359" t="n">
        <x:v>466</x:v>
      </x:c>
      <x:c r="L359" t="n">
        <x:v>477</x:v>
      </x:c>
      <x:c r="M359" t="n">
        <x:v>1093</x:v>
      </x:c>
      <x:c r="N359" t="n">
        <x:v>41</x:v>
      </x:c>
      <x:c r="O359" t="n">
        <x:v>1.08</x:v>
      </x:c>
      <x:c r="P359" t="n">
        <x:v>0.93</x:v>
      </x:c>
      <x:c r="Q359" t="n">
        <x:v>0.19</x:v>
      </x:c>
      <x:c r="R359" t="n">
        <x:v>1.88</x:v>
      </x:c>
      <x:c r="S359" t="n">
        <x:v>29</x:v>
      </x:c>
      <x:c r="T359" t="n">
        <x:v>29</x:v>
      </x:c>
      <x:c r="U359" t="n">
        <x:v>2</x:v>
      </x:c>
      <x:c r="V359" t="n">
        <x:v>0.23</x:v>
      </x:c>
      <x:c r="W359" t="n">
        <x:v>13</x:v>
      </x:c>
      <x:c r="X359" t="n">
        <x:v>89</x:v>
      </x:c>
      <x:c r="Y359" t="n">
        <x:v>230</x:v>
      </x:c>
      <x:c r="Z359" t="n">
        <x:v>100</x:v>
      </x:c>
      <x:c r="AA359" t="n">
        <x:v>21</x:v>
      </x:c>
      <x:c r="AB359" t="n">
        <x:v>22</x:v>
      </x:c>
      <x:c r="AC359" t="n">
        <x:v>4.5</x:v>
      </x:c>
      <x:c r="AD359" t="n">
        <x:v>154.8</x:v>
      </x:c>
      <x:c r="AE359" t="n">
        <x:v>0.15</x:v>
      </x:c>
      <x:c r="AF359" t="n">
        <x:v>12</x:v>
      </x:c>
      <x:c r="AG359" t="n">
        <x:v>12</x:v>
      </x:c>
      <x:c r="AH359" t="n">
        <x:v>24</x:v>
      </x:c>
      <x:c r="AI359" t="n">
        <x:v>15</x:v>
      </x:c>
      <x:c r="AJ359" t="n">
        <x:v>1</x:v>
      </x:c>
      <x:c r="AK359" t="n">
        <x:v>250</x:v>
      </x:c>
      <x:c r="AL359" t="str">
        <x:v>Direkte elektrisk;</x:v>
      </x:c>
      <x:c r="AM359" t="n">
        <x:v>0</x:v>
      </x:c>
      <x:c r="AN359" t="n">
        <x:v>0</x:v>
      </x:c>
      <x:c r="AO359" t="n">
        <x:v>1</x:v>
      </x:c>
      <x:c r="AP359" t="n">
        <x:v>1</x:v>
      </x:c>
      <x:c r="AQ359" t="n">
        <x:v>0</x:v>
      </x:c>
      <x:c r="AR359" t="n">
        <x:v>1</x:v>
      </x:c>
      <x:c r="AS359" t="n">
        <x:v>1</x:v>
      </x:c>
      <x:c r="AT359" t="n">
        <x:v>1</x:v>
      </x:c>
      <x:c r="AU359" t="str">
        <x:v>energiattester_export_2025-08-14.json | PDF vedlegg side 5-7</x:v>
      </x:c>
      <x:c r="AV359" s="12" t="n">
        <x:f>IF(COUNT(O359,P359,Q359,R359,K359,L359,M359,N359)=8,O359*K359+P359*L359+Q359*M359+R359*N359,"")</x:f>
        <x:v>1231.64</x:v>
      </x:c>
      <x:c r="AW359" s="12" t="n">
        <x:f>IF(AND(ISNUMBER(AV359),H359&gt;0),AV359/H359,"")</x:f>
        <x:v>1.1268435498627631</x:v>
      </x:c>
      <x:c r="AX359" s="12" t="n">
        <x:f>IF(AND(ISNUMBER(AD359),H359&gt;0),AD359*H359*3600,"")</x:f>
        <x:v>609107040.0000001</x:v>
      </x:c>
      <x:c r="AY359" s="12" t="n">
        <x:f>IF(AND(ISNUMBER(Y359),H359&gt;0),Y359*H359,"")</x:f>
        <x:v>251390</x:v>
      </x:c>
      <x:c r="AZ359" t="str">
        <x:v>Høy</x:v>
      </x:c>
    </x:row>
    <x:row r="360" ht="22" customHeight="1">
      <x:c r="A360" t="str">
        <x:v>OT-3db057745b6b</x:v>
      </x:c>
      <x:c r="B360" t="n">
        <x:v>2015</x:v>
      </x:c>
      <x:c r="C360" t="str">
        <x:v>Kontorbygg</x:v>
      </x:c>
      <x:c r="D360" t="str">
        <x:v>KONTORER, ENKLE</x:v>
      </x:c>
      <x:c r="E360" t="str">
        <x:v>D</x:v>
      </x:c>
      <x:c r="F360" t="str">
        <x:v>RED</x:v>
      </x:c>
      <x:c r="G360" t="n">
        <x:v>2007</x:v>
      </x:c>
      <x:c r="H360" t="n">
        <x:v>1518</x:v>
      </x:c>
      <x:c r="I360" t="n">
        <x:v>159.9</x:v>
      </x:c>
      <x:c r="J360" t="str">
        <x:v>PDF/avansert</x:v>
      </x:c>
      <x:c r="K360" t="n">
        <x:v>494</x:v>
      </x:c>
      <x:c r="L360" t="n">
        <x:v>506</x:v>
      </x:c>
      <x:c r="M360" t="n">
        <x:v>506</x:v>
      </x:c>
      <x:c r="N360" t="n">
        <x:v>230</x:v>
      </x:c>
      <x:c r="O360" t="n">
        <x:v>0.22</x:v>
      </x:c>
      <x:c r="P360" t="n">
        <x:v>0.17</x:v>
      </x:c>
      <x:c r="Q360" t="n">
        <x:v>0.15</x:v>
      </x:c>
      <x:c r="R360" t="n">
        <x:v>1.6</x:v>
      </x:c>
      <x:c r="S360" t="n">
        <x:v>80</x:v>
      </x:c>
      <x:c r="T360" t="n">
        <x:v>80</x:v>
      </x:c>
      <x:c r="U360" t="n">
        <x:v>2.5</x:v>
      </x:c>
      <x:c r="V360" t="n">
        <x:v>0.75</x:v>
      </x:c>
      <x:c r="W360" t="n">
        <x:v>10</x:v>
      </x:c>
      <x:c r="X360" t="n">
        <x:v>91</x:v>
      </x:c>
      <x:c r="Y360" t="n">
        <x:v>80</x:v>
      </x:c>
      <x:c r="Z360" t="n">
        <x:v>30</x:v>
      </x:c>
      <x:c r="AA360" t="n">
        <x:v>21</x:v>
      </x:c>
      <x:c r="AB360" t="n">
        <x:v>22</x:v>
      </x:c>
      <x:c r="AC360" t="n">
        <x:v>1.5</x:v>
      </x:c>
      <x:c r="AD360" t="n">
        <x:v>102.6</x:v>
      </x:c>
      <x:c r="AE360" t="n">
        <x:v>0.12</x:v>
      </x:c>
      <x:c r="AF360" t="n">
        <x:v>12</x:v>
      </x:c>
      <x:c r="AG360" t="n">
        <x:v>12</x:v>
      </x:c>
      <x:c r="AH360" t="n">
        <x:v>24</x:v>
      </x:c>
      <x:c r="AI360" t="n">
        <x:v>8</x:v>
      </x:c>
      <x:c r="AJ360" t="n">
        <x:v>11</x:v>
      </x:c>
      <x:c r="AK360" t="n">
        <x:v>250</x:v>
      </x:c>
      <x:c r="AL360" t="str">
        <x:v>Direkte elektrisk;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str">
        <x:v>energiattester_export_2025-08-14.json | PDF vedlegg side 5-7</x:v>
      </x:c>
      <x:c r="AV360" s="12" t="n">
        <x:f>IF(COUNT(O360,P360,Q360,R360,K360,L360,M360,N360)=8,O360*K360+P360*L360+Q360*M360+R360*N360,"")</x:f>
        <x:v>638.6</x:v>
      </x:c>
      <x:c r="AW360" s="12" t="n">
        <x:f>IF(AND(ISNUMBER(AV360),H360&gt;0),AV360/H360,"")</x:f>
        <x:v>0.42068511198945985</x:v>
      </x:c>
      <x:c r="AX360" s="12" t="n">
        <x:f>IF(AND(ISNUMBER(AD360),H360&gt;0),AD360*H360*3600,"")</x:f>
        <x:v>560688480</x:v>
      </x:c>
      <x:c r="AY360" s="12" t="n">
        <x:f>IF(AND(ISNUMBER(Y360),H360&gt;0),Y360*H360,"")</x:f>
        <x:v>121440</x:v>
      </x:c>
      <x:c r="AZ360" t="str">
        <x:v>Høy</x:v>
      </x:c>
    </x:row>
    <x:row r="361" ht="22" customHeight="1">
      <x:c r="A361" t="str">
        <x:v>OT-85b87dd758db</x:v>
      </x:c>
      <x:c r="B361" t="n">
        <x:v>2015</x:v>
      </x:c>
      <x:c r="C361" t="str">
        <x:v>Forretningsbygg</x:v>
      </x:c>
      <x:c r="D361" t="str">
        <x:v>BUTIKK MED KJØLE- / FRYSEROM</x:v>
      </x:c>
      <x:c r="E361" t="str">
        <x:v>B</x:v>
      </x:c>
      <x:c r="F361" t="str">
        <x:v>RED</x:v>
      </x:c>
      <x:c r="G361" t="n">
        <x:v>2015</x:v>
      </x:c>
      <x:c r="H361" t="n">
        <x:v>1368</x:v>
      </x:c>
      <x:c r="I361" t="n">
        <x:v>150.4</x:v>
      </x:c>
      <x:c r="J361" t="str">
        <x:v>PDF/avansert</x:v>
      </x:c>
      <x:c r="K361" t="n">
        <x:v>365</x:v>
      </x:c>
      <x:c r="L361" t="n">
        <x:v>1028</x:v>
      </x:c>
      <x:c r="M361" t="n">
        <x:v>1368</x:v>
      </x:c>
      <x:c r="N361" t="n">
        <x:v>70</x:v>
      </x:c>
      <x:c r="O361" t="n">
        <x:v>0.17</x:v>
      </x:c>
      <x:c r="P361" t="n">
        <x:v>0.14</x:v>
      </x:c>
      <x:c r="Q361" t="n">
        <x:v>0.17</x:v>
      </x:c>
      <x:c r="R361" t="n">
        <x:v>0.91</x:v>
      </x:c>
      <x:c r="S361" t="n">
        <x:v>82</x:v>
      </x:c>
      <x:c r="T361" t="n">
        <x:v>82</x:v>
      </x:c>
      <x:c r="U361" t="n">
        <x:v>1.9</x:v>
      </x:c>
      <x:c r="V361" t="n">
        <x:v>0.36</x:v>
      </x:c>
      <x:c r="W361" t="n">
        <x:v>13</x:v>
      </x:c>
      <x:c r="X361" t="n">
        <x:v>95</x:v>
      </x:c>
      <x:c r="Y361" t="n">
        <x:v>262</x:v>
      </x:c>
      <x:c r="Z361" t="n">
        <x:v>69</x:v>
      </x:c>
      <x:c r="AA361" t="n">
        <x:v>21</x:v>
      </x:c>
      <x:c r="AB361" t="n">
        <x:v>22</x:v>
      </x:c>
      <x:c r="AC361" t="n">
        <x:v>1.5</x:v>
      </x:c>
      <x:c r="AD361" t="n">
        <x:v>63.4</x:v>
      </x:c>
      <x:c r="AE361" t="n">
        <x:v>0.09</x:v>
      </x:c>
      <x:c r="AF361" t="n">
        <x:v>12</x:v>
      </x:c>
      <x:c r="AG361" t="n">
        <x:v>12</x:v>
      </x:c>
      <x:c r="AH361" t="n">
        <x:v>24</x:v>
      </x:c>
      <x:c r="AI361" t="n">
        <x:v>15</x:v>
      </x:c>
      <x:c r="AJ361" t="n">
        <x:v>1</x:v>
      </x:c>
      <x:c r="AK361" t="n">
        <x:v>250</x:v>
      </x:c>
      <x:c r="AL361" t="str">
        <x:v>Direkte elektrisk;</x:v>
      </x:c>
      <x:c r="AM361"/>
      <x:c r="AN361"/>
      <x:c r="AO361"/>
      <x:c r="AP361"/>
      <x:c r="AQ361"/>
      <x:c r="AR361"/>
      <x:c r="AS361"/>
      <x:c r="AT361"/>
      <x:c r="AU361" t="str">
        <x:v>energiattester_export_2025-08-14.json | PDF vedlegg side 5-7</x:v>
      </x:c>
      <x:c r="AV361" s="12" t="n">
        <x:f>IF(COUNT(O361,P361,Q361,R361,K361,L361,M361,N361)=8,O361*K361+P361*L361+Q361*M361+R361*N361,"")</x:f>
        <x:v>502.2300000000001</x:v>
      </x:c>
      <x:c r="AW361" s="12" t="n">
        <x:f>IF(AND(ISNUMBER(AV361),H361&gt;0),AV361/H361,"")</x:f>
        <x:v>0.3671271929824562</x:v>
      </x:c>
      <x:c r="AX361" s="12" t="n">
        <x:f>IF(AND(ISNUMBER(AD361),H361&gt;0),AD361*H361*3600,"")</x:f>
        <x:v>312232320</x:v>
      </x:c>
      <x:c r="AY361" s="12" t="n">
        <x:f>IF(AND(ISNUMBER(Y361),H361&gt;0),Y361*H361,"")</x:f>
        <x:v>358416</x:v>
      </x:c>
      <x:c r="AZ361" t="str">
        <x:v>Høy</x:v>
      </x:c>
    </x:row>
    <x:row r="362" ht="22" customHeight="1">
      <x:c r="A362" t="str">
        <x:v>OT-d9aa10f4e9c7</x:v>
      </x:c>
      <x:c r="B362" t="n">
        <x:v>2015</x:v>
      </x:c>
      <x:c r="C362" t="str">
        <x:v>Hoteller</x:v>
      </x:c>
      <x:c r="D362" t="str">
        <x:v>HOTELLBYGNING</x:v>
      </x:c>
      <x:c r="E362" t="str">
        <x:v>E</x:v>
      </x:c>
      <x:c r="F362" t="str">
        <x:v>RED</x:v>
      </x:c>
      <x:c r="G362" t="n">
        <x:v>1922</x:v>
      </x:c>
      <x:c r="H362" t="n">
        <x:v>9592</x:v>
      </x:c>
      <x:c r="I362" t="n">
        <x:v>1</x:v>
      </x:c>
      <x:c r="J362" t="str">
        <x:v>PDF/avansert</x:v>
      </x:c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 t="n">
        <x:v>0</x:v>
      </x:c>
      <x:c r="AN362" t="n">
        <x:v>0</x:v>
      </x:c>
      <x:c r="AO362" t="n">
        <x:v>1</x:v>
      </x:c>
      <x:c r="AP362" t="n">
        <x:v>1</x:v>
      </x:c>
      <x:c r="AQ362" t="n">
        <x:v>1</x:v>
      </x:c>
      <x:c r="AR362" t="n">
        <x:v>1</x:v>
      </x:c>
      <x:c r="AS362" t="n">
        <x:v>1</x:v>
      </x:c>
      <x:c r="AT362" t="n">
        <x:v>1</x:v>
      </x:c>
      <x:c r="AU362" t="str">
        <x:v>energiattester_export_2025-08-14.json | PDF vedlegg side 5-7</x:v>
      </x:c>
      <x:c r="AV362" s="12" t="str">
        <x:f>IF(COUNT(O362,P362,Q362,R362,K362,L362,M362,N362)=8,O362*K362+P362*L362+Q362*M362+R362*N362,"")</x:f>
      </x:c>
      <x:c r="AW362" s="12" t="str">
        <x:f>IF(AND(ISNUMBER(AV362),H362&gt;0),AV362/H362,"")</x:f>
      </x:c>
      <x:c r="AX362" s="12" t="str">
        <x:f>IF(AND(ISNUMBER(AD362),H362&gt;0),AD362*H362*3600,"")</x:f>
      </x:c>
      <x:c r="AY362" s="12" t="str">
        <x:f>IF(AND(ISNUMBER(Y362),H362&gt;0),Y362*H362,"")</x:f>
      </x:c>
      <x:c r="AZ362" t="str">
        <x:v>Mangler data</x:v>
      </x:c>
    </x:row>
    <x:row r="363" ht="22" customHeight="1">
      <x:c r="A363" t="str">
        <x:v>OT-299406f6ca96</x:v>
      </x:c>
      <x:c r="B363" t="n">
        <x:v>2015</x:v>
      </x:c>
      <x:c r="C363" t="str">
        <x:v>Kontorbygg</x:v>
      </x:c>
      <x:c r="D363" t="str">
        <x:v>KONTORER, ENKLE</x:v>
      </x:c>
      <x:c r="E363" t="str">
        <x:v>E</x:v>
      </x:c>
      <x:c r="F363" t="str">
        <x:v>RED</x:v>
      </x:c>
      <x:c r="G363" t="n">
        <x:v>1988</x:v>
      </x:c>
      <x:c r="H363" t="n">
        <x:v>1350</x:v>
      </x:c>
      <x:c r="I363" t="n">
        <x:v>189</x:v>
      </x:c>
      <x:c r="J363" t="str">
        <x:v>PDF/avansert</x:v>
      </x:c>
      <x:c r="K363" t="n">
        <x:v>417</x:v>
      </x:c>
      <x:c r="L363" t="n">
        <x:v>450</x:v>
      </x:c>
      <x:c r="M363" t="n">
        <x:v>450</x:v>
      </x:c>
      <x:c r="N363" t="n">
        <x:v>197</x:v>
      </x:c>
      <x:c r="O363" t="n">
        <x:v>0.3</x:v>
      </x:c>
      <x:c r="P363" t="n">
        <x:v>0.2</x:v>
      </x:c>
      <x:c r="Q363" t="n">
        <x:v>0.2</x:v>
      </x:c>
      <x:c r="R363" t="n">
        <x:v>2.4</x:v>
      </x:c>
      <x:c r="S363" t="n">
        <x:v>70</x:v>
      </x:c>
      <x:c r="T363" t="n">
        <x:v>70</x:v>
      </x:c>
      <x:c r="U363" t="n">
        <x:v>4</x:v>
      </x:c>
      <x:c r="V363" t="n">
        <x:v>0.48</x:v>
      </x:c>
      <x:c r="W363" t="n">
        <x:v>7.5</x:v>
      </x:c>
      <x:c r="X363" t="n">
        <x:v>98</x:v>
      </x:c>
      <x:c r="Y363" t="n">
        <x:v>80</x:v>
      </x:c>
      <x:c r="Z363" t="n">
        <x:v>30</x:v>
      </x:c>
      <x:c r="AA363" t="n">
        <x:v>21</x:v>
      </x:c>
      <x:c r="AB363" t="n">
        <x:v>22</x:v>
      </x:c>
      <x:c r="AC363" t="n">
        <x:v>3.5</x:v>
      </x:c>
      <x:c r="AD363" t="n">
        <x:v>11.6</x:v>
      </x:c>
      <x:c r="AE363" t="n">
        <x:v>0.12</x:v>
      </x:c>
      <x:c r="AF363" t="n">
        <x:v>12</x:v>
      </x:c>
      <x:c r="AG363" t="n">
        <x:v>12</x:v>
      </x:c>
      <x:c r="AH363" t="n">
        <x:v>24</x:v>
      </x:c>
      <x:c r="AI363" t="n">
        <x:v>8</x:v>
      </x:c>
      <x:c r="AJ363" t="n">
        <x:v>11</x:v>
      </x:c>
      <x:c r="AK363" t="n">
        <x:v>250</x:v>
      </x:c>
      <x:c r="AL363" t="str">
        <x:v>Direkte elektrisk;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1</x:v>
      </x:c>
      <x:c r="AS363" t="n">
        <x:v>1</x:v>
      </x:c>
      <x:c r="AT363" t="n">
        <x:v>0</x:v>
      </x:c>
      <x:c r="AU363" t="str">
        <x:v>energiattester_export_2025-08-14.json | PDF vedlegg side 5-7</x:v>
      </x:c>
      <x:c r="AV363" s="12" t="n">
        <x:f>IF(COUNT(O363,P363,Q363,R363,K363,L363,M363,N363)=8,O363*K363+P363*L363+Q363*M363+R363*N363,"")</x:f>
        <x:v>777.9</x:v>
      </x:c>
      <x:c r="AW363" s="12" t="n">
        <x:f>IF(AND(ISNUMBER(AV363),H363&gt;0),AV363/H363,"")</x:f>
        <x:v>0.5762222222222222</x:v>
      </x:c>
      <x:c r="AX363" s="12" t="n">
        <x:f>IF(AND(ISNUMBER(AD363),H363&gt;0),AD363*H363*3600,"")</x:f>
        <x:v>56376000</x:v>
      </x:c>
      <x:c r="AY363" s="12" t="n">
        <x:f>IF(AND(ISNUMBER(Y363),H363&gt;0),Y363*H363,"")</x:f>
        <x:v>108000</x:v>
      </x:c>
      <x:c r="AZ363" t="str">
        <x:v>Høy</x:v>
      </x:c>
    </x:row>
    <x:row r="364" ht="22" customHeight="1">
      <x:c r="A364" t="str">
        <x:v>OT-9a4bd70dbde6</x:v>
      </x:c>
      <x:c r="B364" t="n">
        <x:v>2015</x:v>
      </x:c>
      <x:c r="C364" t="str">
        <x:v>Kontorbygg</x:v>
      </x:c>
      <x:c r="D364" t="str">
        <x:v>KONTORER, MED VENTILASJON OG KJØLEANLEGG</x:v>
      </x:c>
      <x:c r="E364" t="str">
        <x:v>E</x:v>
      </x:c>
      <x:c r="F364" t="str">
        <x:v>RED</x:v>
      </x:c>
      <x:c r="G364" t="n">
        <x:v>2007</x:v>
      </x:c>
      <x:c r="H364" t="n">
        <x:v>476</x:v>
      </x:c>
      <x:c r="I364" t="n">
        <x:v>1</x:v>
      </x:c>
      <x:c r="J364" t="str">
        <x:v>PDF/avansert</x:v>
      </x:c>
      <x:c r="K364" t="n">
        <x:v>382</x:v>
      </x:c>
      <x:c r="L364" t="n">
        <x:v>238</x:v>
      </x:c>
      <x:c r="M364" t="n">
        <x:v>238</x:v>
      </x:c>
      <x:c r="N364" t="n">
        <x:v>130</x:v>
      </x:c>
      <x:c r="O364" t="n">
        <x:v>0.27</x:v>
      </x:c>
      <x:c r="P364" t="n">
        <x:v>0.16</x:v>
      </x:c>
      <x:c r="Q364" t="n">
        <x:v>0.12</x:v>
      </x:c>
      <x:c r="R364" t="n">
        <x:v>1.3</x:v>
      </x:c>
      <x:c r="S364" t="n">
        <x:v>76</x:v>
      </x:c>
      <x:c r="T364" t="n">
        <x:v>76</x:v>
      </x:c>
      <x:c r="U364" t="n">
        <x:v>2.34</x:v>
      </x:c>
      <x:c r="V364" t="n">
        <x:v>0.23</x:v>
      </x:c>
      <x:c r="W364" t="n">
        <x:v>12.9</x:v>
      </x:c>
      <x:c r="X364" t="n">
        <x:v>142</x:v>
      </x:c>
      <x:c r="Y364" t="n">
        <x:v>84</x:v>
      </x:c>
      <x:c r="Z364" t="n">
        <x:v>67</x:v>
      </x:c>
      <x:c r="AA364" t="n">
        <x:v>21</x:v>
      </x:c>
      <x:c r="AB364" t="n">
        <x:v>22</x:v>
      </x:c>
      <x:c r="AC364" t="n">
        <x:v>3.5</x:v>
      </x:c>
      <x:c r="AD364" t="n">
        <x:v>70.2</x:v>
      </x:c>
      <x:c r="AE364" t="n">
        <x:v>0.09</x:v>
      </x:c>
      <x:c r="AF364" t="n">
        <x:v>12</x:v>
      </x:c>
      <x:c r="AG364" t="n">
        <x:v>12</x:v>
      </x:c>
      <x:c r="AH364" t="n">
        <x:v>24</x:v>
      </x:c>
      <x:c r="AI364" t="n">
        <x:v>8</x:v>
      </x:c>
      <x:c r="AJ364" t="n">
        <x:v>11</x:v>
      </x:c>
      <x:c r="AK364" t="n">
        <x:v>250</x:v>
      </x:c>
      <x:c r="AL364" t="str">
        <x:v>Direkte elektrisk; Varmepumpe;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1</x:v>
      </x:c>
      <x:c r="AS364" t="n">
        <x:v>1</x:v>
      </x:c>
      <x:c r="AT364" t="n">
        <x:v>1</x:v>
      </x:c>
      <x:c r="AU364" t="str">
        <x:v>energiattester_export_2025-08-14.json | PDF vedlegg side 5-7</x:v>
      </x:c>
      <x:c r="AV364" s="12" t="n">
        <x:f>IF(COUNT(O364,P364,Q364,R364,K364,L364,M364,N364)=8,O364*K364+P364*L364+Q364*M364+R364*N364,"")</x:f>
        <x:v>338.78</x:v>
      </x:c>
      <x:c r="AW364" s="12" t="n">
        <x:f>IF(AND(ISNUMBER(AV364),H364&gt;0),AV364/H364,"")</x:f>
        <x:v>0.7117226890756302</x:v>
      </x:c>
      <x:c r="AX364" s="12" t="n">
        <x:f>IF(AND(ISNUMBER(AD364),H364&gt;0),AD364*H364*3600,"")</x:f>
        <x:v>120294720.00000001</x:v>
      </x:c>
      <x:c r="AY364" s="12" t="n">
        <x:f>IF(AND(ISNUMBER(Y364),H364&gt;0),Y364*H364,"")</x:f>
        <x:v>39984</x:v>
      </x:c>
      <x:c r="AZ364" t="str">
        <x:v>Høy</x:v>
      </x:c>
    </x:row>
    <x:row r="365" ht="22" customHeight="1">
      <x:c r="A365" t="str">
        <x:v>OT-0b9c5d7f2716</x:v>
      </x:c>
      <x:c r="B365" t="n">
        <x:v>2015</x:v>
      </x:c>
      <x:c r="C365" t="str">
        <x:v>Kontorbygg</x:v>
      </x:c>
      <x:c r="D365" t="str">
        <x:v>KONTORER, MED VENTILASJON OG KJØLEANLEGG</x:v>
      </x:c>
      <x:c r="E365" t="str">
        <x:v>F</x:v>
      </x:c>
      <x:c r="F365" t="str">
        <x:v>RED</x:v>
      </x:c>
      <x:c r="G365" t="n">
        <x:v>1977</x:v>
      </x:c>
      <x:c r="H365" t="n">
        <x:v>1058</x:v>
      </x:c>
      <x:c r="I365" t="n">
        <x:v>247</x:v>
      </x:c>
      <x:c r="J365" t="str">
        <x:v>PDF/avansert</x:v>
      </x:c>
      <x:c r="K365" t="n">
        <x:v>434</x:v>
      </x:c>
      <x:c r="L365" t="n">
        <x:v>1291</x:v>
      </x:c>
      <x:c r="M365" t="n">
        <x:v>1058</x:v>
      </x:c>
      <x:c r="N365" t="n">
        <x:v>69</x:v>
      </x:c>
      <x:c r="O365" t="n">
        <x:v>0.52</x:v>
      </x:c>
      <x:c r="P365" t="n">
        <x:v>0.43</x:v>
      </x:c>
      <x:c r="Q365" t="n">
        <x:v>0.46</x:v>
      </x:c>
      <x:c r="R365" t="n">
        <x:v>1.6</x:v>
      </x:c>
      <x:c r="S365" t="n">
        <x:v>86</x:v>
      </x:c>
      <x:c r="T365" t="n">
        <x:v>86</x:v>
      </x:c>
      <x:c r="U365" t="n">
        <x:v>5</x:v>
      </x:c>
      <x:c r="V365" t="n">
        <x:v>0.64</x:v>
      </x:c>
      <x:c r="W365" t="n">
        <x:v>7</x:v>
      </x:c>
      <x:c r="X365" t="n">
        <x:v>90</x:v>
      </x:c>
      <x:c r="Y365" t="n">
        <x:v>80</x:v>
      </x:c>
      <x:c r="Z365" t="n">
        <x:v>0</x:v>
      </x:c>
      <x:c r="AA365" t="n">
        <x:v>21</x:v>
      </x:c>
      <x:c r="AB365" t="n">
        <x:v>22</x:v>
      </x:c>
      <x:c r="AC365" t="n">
        <x:v>3</x:v>
      </x:c>
      <x:c r="AD365" t="n">
        <x:v>71.9</x:v>
      </x:c>
      <x:c r="AE365" t="n">
        <x:v>0.12</x:v>
      </x:c>
      <x:c r="AF365" t="n">
        <x:v>12</x:v>
      </x:c>
      <x:c r="AG365" t="n">
        <x:v>12</x:v>
      </x:c>
      <x:c r="AH365" t="n">
        <x:v>24</x:v>
      </x:c>
      <x:c r="AI365" t="n">
        <x:v>8</x:v>
      </x:c>
      <x:c r="AJ365" t="n">
        <x:v>11</x:v>
      </x:c>
      <x:c r="AK365" t="n">
        <x:v>250</x:v>
      </x:c>
      <x:c r="AL365" t="str">
        <x:v>Direkte elektrisk;</x:v>
      </x:c>
      <x:c r="AM365" t="n">
        <x:v>0</x:v>
      </x:c>
      <x:c r="AN365" t="n">
        <x:v>0</x:v>
      </x:c>
      <x:c r="AO365" t="n">
        <x:v>1</x:v>
      </x:c>
      <x:c r="AP365" t="n">
        <x:v>0</x:v>
      </x:c>
      <x:c r="AQ365" t="n">
        <x:v>1</x:v>
      </x:c>
      <x:c r="AR365" t="n">
        <x:v>0</x:v>
      </x:c>
      <x:c r="AS365" t="n">
        <x:v>0</x:v>
      </x:c>
      <x:c r="AT365" t="n">
        <x:v>1</x:v>
      </x:c>
      <x:c r="AU365" t="str">
        <x:v>energiattester_export_2025-08-14.json | PDF vedlegg side 5-7</x:v>
      </x:c>
      <x:c r="AV365" s="12" t="n">
        <x:f>IF(COUNT(O365,P365,Q365,R365,K365,L365,M365,N365)=8,O365*K365+P365*L365+Q365*M365+R365*N365,"")</x:f>
        <x:v>1377.89</x:v>
      </x:c>
      <x:c r="AW365" s="12" t="n">
        <x:f>IF(AND(ISNUMBER(AV365),H365&gt;0),AV365/H365,"")</x:f>
        <x:v>1.3023534971644612</x:v>
      </x:c>
      <x:c r="AX365" s="12" t="n">
        <x:f>IF(AND(ISNUMBER(AD365),H365&gt;0),AD365*H365*3600,"")</x:f>
        <x:v>273852720.00000006</x:v>
      </x:c>
      <x:c r="AY365" s="12" t="n">
        <x:f>IF(AND(ISNUMBER(Y365),H365&gt;0),Y365*H365,"")</x:f>
        <x:v>84640</x:v>
      </x:c>
      <x:c r="AZ365" t="str">
        <x:v>Høy</x:v>
      </x:c>
    </x:row>
    <x:row r="366" ht="22" customHeight="1">
      <x:c r="A366" t="str">
        <x:v>OT-8be2811735b1</x:v>
      </x:c>
      <x:c r="B366" t="n">
        <x:v>2015</x:v>
      </x:c>
      <x:c r="C366" t="str">
        <x:v>Kontorbygg</x:v>
      </x:c>
      <x:c r="D366" t="str">
        <x:v>KONTORER, ENKLE</x:v>
      </x:c>
      <x:c r="E366" t="str">
        <x:v>F</x:v>
      </x:c>
      <x:c r="F366" t="str">
        <x:v>RED</x:v>
      </x:c>
      <x:c r="G366" t="n">
        <x:v>1967</x:v>
      </x:c>
      <x:c r="H366" t="n">
        <x:v>823</x:v>
      </x:c>
      <x:c r="I366" t="n">
        <x:v>227.2</x:v>
      </x:c>
      <x:c r="J366" t="str">
        <x:v>PDF/avansert</x:v>
      </x:c>
      <x:c r="K366" t="n">
        <x:v>83</x:v>
      </x:c>
      <x:c r="L366" t="n">
        <x:v>498</x:v>
      </x:c>
      <x:c r="M366" t="n">
        <x:v>20</x:v>
      </x:c>
      <x:c r="N366" t="n">
        <x:v>119</x:v>
      </x:c>
      <x:c r="O366" t="n">
        <x:v>0.85</x:v>
      </x:c>
      <x:c r="P366" t="n">
        <x:v>0.55</x:v>
      </x:c>
      <x:c r="Q366" t="n">
        <x:v>0.64</x:v>
      </x:c>
      <x:c r="R366" t="n">
        <x:v>2.78</x:v>
      </x:c>
      <x:c r="S366" t="n">
        <x:v>70</x:v>
      </x:c>
      <x:c r="T366" t="n">
        <x:v>70</x:v>
      </x:c>
      <x:c r="U366" t="n">
        <x:v>4</x:v>
      </x:c>
      <x:c r="V366" t="n">
        <x:v>0.86</x:v>
      </x:c>
      <x:c r="W366" t="n">
        <x:v>7</x:v>
      </x:c>
      <x:c r="X366" t="n">
        <x:v>89</x:v>
      </x:c>
      <x:c r="Y366" t="n">
        <x:v>89</x:v>
      </x:c>
      <x:c r="Z366" t="n">
        <x:v>30</x:v>
      </x:c>
      <x:c r="AA366" t="n">
        <x:v>21</x:v>
      </x:c>
      <x:c r="AB366" t="n">
        <x:v>22</x:v>
      </x:c>
      <x:c r="AC366" t="n">
        <x:v>3.5</x:v>
      </x:c>
      <x:c r="AD366" t="n">
        <x:v>25.1</x:v>
      </x:c>
      <x:c r="AE366" t="n">
        <x:v>0.12</x:v>
      </x:c>
      <x:c r="AF366" t="n">
        <x:v>12</x:v>
      </x:c>
      <x:c r="AG366" t="n">
        <x:v>12</x:v>
      </x:c>
      <x:c r="AH366" t="n">
        <x:v>24</x:v>
      </x:c>
      <x:c r="AI366" t="n">
        <x:v>8</x:v>
      </x:c>
      <x:c r="AJ366" t="n">
        <x:v>11</x:v>
      </x:c>
      <x:c r="AK366" t="n">
        <x:v>240</x:v>
      </x:c>
      <x:c r="AL366" t="str">
        <x:v>Direkte elektrisk;</x:v>
      </x:c>
      <x:c r="AM366" t="n">
        <x:v>1</x:v>
      </x:c>
      <x:c r="AN366" t="n">
        <x:v>0</x:v>
      </x:c>
      <x:c r="AO366" t="n">
        <x:v>1</x:v>
      </x:c>
      <x:c r="AP366" t="n">
        <x:v>1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str">
        <x:v>energiattester_export_2025-08-14.json | PDF vedlegg side 5-7</x:v>
      </x:c>
      <x:c r="AV366" s="12" t="n">
        <x:f>IF(COUNT(O366,P366,Q366,R366,K366,L366,M366,N366)=8,O366*K366+P366*L366+Q366*M366+R366*N366,"")</x:f>
        <x:v>688.07</x:v>
      </x:c>
      <x:c r="AW366" s="12" t="n">
        <x:f>IF(AND(ISNUMBER(AV366),H366&gt;0),AV366/H366,"")</x:f>
        <x:v>0.8360510328068045</x:v>
      </x:c>
      <x:c r="AX366" s="12" t="n">
        <x:f>IF(AND(ISNUMBER(AD366),H366&gt;0),AD366*H366*3600,"")</x:f>
        <x:v>74366280.00000001</x:v>
      </x:c>
      <x:c r="AY366" s="12" t="n">
        <x:f>IF(AND(ISNUMBER(Y366),H366&gt;0),Y366*H366,"")</x:f>
        <x:v>73247</x:v>
      </x:c>
      <x:c r="AZ366" t="str">
        <x:v>Høy</x:v>
      </x:c>
    </x:row>
    <x:row r="367" ht="22" customHeight="1">
      <x:c r="A367" t="str">
        <x:v>OT-58fe99ab5e3f</x:v>
      </x:c>
      <x:c r="B367" t="n">
        <x:v>2015</x:v>
      </x:c>
      <x:c r="C367" t="str">
        <x:v>Forretningsbygg</x:v>
      </x:c>
      <x:c r="D367" t="str">
        <x:v>BUTIKK</x:v>
      </x:c>
      <x:c r="E367" t="str">
        <x:v>E</x:v>
      </x:c>
      <x:c r="F367" t="str">
        <x:v>RED</x:v>
      </x:c>
      <x:c r="G367" t="n">
        <x:v>1967</x:v>
      </x:c>
      <x:c r="H367" t="n">
        <x:v>635</x:v>
      </x:c>
      <x:c r="I367" t="n">
        <x:v>256.7</x:v>
      </x:c>
      <x:c r="J367" t="str">
        <x:v>PDF/avansert</x:v>
      </x:c>
      <x:c r="K367" t="n">
        <x:v>57</x:v>
      </x:c>
      <x:c r="L367" t="n">
        <x:v>223</x:v>
      </x:c>
      <x:c r="M367" t="n">
        <x:v>45</x:v>
      </x:c>
      <x:c r="N367" t="n">
        <x:v>68</x:v>
      </x:c>
      <x:c r="O367" t="n">
        <x:v>0.47</x:v>
      </x:c>
      <x:c r="P367" t="n">
        <x:v>0.55</x:v>
      </x:c>
      <x:c r="Q367" t="n">
        <x:v>0.64</x:v>
      </x:c>
      <x:c r="R367" t="n">
        <x:v>3.74</x:v>
      </x:c>
      <x:c r="S367" t="n">
        <x:v>70</x:v>
      </x:c>
      <x:c r="T367" t="n">
        <x:v>70</x:v>
      </x:c>
      <x:c r="U367" t="n">
        <x:v>4</x:v>
      </x:c>
      <x:c r="V367" t="n">
        <x:v>0.46</x:v>
      </x:c>
      <x:c r="W367" t="n">
        <x:v>13</x:v>
      </x:c>
      <x:c r="X367" t="n">
        <x:v>89</x:v>
      </x:c>
      <x:c r="Y367" t="n">
        <x:v>87</x:v>
      </x:c>
      <x:c r="Z367" t="n">
        <x:v>100</x:v>
      </x:c>
      <x:c r="AA367" t="n">
        <x:v>21</x:v>
      </x:c>
      <x:c r="AB367" t="n">
        <x:v>22</x:v>
      </x:c>
      <x:c r="AC367" t="n">
        <x:v>3</x:v>
      </x:c>
      <x:c r="AD367" t="n">
        <x:v>159.8</x:v>
      </x:c>
      <x:c r="AE367" t="n">
        <x:v>0.12</x:v>
      </x:c>
      <x:c r="AF367" t="n">
        <x:v>12</x:v>
      </x:c>
      <x:c r="AG367" t="n">
        <x:v>12</x:v>
      </x:c>
      <x:c r="AH367" t="n">
        <x:v>24</x:v>
      </x:c>
      <x:c r="AI367" t="n">
        <x:v>15</x:v>
      </x:c>
      <x:c r="AJ367" t="n">
        <x:v>1</x:v>
      </x:c>
      <x:c r="AK367" t="n">
        <x:v>240</x:v>
      </x:c>
      <x:c r="AL367" t="str">
        <x:v>Direkte elektrisk;</x:v>
      </x:c>
      <x:c r="AM367" t="n">
        <x:v>1</x:v>
      </x:c>
      <x:c r="AN367" t="n">
        <x:v>0</x:v>
      </x:c>
      <x:c r="AO367" t="n">
        <x:v>0</x:v>
      </x:c>
      <x:c r="AP367" t="n">
        <x:v>1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str">
        <x:v>energiattester_export_2025-08-14.json | PDF vedlegg side 5-7</x:v>
      </x:c>
      <x:c r="AV367" s="12" t="n">
        <x:f>IF(COUNT(O367,P367,Q367,R367,K367,L367,M367,N367)=8,O367*K367+P367*L367+Q367*M367+R367*N367,"")</x:f>
        <x:v>432.56000000000006</x:v>
      </x:c>
      <x:c r="AW367" s="12" t="n">
        <x:f>IF(AND(ISNUMBER(AV367),H367&gt;0),AV367/H367,"")</x:f>
        <x:v>0.6811968503937009</x:v>
      </x:c>
      <x:c r="AX367" s="12" t="n">
        <x:f>IF(AND(ISNUMBER(AD367),H367&gt;0),AD367*H367*3600,"")</x:f>
        <x:v>365302800</x:v>
      </x:c>
      <x:c r="AY367" s="12" t="n">
        <x:f>IF(AND(ISNUMBER(Y367),H367&gt;0),Y367*H367,"")</x:f>
        <x:v>55245</x:v>
      </x:c>
      <x:c r="AZ367" t="str">
        <x:v>Høy</x:v>
      </x:c>
    </x:row>
    <x:row r="368" ht="22" customHeight="1">
      <x:c r="A368" t="str">
        <x:v>OT-ff25ec97f1ca</x:v>
      </x:c>
      <x:c r="B368" t="n">
        <x:v>2015</x:v>
      </x:c>
      <x:c r="C368" t="str">
        <x:v>Hoteller</x:v>
      </x:c>
      <x:c r="D368" t="str">
        <x:v>HOTELLBYGNING</x:v>
      </x:c>
      <x:c r="E368" t="str">
        <x:v>D</x:v>
      </x:c>
      <x:c r="F368" t="str">
        <x:v>RED</x:v>
      </x:c>
      <x:c r="G368" t="n">
        <x:v>1988</x:v>
      </x:c>
      <x:c r="H368" t="n">
        <x:v>9580</x:v>
      </x:c>
      <x:c r="I368" t="n">
        <x:v>268.7</x:v>
      </x:c>
      <x:c r="J368" t="str">
        <x:v>PDF/avansert</x:v>
      </x:c>
      <x:c r="K368" t="n">
        <x:v>2714</x:v>
      </x:c>
      <x:c r="L368" t="n">
        <x:v>1725</x:v>
      </x:c>
      <x:c r="M368" t="n">
        <x:v>2311</x:v>
      </x:c>
      <x:c r="N368" t="n">
        <x:v>690</x:v>
      </x:c>
      <x:c r="O368" t="n">
        <x:v>0.35</x:v>
      </x:c>
      <x:c r="P368" t="n">
        <x:v>0.3</x:v>
      </x:c>
      <x:c r="Q368" t="n">
        <x:v>0.34</x:v>
      </x:c>
      <x:c r="R368" t="n">
        <x:v>1.98</x:v>
      </x:c>
      <x:c r="S368" t="n">
        <x:v>69</x:v>
      </x:c>
      <x:c r="T368" t="n">
        <x:v>69</x:v>
      </x:c>
      <x:c r="U368" t="n">
        <x:v>3.81</x:v>
      </x:c>
      <x:c r="V368" t="n">
        <x:v>1.16</x:v>
      </x:c>
      <x:c r="W368" t="n">
        <x:v>9.02</x:v>
      </x:c>
      <x:c r="X368" t="n">
        <x:v>89</x:v>
      </x:c>
      <x:c r="Y368" t="n">
        <x:v>85</x:v>
      </x:c>
      <x:c r="Z368" t="n">
        <x:v>80</x:v>
      </x:c>
      <x:c r="AA368" t="n">
        <x:v>21</x:v>
      </x:c>
      <x:c r="AB368" t="n">
        <x:v>22</x:v>
      </x:c>
      <x:c r="AC368" t="n">
        <x:v>3.3</x:v>
      </x:c>
      <x:c r="AD368" t="n">
        <x:v>70</x:v>
      </x:c>
      <x:c r="AE368" t="n">
        <x:v>0.11</x:v>
      </x:c>
      <x:c r="AF368" t="n">
        <x:v>16</x:v>
      </x:c>
      <x:c r="AG368" t="n">
        <x:v>16</x:v>
      </x:c>
      <x:c r="AH368" t="n">
        <x:v>24</x:v>
      </x:c>
      <x:c r="AI368" t="n">
        <x:v>8</x:v>
      </x:c>
      <x:c r="AJ368" t="n">
        <x:v>1</x:v>
      </x:c>
      <x:c r="AK368" t="n">
        <x:v>240</x:v>
      </x:c>
      <x:c r="AL368" t="str">
        <x:v>Direkte elektrisk;</x:v>
      </x:c>
      <x:c r="AM368" t="n">
        <x:v>1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str">
        <x:v>energiattester_export_2025-08-14.json | PDF vedlegg side 5-7</x:v>
      </x:c>
      <x:c r="AV368" s="12" t="n">
        <x:f>IF(COUNT(O368,P368,Q368,R368,K368,L368,M368,N368)=8,O368*K368+P368*L368+Q368*M368+R368*N368,"")</x:f>
        <x:v>3619.34</x:v>
      </x:c>
      <x:c r="AW368" s="12" t="n">
        <x:f>IF(AND(ISNUMBER(AV368),H368&gt;0),AV368/H368,"")</x:f>
        <x:v>0.3778016701461378</x:v>
      </x:c>
      <x:c r="AX368" s="12" t="n">
        <x:f>IF(AND(ISNUMBER(AD368),H368&gt;0),AD368*H368*3600,"")</x:f>
        <x:v>2414160000</x:v>
      </x:c>
      <x:c r="AY368" s="12" t="n">
        <x:f>IF(AND(ISNUMBER(Y368),H368&gt;0),Y368*H368,"")</x:f>
        <x:v>814300</x:v>
      </x:c>
      <x:c r="AZ368" t="str">
        <x:v>Høy</x:v>
      </x:c>
    </x:row>
    <x:row r="369" ht="22" customHeight="1">
      <x:c r="A369" t="str">
        <x:v>OT-fd2dffcffc8f</x:v>
      </x:c>
      <x:c r="B369" t="n">
        <x:v>2015</x:v>
      </x:c>
      <x:c r="C369" t="str">
        <x:v>Kontorbygg</x:v>
      </x:c>
      <x:c r="D369" t="str">
        <x:v>KONTORER, MED VENTILASJON OG KJØLEANLEGG</x:v>
      </x:c>
      <x:c r="E369" t="str">
        <x:v>F</x:v>
      </x:c>
      <x:c r="F369" t="str">
        <x:v>RED</x:v>
      </x:c>
      <x:c r="G369" t="n">
        <x:v>1978</x:v>
      </x:c>
      <x:c r="H369" t="n">
        <x:v>176</x:v>
      </x:c>
      <x:c r="I369" t="n">
        <x:v>269</x:v>
      </x:c>
      <x:c r="J369" t="str">
        <x:v>PDF/avansert</x:v>
      </x:c>
      <x:c r="K369" t="n">
        <x:v>110</x:v>
      </x:c>
      <x:c r="L369" t="n">
        <x:v>176</x:v>
      </x:c>
      <x:c r="M369" t="n">
        <x:v>176</x:v>
      </x:c>
      <x:c r="N369" t="n">
        <x:v>21</x:v>
      </x:c>
      <x:c r="O369" t="n">
        <x:v>1.1</x:v>
      </x:c>
      <x:c r="P369" t="n">
        <x:v>0.5</x:v>
      </x:c>
      <x:c r="Q369" t="n">
        <x:v>0.24</x:v>
      </x:c>
      <x:c r="R369" t="n">
        <x:v>1.43</x:v>
      </x:c>
      <x:c r="S369" t="n">
        <x:v>70</x:v>
      </x:c>
      <x:c r="T369" t="n">
        <x:v>70</x:v>
      </x:c>
      <x:c r="U369" t="n">
        <x:v>2.9</x:v>
      </x:c>
      <x:c r="V369" t="n">
        <x:v>0</x:v>
      </x:c>
      <x:c r="W369" t="n">
        <x:v>7</x:v>
      </x:c>
      <x:c r="X369" t="n">
        <x:v>98</x:v>
      </x:c>
      <x:c r="Y369" t="n">
        <x:v>60</x:v>
      </x:c>
      <x:c r="Z369" t="n">
        <x:v>0</x:v>
      </x:c>
      <x:c r="AA369" t="n">
        <x:v>21</x:v>
      </x:c>
      <x:c r="AB369" t="n">
        <x:v>22</x:v>
      </x:c>
      <x:c r="AC369" t="n">
        <x:v>5</x:v>
      </x:c>
      <x:c r="AD369" t="n">
        <x:v>69.9</x:v>
      </x:c>
      <x:c r="AE369" t="n">
        <x:v>0.4</x:v>
      </x:c>
      <x:c r="AF369" t="n">
        <x:v>12</x:v>
      </x:c>
      <x:c r="AG369" t="n">
        <x:v>12</x:v>
      </x:c>
      <x:c r="AH369" t="n">
        <x:v>24</x:v>
      </x:c>
      <x:c r="AI369" t="n">
        <x:v>8</x:v>
      </x:c>
      <x:c r="AJ369" t="n">
        <x:v>11</x:v>
      </x:c>
      <x:c r="AK369" t="n">
        <x:v>250</x:v>
      </x:c>
      <x:c r="AL369" t="str">
        <x:v>Direkte elektrisk;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1</x:v>
      </x:c>
      <x:c r="AS369" t="n">
        <x:v>0</x:v>
      </x:c>
      <x:c r="AT369" t="n">
        <x:v>1</x:v>
      </x:c>
      <x:c r="AU369" t="str">
        <x:v>energiattester_export_2025-08-14.json | PDF vedlegg side 5-7</x:v>
      </x:c>
      <x:c r="AV369" s="12" t="n">
        <x:f>IF(COUNT(O369,P369,Q369,R369,K369,L369,M369,N369)=8,O369*K369+P369*L369+Q369*M369+R369*N369,"")</x:f>
        <x:v>281.27</x:v>
      </x:c>
      <x:c r="AW369" s="12" t="n">
        <x:f>IF(AND(ISNUMBER(AV369),H369&gt;0),AV369/H369,"")</x:f>
        <x:v>1.5981249999999998</x:v>
      </x:c>
      <x:c r="AX369" s="12" t="n">
        <x:f>IF(AND(ISNUMBER(AD369),H369&gt;0),AD369*H369*3600,"")</x:f>
        <x:v>44288640.00000001</x:v>
      </x:c>
      <x:c r="AY369" s="12" t="n">
        <x:f>IF(AND(ISNUMBER(Y369),H369&gt;0),Y369*H369,"")</x:f>
        <x:v>10560</x:v>
      </x:c>
      <x:c r="AZ369" t="str">
        <x:v>Høy</x:v>
      </x:c>
    </x:row>
    <x:row r="370" ht="22" customHeight="1">
      <x:c r="A370" t="str">
        <x:v>OT-35fda965edaa</x:v>
      </x:c>
      <x:c r="B370" t="n">
        <x:v>2015</x:v>
      </x:c>
      <x:c r="C370" t="str">
        <x:v>Kontorbygg</x:v>
      </x:c>
      <x:c r="D370" t="str">
        <x:v>KONTORER, ENKLE</x:v>
      </x:c>
      <x:c r="E370" t="str">
        <x:v>B</x:v>
      </x:c>
      <x:c r="F370" t="str">
        <x:v>ORANGE</x:v>
      </x:c>
      <x:c r="G370" t="n">
        <x:v>2000</x:v>
      </x:c>
      <x:c r="H370" t="n">
        <x:v>370</x:v>
      </x:c>
      <x:c r="I370" t="n">
        <x:v>109</x:v>
      </x:c>
      <x:c r="J370" t="str">
        <x:v>PDF/avansert</x:v>
      </x:c>
      <x:c r="K370" t="n">
        <x:v>447</x:v>
      </x:c>
      <x:c r="L370" t="n">
        <x:v>370</x:v>
      </x:c>
      <x:c r="M370" t="n">
        <x:v>370</x:v>
      </x:c>
      <x:c r="N370" t="n">
        <x:v>112</x:v>
      </x:c>
      <x:c r="O370" t="n">
        <x:v>0.17</x:v>
      </x:c>
      <x:c r="P370" t="n">
        <x:v>0.13</x:v>
      </x:c>
      <x:c r="Q370" t="n">
        <x:v>0.15</x:v>
      </x:c>
      <x:c r="R370" t="n">
        <x:v>0.75</x:v>
      </x:c>
      <x:c r="S370" t="n">
        <x:v>80</x:v>
      </x:c>
      <x:c r="T370" t="n">
        <x:v>80</x:v>
      </x:c>
      <x:c r="U370" t="n">
        <x:v>2</x:v>
      </x:c>
      <x:c r="V370" t="n">
        <x:v>0.27</x:v>
      </x:c>
      <x:c r="W370" t="n">
        <x:v>10</x:v>
      </x:c>
      <x:c r="X370" t="n">
        <x:v>220</x:v>
      </x:c>
      <x:c r="Y370" t="n">
        <x:v>80</x:v>
      </x:c>
      <x:c r="Z370" t="n">
        <x:v>30</x:v>
      </x:c>
      <x:c r="AA370" t="n">
        <x:v>21</x:v>
      </x:c>
      <x:c r="AB370" t="n">
        <x:v>22</x:v>
      </x:c>
      <x:c r="AC370" t="n">
        <x:v>1.5</x:v>
      </x:c>
      <x:c r="AD370" t="n">
        <x:v>60.4</x:v>
      </x:c>
      <x:c r="AE370" t="n">
        <x:v>0.06</x:v>
      </x:c>
      <x:c r="AF370" t="n">
        <x:v>12</x:v>
      </x:c>
      <x:c r="AG370" t="n">
        <x:v>12</x:v>
      </x:c>
      <x:c r="AH370" t="n">
        <x:v>24</x:v>
      </x:c>
      <x:c r="AI370" t="n">
        <x:v>8</x:v>
      </x:c>
      <x:c r="AJ370" t="n">
        <x:v>11</x:v>
      </x:c>
      <x:c r="AK370" t="n">
        <x:v>250</x:v>
      </x:c>
      <x:c r="AL370" t="str">
        <x:v>Varmepumpe;</x:v>
      </x:c>
      <x:c r="AM370"/>
      <x:c r="AN370"/>
      <x:c r="AO370"/>
      <x:c r="AP370"/>
      <x:c r="AQ370"/>
      <x:c r="AR370"/>
      <x:c r="AS370"/>
      <x:c r="AT370"/>
      <x:c r="AU370" t="str">
        <x:v>energiattester_export_2025-08-14.json | PDF vedlegg side 5-7</x:v>
      </x:c>
      <x:c r="AV370" s="12" t="n">
        <x:f>IF(COUNT(O370,P370,Q370,R370,K370,L370,M370,N370)=8,O370*K370+P370*L370+Q370*M370+R370*N370,"")</x:f>
        <x:v>263.59000000000003</x:v>
      </x:c>
      <x:c r="AW370" s="12" t="n">
        <x:f>IF(AND(ISNUMBER(AV370),H370&gt;0),AV370/H370,"")</x:f>
        <x:v>0.7124054054054055</x:v>
      </x:c>
      <x:c r="AX370" s="12" t="n">
        <x:f>IF(AND(ISNUMBER(AD370),H370&gt;0),AD370*H370*3600,"")</x:f>
        <x:v>80452800</x:v>
      </x:c>
      <x:c r="AY370" s="12" t="n">
        <x:f>IF(AND(ISNUMBER(Y370),H370&gt;0),Y370*H370,"")</x:f>
        <x:v>29600</x:v>
      </x:c>
      <x:c r="AZ370" t="str">
        <x:v>Høy</x:v>
      </x:c>
    </x:row>
    <x:row r="371" ht="22" customHeight="1">
      <x:c r="A371" t="str">
        <x:v>OT-cdd932cf65fb</x:v>
      </x:c>
      <x:c r="B371" t="n">
        <x:v>2015</x:v>
      </x:c>
      <x:c r="C371" t="str">
        <x:v>Kontorbygg</x:v>
      </x:c>
      <x:c r="D371" t="str">
        <x:v>KONTORER, MED VENTILASJON OG KJØLEANLEGG</x:v>
      </x:c>
      <x:c r="E371" t="str">
        <x:v>E</x:v>
      </x:c>
      <x:c r="F371" t="str">
        <x:v>RED</x:v>
      </x:c>
      <x:c r="G371" t="n">
        <x:v>1983</x:v>
      </x:c>
      <x:c r="H371" t="n">
        <x:v>4209</x:v>
      </x:c>
      <x:c r="I371" t="n">
        <x:v>194.3</x:v>
      </x:c>
      <x:c r="J371" t="str">
        <x:v>PDF/avansert</x:v>
      </x:c>
      <x:c r="K371" t="n">
        <x:v>1639</x:v>
      </x:c>
      <x:c r="L371" t="n">
        <x:v>957</x:v>
      </x:c>
      <x:c r="M371" t="n">
        <x:v>868</x:v>
      </x:c>
      <x:c r="N371" t="n">
        <x:v>479</x:v>
      </x:c>
      <x:c r="O371" t="n">
        <x:v>0.23</x:v>
      </x:c>
      <x:c r="P371" t="n">
        <x:v>0.15</x:v>
      </x:c>
      <x:c r="Q371" t="n">
        <x:v>0.13</x:v>
      </x:c>
      <x:c r="R371" t="n">
        <x:v>1.44</x:v>
      </x:c>
      <x:c r="S371" t="n">
        <x:v>80</x:v>
      </x:c>
      <x:c r="T371" t="n">
        <x:v>79</x:v>
      </x:c>
      <x:c r="U371" t="n">
        <x:v>2</x:v>
      </x:c>
      <x:c r="V371" t="n">
        <x:v>0.48</x:v>
      </x:c>
      <x:c r="W371" t="n">
        <x:v>9.3</x:v>
      </x:c>
      <x:c r="X371" t="n">
        <x:v>78</x:v>
      </x:c>
      <x:c r="Y371" t="n">
        <x:v>124</x:v>
      </x:c>
      <x:c r="Z371" t="n">
        <x:v>85</x:v>
      </x:c>
      <x:c r="AA371" t="n">
        <x:v>21</x:v>
      </x:c>
      <x:c r="AB371" t="n">
        <x:v>22</x:v>
      </x:c>
      <x:c r="AC371" t="n">
        <x:v>7</x:v>
      </x:c>
      <x:c r="AD371" t="n">
        <x:v>89.8</x:v>
      </x:c>
      <x:c r="AE371" t="n">
        <x:v>0.11</x:v>
      </x:c>
      <x:c r="AF371" t="n">
        <x:v>12</x:v>
      </x:c>
      <x:c r="AG371" t="n">
        <x:v>12</x:v>
      </x:c>
      <x:c r="AH371" t="n">
        <x:v>24</x:v>
      </x:c>
      <x:c r="AI371" t="n">
        <x:v>8</x:v>
      </x:c>
      <x:c r="AJ371" t="n">
        <x:v>11</x:v>
      </x:c>
      <x:c r="AK371" t="n">
        <x:v>240</x:v>
      </x:c>
      <x:c r="AL371" t="str">
        <x:v>Direkte elektrisk; Olje;</x:v>
      </x:c>
      <x:c r="AM371"/>
      <x:c r="AN371"/>
      <x:c r="AO371"/>
      <x:c r="AP371"/>
      <x:c r="AQ371"/>
      <x:c r="AR371"/>
      <x:c r="AS371"/>
      <x:c r="AT371"/>
      <x:c r="AU371" t="str">
        <x:v>energiattester_export_2025-08-14.json | PDF vedlegg side 5-7</x:v>
      </x:c>
      <x:c r="AV371" s="12" t="n">
        <x:f>IF(COUNT(O371,P371,Q371,R371,K371,L371,M371,N371)=8,O371*K371+P371*L371+Q371*M371+R371*N371,"")</x:f>
        <x:v>1323.12</x:v>
      </x:c>
      <x:c r="AW371" s="12" t="n">
        <x:f>IF(AND(ISNUMBER(AV371),H371&gt;0),AV371/H371,"")</x:f>
        <x:v>0.3143549536707056</x:v>
      </x:c>
      <x:c r="AX371" s="12" t="n">
        <x:f>IF(AND(ISNUMBER(AD371),H371&gt;0),AD371*H371*3600,"")</x:f>
        <x:v>1360685520</x:v>
      </x:c>
      <x:c r="AY371" s="12" t="n">
        <x:f>IF(AND(ISNUMBER(Y371),H371&gt;0),Y371*H371,"")</x:f>
        <x:v>521916</x:v>
      </x:c>
      <x:c r="AZ371" t="str">
        <x:v>Høy</x:v>
      </x:c>
    </x:row>
    <x:row r="372" ht="22" customHeight="1">
      <x:c r="A372" t="str">
        <x:v>OT-90879e17af8d</x:v>
      </x:c>
      <x:c r="B372" t="n">
        <x:v>2015</x:v>
      </x:c>
      <x:c r="C372" t="str">
        <x:v>Hoteller</x:v>
      </x:c>
      <x:c r="D372" t="str">
        <x:v>HOTELLBYGNING</x:v>
      </x:c>
      <x:c r="E372" t="str">
        <x:v>D</x:v>
      </x:c>
      <x:c r="F372" t="str">
        <x:v>ORANGE</x:v>
      </x:c>
      <x:c r="G372" t="n">
        <x:v>1990</x:v>
      </x:c>
      <x:c r="H372" t="n">
        <x:v>15100</x:v>
      </x:c>
      <x:c r="I372" t="n">
        <x:v>244.7</x:v>
      </x:c>
      <x:c r="J372" t="str">
        <x:v>PDF/avansert</x:v>
      </x:c>
      <x:c r="K372" t="n">
        <x:v>4294</x:v>
      </x:c>
      <x:c r="L372" t="n">
        <x:v>3882</x:v>
      </x:c>
      <x:c r="M372" t="n">
        <x:v>3759</x:v>
      </x:c>
      <x:c r="N372" t="n">
        <x:v>1962</x:v>
      </x:c>
      <x:c r="O372" t="n">
        <x:v>0.29</x:v>
      </x:c>
      <x:c r="P372" t="n">
        <x:v>0.38</x:v>
      </x:c>
      <x:c r="Q372" t="n">
        <x:v>0.13</x:v>
      </x:c>
      <x:c r="R372" t="n">
        <x:v>2.02</x:v>
      </x:c>
      <x:c r="S372" t="n">
        <x:v>70</x:v>
      </x:c>
      <x:c r="T372" t="n">
        <x:v>70</x:v>
      </x:c>
      <x:c r="U372" t="n">
        <x:v>2</x:v>
      </x:c>
      <x:c r="V372" t="n">
        <x:v>0.32</x:v>
      </x:c>
      <x:c r="W372" t="n">
        <x:v>14</x:v>
      </x:c>
      <x:c r="X372" t="n">
        <x:v>179</x:v>
      </x:c>
      <x:c r="Y372" t="n">
        <x:v>80</x:v>
      </x:c>
      <x:c r="Z372" t="n">
        <x:v>30</x:v>
      </x:c>
      <x:c r="AA372" t="n">
        <x:v>21</x:v>
      </x:c>
      <x:c r="AB372" t="n">
        <x:v>22</x:v>
      </x:c>
      <x:c r="AC372" t="n">
        <x:v>2.8</x:v>
      </x:c>
      <x:c r="AD372" t="n">
        <x:v>42.4</x:v>
      </x:c>
      <x:c r="AE372" t="n">
        <x:v>0.18</x:v>
      </x:c>
      <x:c r="AF372" t="n">
        <x:v>16</x:v>
      </x:c>
      <x:c r="AG372" t="n">
        <x:v>16</x:v>
      </x:c>
      <x:c r="AH372" t="n">
        <x:v>24</x:v>
      </x:c>
      <x:c r="AI372" t="n">
        <x:v>8</x:v>
      </x:c>
      <x:c r="AJ372" t="n">
        <x:v>1</x:v>
      </x:c>
      <x:c r="AK372" t="n">
        <x:v>250</x:v>
      </x:c>
      <x:c r="AL372" t="str">
        <x:v>Direkte elektrisk; Varmepumpe;</x:v>
      </x:c>
      <x:c r="AM372" t="n">
        <x:v>0</x:v>
      </x:c>
      <x:c r="AN372" t="n">
        <x:v>0</x:v>
      </x:c>
      <x:c r="AO372" t="n">
        <x:v>1</x:v>
      </x:c>
      <x:c r="AP372" t="n">
        <x:v>0</x:v>
      </x:c>
      <x:c r="AQ372" t="n">
        <x:v>0</x:v>
      </x:c>
      <x:c r="AR372" t="n">
        <x:v>1</x:v>
      </x:c>
      <x:c r="AS372" t="n">
        <x:v>0</x:v>
      </x:c>
      <x:c r="AT372" t="n">
        <x:v>0</x:v>
      </x:c>
      <x:c r="AU372" t="str">
        <x:v>energiattester_export_2025-08-14.json | PDF vedlegg side 5-7</x:v>
      </x:c>
      <x:c r="AV372" s="12" t="n">
        <x:f>IF(COUNT(O372,P372,Q372,R372,K372,L372,M372,N372)=8,O372*K372+P372*L372+Q372*M372+R372*N372,"")</x:f>
        <x:v>7172.33</x:v>
      </x:c>
      <x:c r="AW372" s="12" t="n">
        <x:f>IF(AND(ISNUMBER(AV372),H372&gt;0),AV372/H372,"")</x:f>
        <x:v>0.4749887417218543</x:v>
      </x:c>
      <x:c r="AX372" s="12" t="n">
        <x:f>IF(AND(ISNUMBER(AD372),H372&gt;0),AD372*H372*3600,"")</x:f>
        <x:v>2304864000</x:v>
      </x:c>
      <x:c r="AY372" s="12" t="n">
        <x:f>IF(AND(ISNUMBER(Y372),H372&gt;0),Y372*H372,"")</x:f>
        <x:v>1208000</x:v>
      </x:c>
      <x:c r="AZ372" t="str">
        <x:v>Høy</x:v>
      </x:c>
    </x:row>
    <x:row r="373" ht="22" customHeight="1">
      <x:c r="A373" t="str">
        <x:v>OT-6547190c9481</x:v>
      </x:c>
      <x:c r="B373" t="n">
        <x:v>2015</x:v>
      </x:c>
      <x:c r="C373" t="str">
        <x:v>Kontorbygg</x:v>
      </x:c>
      <x:c r="D373" t="str">
        <x:v>KONTORER, ENKLE</x:v>
      </x:c>
      <x:c r="E373" t="str">
        <x:v>F</x:v>
      </x:c>
      <x:c r="F373" t="str">
        <x:v>RED</x:v>
      </x:c>
      <x:c r="G373" t="n">
        <x:v>2000</x:v>
      </x:c>
      <x:c r="H373" t="n">
        <x:v>290</x:v>
      </x:c>
      <x:c r="I373" t="n">
        <x:v>240</x:v>
      </x:c>
      <x:c r="J373" t="str">
        <x:v>PDF/avansert</x:v>
      </x:c>
      <x:c r="K373" t="n">
        <x:v>308</x:v>
      </x:c>
      <x:c r="L373" t="n">
        <x:v>330</x:v>
      </x:c>
      <x:c r="M373" t="n">
        <x:v>187</x:v>
      </x:c>
      <x:c r="N373" t="n">
        <x:v>49</x:v>
      </x:c>
      <x:c r="O373" t="n">
        <x:v>0.38</x:v>
      </x:c>
      <x:c r="P373" t="n">
        <x:v>0.4</x:v>
      </x:c>
      <x:c r="Q373" t="n">
        <x:v>0.2</x:v>
      </x:c>
      <x:c r="R373" t="n">
        <x:v>2.75</x:v>
      </x:c>
      <x:c r="S373" t="n">
        <x:v>70</x:v>
      </x:c>
      <x:c r="T373" t="n">
        <x:v>70</x:v>
      </x:c>
      <x:c r="U373" t="n">
        <x:v>3.3</x:v>
      </x:c>
      <x:c r="V373" t="n">
        <x:v>0</x:v>
      </x:c>
      <x:c r="W373" t="n">
        <x:v>9</x:v>
      </x:c>
      <x:c r="X373" t="n">
        <x:v>98</x:v>
      </x:c>
      <x:c r="Y373" t="n">
        <x:v>97</x:v>
      </x:c>
      <x:c r="Z373" t="n">
        <x:v>0</x:v>
      </x:c>
      <x:c r="AA373" t="n">
        <x:v>21</x:v>
      </x:c>
      <x:c r="AB373" t="n">
        <x:v>22</x:v>
      </x:c>
      <x:c r="AC373" t="n">
        <x:v>3</x:v>
      </x:c>
      <x:c r="AD373" t="n">
        <x:v>46.1</x:v>
      </x:c>
      <x:c r="AE373" t="n">
        <x:v>0.1</x:v>
      </x:c>
      <x:c r="AF373" t="n">
        <x:v>12</x:v>
      </x:c>
      <x:c r="AG373" t="n">
        <x:v>12</x:v>
      </x:c>
      <x:c r="AH373" t="n">
        <x:v>24</x:v>
      </x:c>
      <x:c r="AI373" t="n">
        <x:v>8</x:v>
      </x:c>
      <x:c r="AJ373" t="n">
        <x:v>11</x:v>
      </x:c>
      <x:c r="AK373" t="n">
        <x:v>250</x:v>
      </x:c>
      <x:c r="AL373" t="str">
        <x:v>Direkte elektrisk;</x:v>
      </x:c>
      <x:c r="AM373" t="n">
        <x:v>0</x:v>
      </x:c>
      <x:c r="AN373" t="n">
        <x:v>0</x:v>
      </x:c>
      <x:c r="AO373" t="n">
        <x:v>1</x:v>
      </x:c>
      <x:c r="AP373" t="n">
        <x:v>1</x:v>
      </x:c>
      <x:c r="AQ373" t="n">
        <x:v>0</x:v>
      </x:c>
      <x:c r="AR373" t="n">
        <x:v>1</x:v>
      </x:c>
      <x:c r="AS373" t="n">
        <x:v>0</x:v>
      </x:c>
      <x:c r="AT373" t="n">
        <x:v>1</x:v>
      </x:c>
      <x:c r="AU373" t="str">
        <x:v>energiattester_export_2025-08-14.json | PDF vedlegg side 5-7</x:v>
      </x:c>
      <x:c r="AV373" s="12" t="n">
        <x:f>IF(COUNT(O373,P373,Q373,R373,K373,L373,M373,N373)=8,O373*K373+P373*L373+Q373*M373+R373*N373,"")</x:f>
        <x:v>421.19</x:v>
      </x:c>
      <x:c r="AW373" s="12" t="n">
        <x:f>IF(AND(ISNUMBER(AV373),H373&gt;0),AV373/H373,"")</x:f>
        <x:v>1.4523793103448275</x:v>
      </x:c>
      <x:c r="AX373" s="12" t="n">
        <x:f>IF(AND(ISNUMBER(AD373),H373&gt;0),AD373*H373*3600,"")</x:f>
        <x:v>48128400</x:v>
      </x:c>
      <x:c r="AY373" s="12" t="n">
        <x:f>IF(AND(ISNUMBER(Y373),H373&gt;0),Y373*H373,"")</x:f>
        <x:v>28130</x:v>
      </x:c>
      <x:c r="AZ373" t="str">
        <x:v>Høy</x:v>
      </x:c>
    </x:row>
    <x:row r="374" ht="22" customHeight="1">
      <x:c r="A374" t="str">
        <x:v>OT-4729cf417fe6</x:v>
      </x:c>
      <x:c r="B374" t="n">
        <x:v>2015</x:v>
      </x:c>
      <x:c r="C374" t="str">
        <x:v>Kontorbygg</x:v>
      </x:c>
      <x:c r="D374" t="str">
        <x:v>KONTORER, ENKLE</x:v>
      </x:c>
      <x:c r="E374" t="str">
        <x:v>G</x:v>
      </x:c>
      <x:c r="F374" t="str">
        <x:v>RED</x:v>
      </x:c>
      <x:c r="G374" t="n">
        <x:v>1900</x:v>
      </x:c>
      <x:c r="H374" t="n">
        <x:v>196</x:v>
      </x:c>
      <x:c r="I374" t="n">
        <x:v>408</x:v>
      </x:c>
      <x:c r="J374" t="str">
        <x:v>PDF/avansert</x:v>
      </x:c>
      <x:c r="K374" t="n">
        <x:v>210</x:v>
      </x:c>
      <x:c r="L374" t="n">
        <x:v>196</x:v>
      </x:c>
      <x:c r="M374" t="n">
        <x:v>0</x:v>
      </x:c>
      <x:c r="N374" t="n">
        <x:v>23</x:v>
      </x:c>
      <x:c r="O374" t="n">
        <x:v>1.5</x:v>
      </x:c>
      <x:c r="P374" t="n">
        <x:v>0.47</x:v>
      </x:c>
      <x:c r="Q374" t="n">
        <x:v>0</x:v>
      </x:c>
      <x:c r="R374" t="n">
        <x:v>2.39</x:v>
      </x:c>
      <x:c r="S374" t="n">
        <x:v>70</x:v>
      </x:c>
      <x:c r="T374" t="n">
        <x:v>70</x:v>
      </x:c>
      <x:c r="U374" t="n">
        <x:v>4.3</x:v>
      </x:c>
      <x:c r="V374" t="n">
        <x:v>0</x:v>
      </x:c>
      <x:c r="W374" t="n">
        <x:v>7.5</x:v>
      </x:c>
      <x:c r="X374" t="n">
        <x:v>98</x:v>
      </x:c>
      <x:c r="Y374" t="n">
        <x:v>63</x:v>
      </x:c>
      <x:c r="Z374" t="n">
        <x:v>0</x:v>
      </x:c>
      <x:c r="AA374" t="n">
        <x:v>21</x:v>
      </x:c>
      <x:c r="AB374" t="n">
        <x:v>22</x:v>
      </x:c>
      <x:c r="AC374" t="n">
        <x:v>12</x:v>
      </x:c>
      <x:c r="AD374" t="n">
        <x:v>148.5</x:v>
      </x:c>
      <x:c r="AE374" t="n">
        <x:v>0.9</x:v>
      </x:c>
      <x:c r="AF374" t="n">
        <x:v>12</x:v>
      </x:c>
      <x:c r="AG374" t="n">
        <x:v>12</x:v>
      </x:c>
      <x:c r="AH374" t="n">
        <x:v>24</x:v>
      </x:c>
      <x:c r="AI374" t="n">
        <x:v>8</x:v>
      </x:c>
      <x:c r="AJ374" t="n">
        <x:v>11</x:v>
      </x:c>
      <x:c r="AK374" t="n">
        <x:v>250</x:v>
      </x:c>
      <x:c r="AL374" t="str">
        <x:v>Direkte elektrisk;</x:v>
      </x:c>
      <x:c r="AM374" t="n">
        <x:v>0</x:v>
      </x:c>
      <x:c r="AN374" t="n">
        <x:v>0</x:v>
      </x:c>
      <x:c r="AO374" t="n">
        <x:v>0</x:v>
      </x:c>
      <x:c r="AP374" t="n">
        <x:v>1</x:v>
      </x:c>
      <x:c r="AQ374" t="n">
        <x:v>0</x:v>
      </x:c>
      <x:c r="AR374" t="n">
        <x:v>1</x:v>
      </x:c>
      <x:c r="AS374" t="n">
        <x:v>0</x:v>
      </x:c>
      <x:c r="AT374" t="n">
        <x:v>1</x:v>
      </x:c>
      <x:c r="AU374" t="str">
        <x:v>energiattester_export_2025-08-14.json | PDF vedlegg side 5-7</x:v>
      </x:c>
      <x:c r="AV374" s="12" t="n">
        <x:f>IF(COUNT(O374,P374,Q374,R374,K374,L374,M374,N374)=8,O374*K374+P374*L374+Q374*M374+R374*N374,"")</x:f>
        <x:v>462.09000000000003</x:v>
      </x:c>
      <x:c r="AW374" s="12" t="n">
        <x:f>IF(AND(ISNUMBER(AV374),H374&gt;0),AV374/H374,"")</x:f>
        <x:v>2.3576020408163267</x:v>
      </x:c>
      <x:c r="AX374" s="12" t="n">
        <x:f>IF(AND(ISNUMBER(AD374),H374&gt;0),AD374*H374*3600,"")</x:f>
        <x:v>104781600</x:v>
      </x:c>
      <x:c r="AY374" s="12" t="n">
        <x:f>IF(AND(ISNUMBER(Y374),H374&gt;0),Y374*H374,"")</x:f>
        <x:v>12348</x:v>
      </x:c>
      <x:c r="AZ374" t="str">
        <x:v>Høy</x:v>
      </x:c>
    </x:row>
    <x:row r="375" ht="22" customHeight="1">
      <x:c r="A375" t="str">
        <x:v>OT-75b1b3b29a3b</x:v>
      </x:c>
      <x:c r="B375" t="n">
        <x:v>2015</x:v>
      </x:c>
      <x:c r="C375" t="str">
        <x:v>Forretningsbygg</x:v>
      </x:c>
      <x:c r="D375" t="str">
        <x:v>BUTIKK</x:v>
      </x:c>
      <x:c r="E375" t="str">
        <x:v>G</x:v>
      </x:c>
      <x:c r="F375" t="str">
        <x:v>RED</x:v>
      </x:c>
      <x:c r="G375" t="n">
        <x:v>1900</x:v>
      </x:c>
      <x:c r="H375" t="n">
        <x:v>211</x:v>
      </x:c>
      <x:c r="I375" t="n">
        <x:v>411</x:v>
      </x:c>
      <x:c r="J375" t="str">
        <x:v>PDF/avansert</x:v>
      </x:c>
      <x:c r="K375" t="n">
        <x:v>190</x:v>
      </x:c>
      <x:c r="L375" t="n">
        <x:v>0</x:v>
      </x:c>
      <x:c r="M375" t="n">
        <x:v>211</x:v>
      </x:c>
      <x:c r="N375" t="n">
        <x:v>25</x:v>
      </x:c>
      <x:c r="O375" t="n">
        <x:v>1.5</x:v>
      </x:c>
      <x:c r="P375" t="n">
        <x:v>0</x:v>
      </x:c>
      <x:c r="Q375" t="n">
        <x:v>0.56</x:v>
      </x:c>
      <x:c r="R375" t="n">
        <x:v>2.12</x:v>
      </x:c>
      <x:c r="S375" t="n">
        <x:v>70</x:v>
      </x:c>
      <x:c r="T375" t="n">
        <x:v>70</x:v>
      </x:c>
      <x:c r="U375" t="n">
        <x:v>4.3</x:v>
      </x:c>
      <x:c r="V375" t="n">
        <x:v>0</x:v>
      </x:c>
      <x:c r="W375" t="n">
        <x:v>5</x:v>
      </x:c>
      <x:c r="X375" t="n">
        <x:v>98</x:v>
      </x:c>
      <x:c r="Y375" t="n">
        <x:v>63</x:v>
      </x:c>
      <x:c r="Z375" t="n">
        <x:v>0</x:v>
      </x:c>
      <x:c r="AA375" t="n">
        <x:v>21</x:v>
      </x:c>
      <x:c r="AB375" t="n">
        <x:v>22</x:v>
      </x:c>
      <x:c r="AC375" t="n">
        <x:v>12</x:v>
      </x:c>
      <x:c r="AD375" t="n">
        <x:v>147.3</x:v>
      </x:c>
      <x:c r="AE375" t="n">
        <x:v>0.9</x:v>
      </x:c>
      <x:c r="AF375" t="n">
        <x:v>12</x:v>
      </x:c>
      <x:c r="AG375" t="n">
        <x:v>12</x:v>
      </x:c>
      <x:c r="AH375" t="n">
        <x:v>24</x:v>
      </x:c>
      <x:c r="AI375" t="n">
        <x:v>15</x:v>
      </x:c>
      <x:c r="AJ375" t="n">
        <x:v>1</x:v>
      </x:c>
      <x:c r="AK375" t="n">
        <x:v>250</x:v>
      </x:c>
      <x:c r="AL375" t="str">
        <x:v>Direkte elektrisk;</x:v>
      </x:c>
      <x:c r="AM375" t="n">
        <x:v>0</x:v>
      </x:c>
      <x:c r="AN375" t="n">
        <x:v>0</x:v>
      </x:c>
      <x:c r="AO375" t="n">
        <x:v>0</x:v>
      </x:c>
      <x:c r="AP375" t="n">
        <x:v>1</x:v>
      </x:c>
      <x:c r="AQ375" t="n">
        <x:v>0</x:v>
      </x:c>
      <x:c r="AR375" t="n">
        <x:v>1</x:v>
      </x:c>
      <x:c r="AS375" t="n">
        <x:v>0</x:v>
      </x:c>
      <x:c r="AT375" t="n">
        <x:v>1</x:v>
      </x:c>
      <x:c r="AU375" t="str">
        <x:v>energiattester_export_2025-08-14.json | PDF vedlegg side 5-7</x:v>
      </x:c>
      <x:c r="AV375" s="12" t="n">
        <x:f>IF(COUNT(O375,P375,Q375,R375,K375,L375,M375,N375)=8,O375*K375+P375*L375+Q375*M375+R375*N375,"")</x:f>
        <x:v>456.16</x:v>
      </x:c>
      <x:c r="AW375" s="12" t="n">
        <x:f>IF(AND(ISNUMBER(AV375),H375&gt;0),AV375/H375,"")</x:f>
        <x:v>2.1618957345971563</x:v>
      </x:c>
      <x:c r="AX375" s="12" t="n">
        <x:f>IF(AND(ISNUMBER(AD375),H375&gt;0),AD375*H375*3600,"")</x:f>
        <x:v>111889080.00000001</x:v>
      </x:c>
      <x:c r="AY375" s="12" t="n">
        <x:f>IF(AND(ISNUMBER(Y375),H375&gt;0),Y375*H375,"")</x:f>
        <x:v>13293</x:v>
      </x:c>
      <x:c r="AZ375" t="str">
        <x:v>Høy</x:v>
      </x:c>
    </x:row>
    <x:row r="376" ht="22" customHeight="1">
      <x:c r="A376" t="str">
        <x:v>OT-66cf903f9993</x:v>
      </x:c>
      <x:c r="B376" t="n">
        <x:v>2015</x:v>
      </x:c>
      <x:c r="C376" t="str">
        <x:v>Kontorbygg</x:v>
      </x:c>
      <x:c r="D376" t="str">
        <x:v>KONTORER, MED VENTILASJON OG KJØLEANLEGG</x:v>
      </x:c>
      <x:c r="E376" t="str">
        <x:v>G</x:v>
      </x:c>
      <x:c r="F376" t="str">
        <x:v>RED</x:v>
      </x:c>
      <x:c r="G376" t="n">
        <x:v>1900</x:v>
      </x:c>
      <x:c r="H376" t="n">
        <x:v>82</x:v>
      </x:c>
      <x:c r="I376" t="n">
        <x:v>397</x:v>
      </x:c>
      <x:c r="J376" t="str">
        <x:v>PDF/avansert</x:v>
      </x:c>
      <x:c r="K376" t="n">
        <x:v>111</x:v>
      </x:c>
      <x:c r="L376" t="n">
        <x:v>0</x:v>
      </x:c>
      <x:c r="M376" t="n">
        <x:v>0</x:v>
      </x:c>
      <x:c r="N376" t="n">
        <x:v>10</x:v>
      </x:c>
      <x:c r="O376" t="n">
        <x:v>1.5</x:v>
      </x:c>
      <x:c r="P376" t="n">
        <x:v>0</x:v>
      </x:c>
      <x:c r="Q376" t="n">
        <x:v>0</x:v>
      </x:c>
      <x:c r="R376" t="n">
        <x:v>1.54</x:v>
      </x:c>
      <x:c r="S376" t="n">
        <x:v>75</x:v>
      </x:c>
      <x:c r="T376" t="n">
        <x:v>75</x:v>
      </x:c>
      <x:c r="U376" t="n">
        <x:v>2</x:v>
      </x:c>
      <x:c r="V376" t="n">
        <x:v>0</x:v>
      </x:c>
      <x:c r="W376" t="n">
        <x:v>7</x:v>
      </x:c>
      <x:c r="X376" t="n">
        <x:v>98</x:v>
      </x:c>
      <x:c r="Y376" t="n">
        <x:v>80</x:v>
      </x:c>
      <x:c r="Z376" t="n">
        <x:v>0</x:v>
      </x:c>
      <x:c r="AA376" t="n">
        <x:v>21</x:v>
      </x:c>
      <x:c r="AB376" t="n">
        <x:v>22</x:v>
      </x:c>
      <x:c r="AC376" t="n">
        <x:v>12</x:v>
      </x:c>
      <x:c r="AD376" t="n">
        <x:v>106.4</x:v>
      </x:c>
      <x:c r="AE376" t="n">
        <x:v>0.9</x:v>
      </x:c>
      <x:c r="AF376" t="n">
        <x:v>12</x:v>
      </x:c>
      <x:c r="AG376" t="n">
        <x:v>12</x:v>
      </x:c>
      <x:c r="AH376" t="n">
        <x:v>24</x:v>
      </x:c>
      <x:c r="AI376" t="n">
        <x:v>8</x:v>
      </x:c>
      <x:c r="AJ376" t="n">
        <x:v>11</x:v>
      </x:c>
      <x:c r="AK376" t="n">
        <x:v>250</x:v>
      </x:c>
      <x:c r="AL376" t="str">
        <x:v>Direkte elektrisk;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1</x:v>
      </x:c>
      <x:c r="AS376" t="n">
        <x:v>0</x:v>
      </x:c>
      <x:c r="AT376" t="n">
        <x:v>1</x:v>
      </x:c>
      <x:c r="AU376" t="str">
        <x:v>energiattester_export_2025-08-14.json | PDF vedlegg side 5-7</x:v>
      </x:c>
      <x:c r="AV376" s="12" t="n">
        <x:f>IF(COUNT(O376,P376,Q376,R376,K376,L376,M376,N376)=8,O376*K376+P376*L376+Q376*M376+R376*N376,"")</x:f>
        <x:v>181.9</x:v>
      </x:c>
      <x:c r="AW376" s="12" t="n">
        <x:f>IF(AND(ISNUMBER(AV376),H376&gt;0),AV376/H376,"")</x:f>
        <x:v>2.2182926829268292</x:v>
      </x:c>
      <x:c r="AX376" s="12" t="n">
        <x:f>IF(AND(ISNUMBER(AD376),H376&gt;0),AD376*H376*3600,"")</x:f>
        <x:v>31409280.000000004</x:v>
      </x:c>
      <x:c r="AY376" s="12" t="n">
        <x:f>IF(AND(ISNUMBER(Y376),H376&gt;0),Y376*H376,"")</x:f>
        <x:v>6560</x:v>
      </x:c>
      <x:c r="AZ376" t="str">
        <x:v>Høy</x:v>
      </x:c>
    </x:row>
    <x:row r="377" ht="22" customHeight="1">
      <x:c r="A377" t="str">
        <x:v>OT-7a64d19b5a60</x:v>
      </x:c>
      <x:c r="B377" t="n">
        <x:v>2015</x:v>
      </x:c>
      <x:c r="C377" t="str">
        <x:v>Forretningsbygg</x:v>
      </x:c>
      <x:c r="D377" t="str">
        <x:v>BUTIKK</x:v>
      </x:c>
      <x:c r="E377" t="str">
        <x:v>G</x:v>
      </x:c>
      <x:c r="F377" t="str">
        <x:v>RED</x:v>
      </x:c>
      <x:c r="G377" t="n">
        <x:v>1900</x:v>
      </x:c>
      <x:c r="H377" t="n">
        <x:v>243</x:v>
      </x:c>
      <x:c r="I377" t="n">
        <x:v>401</x:v>
      </x:c>
      <x:c r="J377" t="str">
        <x:v>PDF/avansert</x:v>
      </x:c>
      <x:c r="K377" t="n">
        <x:v>217</x:v>
      </x:c>
      <x:c r="L377" t="n">
        <x:v>0</x:v>
      </x:c>
      <x:c r="M377" t="n">
        <x:v>243</x:v>
      </x:c>
      <x:c r="N377" t="n">
        <x:v>57</x:v>
      </x:c>
      <x:c r="O377" t="n">
        <x:v>1.5</x:v>
      </x:c>
      <x:c r="P377" t="n">
        <x:v>0</x:v>
      </x:c>
      <x:c r="Q377" t="n">
        <x:v>0.33</x:v>
      </x:c>
      <x:c r="R377" t="n">
        <x:v>2.58</x:v>
      </x:c>
      <x:c r="S377" t="n">
        <x:v>75</x:v>
      </x:c>
      <x:c r="T377" t="n">
        <x:v>75</x:v>
      </x:c>
      <x:c r="U377" t="n">
        <x:v>2.7</x:v>
      </x:c>
      <x:c r="V377" t="n">
        <x:v>0</x:v>
      </x:c>
      <x:c r="W377" t="n">
        <x:v>8.2</x:v>
      </x:c>
      <x:c r="X377" t="n">
        <x:v>95</x:v>
      </x:c>
      <x:c r="Y377" t="n">
        <x:v>61</x:v>
      </x:c>
      <x:c r="Z377" t="n">
        <x:v>0</x:v>
      </x:c>
      <x:c r="AA377" t="n">
        <x:v>21</x:v>
      </x:c>
      <x:c r="AB377" t="n">
        <x:v>22</x:v>
      </x:c>
      <x:c r="AC377" t="n">
        <x:v>12</x:v>
      </x:c>
      <x:c r="AD377" t="n">
        <x:v>100.3</x:v>
      </x:c>
      <x:c r="AE377" t="n">
        <x:v>0.9</x:v>
      </x:c>
      <x:c r="AF377" t="n">
        <x:v>12</x:v>
      </x:c>
      <x:c r="AG377" t="n">
        <x:v>12</x:v>
      </x:c>
      <x:c r="AH377" t="n">
        <x:v>24</x:v>
      </x:c>
      <x:c r="AI377" t="n">
        <x:v>15</x:v>
      </x:c>
      <x:c r="AJ377" t="n">
        <x:v>1</x:v>
      </x:c>
      <x:c r="AK377" t="n">
        <x:v>250</x:v>
      </x:c>
      <x:c r="AL377" t="str">
        <x:v>Direkte elektrisk;</x:v>
      </x:c>
      <x:c r="AM377" t="n">
        <x:v>0</x:v>
      </x:c>
      <x:c r="AN377" t="n">
        <x:v>0</x:v>
      </x:c>
      <x:c r="AO377" t="n">
        <x:v>0</x:v>
      </x:c>
      <x:c r="AP377" t="n">
        <x:v>1</x:v>
      </x:c>
      <x:c r="AQ377" t="n">
        <x:v>0</x:v>
      </x:c>
      <x:c r="AR377" t="n">
        <x:v>1</x:v>
      </x:c>
      <x:c r="AS377" t="n">
        <x:v>0</x:v>
      </x:c>
      <x:c r="AT377" t="n">
        <x:v>1</x:v>
      </x:c>
      <x:c r="AU377" t="str">
        <x:v>energiattester_export_2025-08-14.json | PDF vedlegg side 5-7</x:v>
      </x:c>
      <x:c r="AV377" s="12" t="n">
        <x:f>IF(COUNT(O377,P377,Q377,R377,K377,L377,M377,N377)=8,O377*K377+P377*L377+Q377*M377+R377*N377,"")</x:f>
        <x:v>552.75</x:v>
      </x:c>
      <x:c r="AW377" s="12" t="n">
        <x:f>IF(AND(ISNUMBER(AV377),H377&gt;0),AV377/H377,"")</x:f>
        <x:v>2.2746913580246915</x:v>
      </x:c>
      <x:c r="AX377" s="12" t="n">
        <x:f>IF(AND(ISNUMBER(AD377),H377&gt;0),AD377*H377*3600,"")</x:f>
        <x:v>87742439.99999999</x:v>
      </x:c>
      <x:c r="AY377" s="12" t="n">
        <x:f>IF(AND(ISNUMBER(Y377),H377&gt;0),Y377*H377,"")</x:f>
        <x:v>14823</x:v>
      </x:c>
      <x:c r="AZ377" t="str">
        <x:v>Høy</x:v>
      </x:c>
    </x:row>
    <x:row r="378" ht="22" customHeight="1">
      <x:c r="A378" t="str">
        <x:v>OT-42ae415e27c5</x:v>
      </x:c>
      <x:c r="B378" t="n">
        <x:v>2015</x:v>
      </x:c>
      <x:c r="C378" t="str">
        <x:v>Hoteller</x:v>
      </x:c>
      <x:c r="D378" t="str">
        <x:v>HOTELLBYGNING</x:v>
      </x:c>
      <x:c r="E378" t="str">
        <x:v>F</x:v>
      </x:c>
      <x:c r="F378" t="str">
        <x:v>RED</x:v>
      </x:c>
      <x:c r="G378" t="n">
        <x:v>1961</x:v>
      </x:c>
      <x:c r="H378" t="n">
        <x:v>5911</x:v>
      </x:c>
      <x:c r="I378" t="n">
        <x:v>352.7</x:v>
      </x:c>
      <x:c r="J378" t="str">
        <x:v>PDF/avansert</x:v>
      </x:c>
      <x:c r="K378" t="n">
        <x:v>1907</x:v>
      </x:c>
      <x:c r="L378" t="n">
        <x:v>1789</x:v>
      </x:c>
      <x:c r="M378" t="n">
        <x:v>1841</x:v>
      </x:c>
      <x:c r="N378" t="n">
        <x:v>573</x:v>
      </x:c>
      <x:c r="O378" t="n">
        <x:v>0.57</x:v>
      </x:c>
      <x:c r="P378" t="n">
        <x:v>0.61</x:v>
      </x:c>
      <x:c r="Q378" t="n">
        <x:v>0.14</x:v>
      </x:c>
      <x:c r="R378" t="n">
        <x:v>2.12</x:v>
      </x:c>
      <x:c r="S378" t="n">
        <x:v>22</x:v>
      </x:c>
      <x:c r="T378" t="n">
        <x:v>22</x:v>
      </x:c>
      <x:c r="U378" t="n">
        <x:v>4</x:v>
      </x:c>
      <x:c r="V378" t="n">
        <x:v>0.43</x:v>
      </x:c>
      <x:c r="W378" t="n">
        <x:v>7</x:v>
      </x:c>
      <x:c r="X378" t="n">
        <x:v>93</x:v>
      </x:c>
      <x:c r="Y378" t="n">
        <x:v>155</x:v>
      </x:c>
      <x:c r="Z378" t="n">
        <x:v>0</x:v>
      </x:c>
      <x:c r="AA378" t="n">
        <x:v>21</x:v>
      </x:c>
      <x:c r="AB378" t="n">
        <x:v>22</x:v>
      </x:c>
      <x:c r="AC378" t="n">
        <x:v>2.08</x:v>
      </x:c>
      <x:c r="AD378" t="n">
        <x:v>57.7</x:v>
      </x:c>
      <x:c r="AE378" t="n">
        <x:v>0.09</x:v>
      </x:c>
      <x:c r="AF378" t="n">
        <x:v>16</x:v>
      </x:c>
      <x:c r="AG378" t="n">
        <x:v>16</x:v>
      </x:c>
      <x:c r="AH378" t="n">
        <x:v>24</x:v>
      </x:c>
      <x:c r="AI378" t="n">
        <x:v>8</x:v>
      </x:c>
      <x:c r="AJ378" t="n">
        <x:v>1</x:v>
      </x:c>
      <x:c r="AK378" t="n">
        <x:v>250</x:v>
      </x:c>
      <x:c r="AL378" t="str">
        <x:v>Direkte elektrisk; Varmepumpe;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str">
        <x:v>energiattester_export_2025-08-14.json | PDF vedlegg side 5-7</x:v>
      </x:c>
      <x:c r="AV378" s="12" t="n">
        <x:f>IF(COUNT(O378,P378,Q378,R378,K378,L378,M378,N378)=8,O378*K378+P378*L378+Q378*M378+R378*N378,"")</x:f>
        <x:v>3650.7799999999997</x:v>
      </x:c>
      <x:c r="AW378" s="12" t="n">
        <x:f>IF(AND(ISNUMBER(AV378),H378&gt;0),AV378/H378,"")</x:f>
        <x:v>0.6176247673828456</x:v>
      </x:c>
      <x:c r="AX378" s="12" t="n">
        <x:f>IF(AND(ISNUMBER(AD378),H378&gt;0),AD378*H378*3600,"")</x:f>
        <x:v>1227832920</x:v>
      </x:c>
      <x:c r="AY378" s="12" t="n">
        <x:f>IF(AND(ISNUMBER(Y378),H378&gt;0),Y378*H378,"")</x:f>
        <x:v>916205</x:v>
      </x:c>
      <x:c r="AZ378" t="str">
        <x:v>Høy</x:v>
      </x:c>
    </x:row>
    <x:row r="379" ht="22" customHeight="1">
      <x:c r="A379" t="str">
        <x:v>OT-660aad25e3a8</x:v>
      </x:c>
      <x:c r="B379" t="n">
        <x:v>2015</x:v>
      </x:c>
      <x:c r="C379" t="str">
        <x:v>Kontorbygg</x:v>
      </x:c>
      <x:c r="D379" t="str">
        <x:v>KONTORER, MED VENTILASJON OG KJØLEANLEGG</x:v>
      </x:c>
      <x:c r="E379" t="str">
        <x:v>D</x:v>
      </x:c>
      <x:c r="F379" t="str">
        <x:v>RED</x:v>
      </x:c>
      <x:c r="G379" t="n">
        <x:v>1989</x:v>
      </x:c>
      <x:c r="H379" t="n">
        <x:v>491</x:v>
      </x:c>
      <x:c r="I379" t="n">
        <x:v>180</x:v>
      </x:c>
      <x:c r="J379" t="str">
        <x:v>PDF/avansert</x:v>
      </x:c>
      <x:c r="K379" t="n">
        <x:v>339</x:v>
      </x:c>
      <x:c r="L379" t="n">
        <x:v>306</x:v>
      </x:c>
      <x:c r="M379" t="n">
        <x:v>307</x:v>
      </x:c>
      <x:c r="N379" t="n">
        <x:v>62</x:v>
      </x:c>
      <x:c r="O379" t="n">
        <x:v>0.24</x:v>
      </x:c>
      <x:c r="P379" t="n">
        <x:v>0.19</x:v>
      </x:c>
      <x:c r="Q379" t="n">
        <x:v>0.14</x:v>
      </x:c>
      <x:c r="R379" t="n">
        <x:v>2</x:v>
      </x:c>
      <x:c r="S379" t="n">
        <x:v>70</x:v>
      </x:c>
      <x:c r="T379" t="n">
        <x:v>70</x:v>
      </x:c>
      <x:c r="U379" t="n">
        <x:v>3</x:v>
      </x:c>
      <x:c r="V379" t="n">
        <x:v>0.28</x:v>
      </x:c>
      <x:c r="W379" t="n">
        <x:v>10</x:v>
      </x:c>
      <x:c r="X379" t="n">
        <x:v>90</x:v>
      </x:c>
      <x:c r="Y379" t="n">
        <x:v>80</x:v>
      </x:c>
      <x:c r="Z379" t="n">
        <x:v>0</x:v>
      </x:c>
      <x:c r="AA379" t="n">
        <x:v>21</x:v>
      </x:c>
      <x:c r="AB379" t="n">
        <x:v>22</x:v>
      </x:c>
      <x:c r="AC379" t="n">
        <x:v>2.1</x:v>
      </x:c>
      <x:c r="AD379" t="n">
        <x:v>24.5</x:v>
      </x:c>
      <x:c r="AE379" t="n">
        <x:v>0.05</x:v>
      </x:c>
      <x:c r="AF379" t="n">
        <x:v>12</x:v>
      </x:c>
      <x:c r="AG379" t="n">
        <x:v>12</x:v>
      </x:c>
      <x:c r="AH379" t="n">
        <x:v>24</x:v>
      </x:c>
      <x:c r="AI379" t="n">
        <x:v>8</x:v>
      </x:c>
      <x:c r="AJ379" t="n">
        <x:v>11</x:v>
      </x:c>
      <x:c r="AK379" t="n">
        <x:v>250</x:v>
      </x:c>
      <x:c r="AL379" t="str">
        <x:v>Direkte elektrisk;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1</x:v>
      </x:c>
      <x:c r="AS379" t="n">
        <x:v>1</x:v>
      </x:c>
      <x:c r="AT379" t="n">
        <x:v>0</x:v>
      </x:c>
      <x:c r="AU379" t="str">
        <x:v>energiattester_export_2025-08-14.json | PDF vedlegg side 5-7</x:v>
      </x:c>
      <x:c r="AV379" s="12" t="n">
        <x:f>IF(COUNT(O379,P379,Q379,R379,K379,L379,M379,N379)=8,O379*K379+P379*L379+Q379*M379+R379*N379,"")</x:f>
        <x:v>306.48</x:v>
      </x:c>
      <x:c r="AW379" s="12" t="n">
        <x:f>IF(AND(ISNUMBER(AV379),H379&gt;0),AV379/H379,"")</x:f>
        <x:v>0.6241955193482689</x:v>
      </x:c>
      <x:c r="AX379" s="12" t="n">
        <x:f>IF(AND(ISNUMBER(AD379),H379&gt;0),AD379*H379*3600,"")</x:f>
        <x:v>43306200</x:v>
      </x:c>
      <x:c r="AY379" s="12" t="n">
        <x:f>IF(AND(ISNUMBER(Y379),H379&gt;0),Y379*H379,"")</x:f>
        <x:v>39280</x:v>
      </x:c>
      <x:c r="AZ379" t="str">
        <x:v>Høy</x:v>
      </x:c>
    </x:row>
    <x:row r="380" ht="22" customHeight="1">
      <x:c r="A380" t="str">
        <x:v>OT-f8526e981386</x:v>
      </x:c>
      <x:c r="B380" t="n">
        <x:v>2015</x:v>
      </x:c>
      <x:c r="C380" t="str">
        <x:v>Kontorbygg</x:v>
      </x:c>
      <x:c r="D380" t="str">
        <x:v>KONTORER, ENKLE</x:v>
      </x:c>
      <x:c r="E380" t="str">
        <x:v>G</x:v>
      </x:c>
      <x:c r="F380" t="str">
        <x:v>RED</x:v>
      </x:c>
      <x:c r="G380" t="n">
        <x:v>1981</x:v>
      </x:c>
      <x:c r="H380" t="n">
        <x:v>936</x:v>
      </x:c>
      <x:c r="I380" t="n">
        <x:v>323.4</x:v>
      </x:c>
      <x:c r="J380" t="str">
        <x:v>PDF/avansert</x:v>
      </x:c>
      <x:c r="K380" t="n">
        <x:v>106</x:v>
      </x:c>
      <x:c r="L380" t="n">
        <x:v>936</x:v>
      </x:c>
      <x:c r="M380" t="n">
        <x:v>0</x:v>
      </x:c>
      <x:c r="N380" t="n">
        <x:v>84</x:v>
      </x:c>
      <x:c r="O380" t="n">
        <x:v>0.5</x:v>
      </x:c>
      <x:c r="P380" t="n">
        <x:v>0.4</x:v>
      </x:c>
      <x:c r="Q380" t="n">
        <x:v>0</x:v>
      </x:c>
      <x:c r="R380" t="n">
        <x:v>2.8</x:v>
      </x:c>
      <x:c r="S380" t="n">
        <x:v>35</x:v>
      </x:c>
      <x:c r="T380" t="n">
        <x:v>35</x:v>
      </x:c>
      <x:c r="U380" t="n">
        <x:v>5.75</x:v>
      </x:c>
      <x:c r="V380" t="n">
        <x:v>0.38</x:v>
      </x:c>
      <x:c r="W380" t="n">
        <x:v>8</x:v>
      </x:c>
      <x:c r="X380" t="n">
        <x:v>70</x:v>
      </x:c>
      <x:c r="Y380" t="n">
        <x:v>110</x:v>
      </x:c>
      <x:c r="Z380" t="n">
        <x:v>0</x:v>
      </x:c>
      <x:c r="AA380" t="n">
        <x:v>21</x:v>
      </x:c>
      <x:c r="AB380" t="n">
        <x:v>22</x:v>
      </x:c>
      <x:c r="AC380" t="n">
        <x:v>5</x:v>
      </x:c>
      <x:c r="AD380" t="n">
        <x:v>67.3</x:v>
      </x:c>
      <x:c r="AE380" t="n">
        <x:v>0.15</x:v>
      </x:c>
      <x:c r="AF380" t="n">
        <x:v>12</x:v>
      </x:c>
      <x:c r="AG380" t="n">
        <x:v>12</x:v>
      </x:c>
      <x:c r="AH380" t="n">
        <x:v>24</x:v>
      </x:c>
      <x:c r="AI380" t="n">
        <x:v>8</x:v>
      </x:c>
      <x:c r="AJ380" t="n">
        <x:v>11</x:v>
      </x:c>
      <x:c r="AK380" t="n">
        <x:v>250</x:v>
      </x:c>
      <x:c r="AL380" t="str">
        <x:v>Direkte elektrisk;</x:v>
      </x:c>
      <x:c r="AM380" t="n">
        <x:v>0</x:v>
      </x:c>
      <x:c r="AN380" t="n">
        <x:v>0</x:v>
      </x:c>
      <x:c r="AO380" t="n">
        <x:v>1</x:v>
      </x:c>
      <x:c r="AP380" t="n">
        <x:v>0</x:v>
      </x:c>
      <x:c r="AQ380" t="n">
        <x:v>0</x:v>
      </x:c>
      <x:c r="AR380" t="n">
        <x:v>1</x:v>
      </x:c>
      <x:c r="AS380" t="n">
        <x:v>1</x:v>
      </x:c>
      <x:c r="AT380" t="n">
        <x:v>1</x:v>
      </x:c>
      <x:c r="AU380" t="str">
        <x:v>energiattester_export_2025-08-14.json | PDF vedlegg side 5-7</x:v>
      </x:c>
      <x:c r="AV380" s="12" t="n">
        <x:f>IF(COUNT(O380,P380,Q380,R380,K380,L380,M380,N380)=8,O380*K380+P380*L380+Q380*M380+R380*N380,"")</x:f>
        <x:v>662.6</x:v>
      </x:c>
      <x:c r="AW380" s="12" t="n">
        <x:f>IF(AND(ISNUMBER(AV380),H380&gt;0),AV380/H380,"")</x:f>
        <x:v>0.707905982905983</x:v>
      </x:c>
      <x:c r="AX380" s="12" t="n">
        <x:f>IF(AND(ISNUMBER(AD380),H380&gt;0),AD380*H380*3600,"")</x:f>
        <x:v>226774079.99999997</x:v>
      </x:c>
      <x:c r="AY380" s="12" t="n">
        <x:f>IF(AND(ISNUMBER(Y380),H380&gt;0),Y380*H380,"")</x:f>
        <x:v>102960</x:v>
      </x:c>
      <x:c r="AZ380" t="str">
        <x:v>Høy</x:v>
      </x:c>
    </x:row>
    <x:row r="381" ht="22" customHeight="1">
      <x:c r="A381" t="str">
        <x:v>OT-81b1289ca9c2</x:v>
      </x:c>
      <x:c r="B381" t="n">
        <x:v>2015</x:v>
      </x:c>
      <x:c r="C381" t="str">
        <x:v>Kontorbygg</x:v>
      </x:c>
      <x:c r="D381" t="str">
        <x:v>KONTORER, ENKLE</x:v>
      </x:c>
      <x:c r="E381" t="str">
        <x:v>E</x:v>
      </x:c>
      <x:c r="F381" t="str">
        <x:v>RED</x:v>
      </x:c>
      <x:c r="G381" t="n">
        <x:v>1985</x:v>
      </x:c>
      <x:c r="H381" t="n">
        <x:v>2567</x:v>
      </x:c>
      <x:c r="I381" t="n">
        <x:v>199.9</x:v>
      </x:c>
      <x:c r="J381" t="str">
        <x:v>PDF/avansert</x:v>
      </x:c>
      <x:c r="K381" t="n">
        <x:v>863</x:v>
      </x:c>
      <x:c r="L381" t="n">
        <x:v>944</x:v>
      </x:c>
      <x:c r="M381" t="n">
        <x:v>812</x:v>
      </x:c>
      <x:c r="N381" t="n">
        <x:v>556</x:v>
      </x:c>
      <x:c r="O381" t="n">
        <x:v>0.45</x:v>
      </x:c>
      <x:c r="P381" t="n">
        <x:v>0.23</x:v>
      </x:c>
      <x:c r="Q381" t="n">
        <x:v>0.23</x:v>
      </x:c>
      <x:c r="R381" t="n">
        <x:v>2.58</x:v>
      </x:c>
      <x:c r="S381" t="n">
        <x:v>32</x:v>
      </x:c>
      <x:c r="T381" t="n">
        <x:v>32</x:v>
      </x:c>
      <x:c r="U381" t="n">
        <x:v>1.94</x:v>
      </x:c>
      <x:c r="V381" t="n">
        <x:v>0.49</x:v>
      </x:c>
      <x:c r="W381" t="n">
        <x:v>7</x:v>
      </x:c>
      <x:c r="X381" t="n">
        <x:v>98</x:v>
      </x:c>
      <x:c r="Y381" t="n">
        <x:v>101</x:v>
      </x:c>
      <x:c r="Z381" t="n">
        <x:v>0</x:v>
      </x:c>
      <x:c r="AA381" t="n">
        <x:v>21</x:v>
      </x:c>
      <x:c r="AB381" t="n">
        <x:v>22</x:v>
      </x:c>
      <x:c r="AC381" t="n">
        <x:v>1.5</x:v>
      </x:c>
      <x:c r="AD381" t="n">
        <x:v>23.5</x:v>
      </x:c>
      <x:c r="AE381" t="n">
        <x:v>0.12</x:v>
      </x:c>
      <x:c r="AF381" t="n">
        <x:v>12</x:v>
      </x:c>
      <x:c r="AG381" t="n">
        <x:v>12</x:v>
      </x:c>
      <x:c r="AH381" t="n">
        <x:v>24</x:v>
      </x:c>
      <x:c r="AI381" t="n">
        <x:v>8</x:v>
      </x:c>
      <x:c r="AJ381" t="n">
        <x:v>11</x:v>
      </x:c>
      <x:c r="AK381" t="n">
        <x:v>250</x:v>
      </x:c>
      <x:c r="AL381" t="str">
        <x:v>Direkte elektrisk;</x:v>
      </x:c>
      <x:c r="AM381" t="n">
        <x:v>0</x:v>
      </x:c>
      <x:c r="AN381" t="n">
        <x:v>0</x:v>
      </x:c>
      <x:c r="AO381" t="n">
        <x:v>0</x:v>
      </x:c>
      <x:c r="AP381" t="n">
        <x:v>1</x:v>
      </x:c>
      <x:c r="AQ381" t="n">
        <x:v>0</x:v>
      </x:c>
      <x:c r="AR381" t="n">
        <x:v>1</x:v>
      </x:c>
      <x:c r="AS381" t="n">
        <x:v>1</x:v>
      </x:c>
      <x:c r="AT381" t="n">
        <x:v>1</x:v>
      </x:c>
      <x:c r="AU381" t="str">
        <x:v>energiattester_export_2025-08-14.json | PDF vedlegg side 5-7</x:v>
      </x:c>
      <x:c r="AV381" s="12" t="n">
        <x:f>IF(COUNT(O381,P381,Q381,R381,K381,L381,M381,N381)=8,O381*K381+P381*L381+Q381*M381+R381*N381,"")</x:f>
        <x:v>2226.71</x:v>
      </x:c>
      <x:c r="AW381" s="12" t="n">
        <x:f>IF(AND(ISNUMBER(AV381),H381&gt;0),AV381/H381,"")</x:f>
        <x:v>0.8674366965329178</x:v>
      </x:c>
      <x:c r="AX381" s="12" t="n">
        <x:f>IF(AND(ISNUMBER(AD381),H381&gt;0),AD381*H381*3600,"")</x:f>
        <x:v>217168200</x:v>
      </x:c>
      <x:c r="AY381" s="12" t="n">
        <x:f>IF(AND(ISNUMBER(Y381),H381&gt;0),Y381*H381,"")</x:f>
        <x:v>259267</x:v>
      </x:c>
      <x:c r="AZ381" t="str">
        <x:v>Høy</x:v>
      </x:c>
    </x:row>
    <x:row r="382" ht="22" customHeight="1">
      <x:c r="A382" t="str">
        <x:v>OT-4c06027aea8f</x:v>
      </x:c>
      <x:c r="B382" t="n">
        <x:v>2015</x:v>
      </x:c>
      <x:c r="C382" t="str">
        <x:v>Kontorbygg</x:v>
      </x:c>
      <x:c r="D382" t="str">
        <x:v>KONTORER, MED VENTILASJON OG KJØLEANLEGG</x:v>
      </x:c>
      <x:c r="E382" t="str">
        <x:v>D</x:v>
      </x:c>
      <x:c r="F382" t="str">
        <x:v>RED</x:v>
      </x:c>
      <x:c r="G382" t="n">
        <x:v>2007</x:v>
      </x:c>
      <x:c r="H382" t="n">
        <x:v>539</x:v>
      </x:c>
      <x:c r="I382" t="n">
        <x:v>177.3</x:v>
      </x:c>
      <x:c r="J382" t="str">
        <x:v>PDF/avansert</x:v>
      </x:c>
      <x:c r="K382" t="n">
        <x:v>330</x:v>
      </x:c>
      <x:c r="L382" t="n">
        <x:v>382</x:v>
      </x:c>
      <x:c r="M382" t="n">
        <x:v>382</x:v>
      </x:c>
      <x:c r="N382" t="n">
        <x:v>76</x:v>
      </x:c>
      <x:c r="O382" t="n">
        <x:v>0.25</x:v>
      </x:c>
      <x:c r="P382" t="n">
        <x:v>0.19</x:v>
      </x:c>
      <x:c r="Q382" t="n">
        <x:v>0.17</x:v>
      </x:c>
      <x:c r="R382" t="n">
        <x:v>1.57</x:v>
      </x:c>
      <x:c r="S382" t="n">
        <x:v>85</x:v>
      </x:c>
      <x:c r="T382" t="n">
        <x:v>84</x:v>
      </x:c>
      <x:c r="U382" t="n">
        <x:v>2.55</x:v>
      </x:c>
      <x:c r="V382" t="n">
        <x:v>0</x:v>
      </x:c>
      <x:c r="W382" t="n">
        <x:v>11.57</x:v>
      </x:c>
      <x:c r="X382" t="n">
        <x:v>91</x:v>
      </x:c>
      <x:c r="Y382" t="n">
        <x:v>80</x:v>
      </x:c>
      <x:c r="Z382" t="n">
        <x:v>0</x:v>
      </x:c>
      <x:c r="AA382" t="n">
        <x:v>21</x:v>
      </x:c>
      <x:c r="AB382" t="n">
        <x:v>22</x:v>
      </x:c>
      <x:c r="AC382" t="n">
        <x:v>4.3</x:v>
      </x:c>
      <x:c r="AD382" t="n">
        <x:v>50.6</x:v>
      </x:c>
      <x:c r="AE382" t="n">
        <x:v>0.05</x:v>
      </x:c>
      <x:c r="AF382" t="n">
        <x:v>12</x:v>
      </x:c>
      <x:c r="AG382" t="n">
        <x:v>12</x:v>
      </x:c>
      <x:c r="AH382" t="n">
        <x:v>24</x:v>
      </x:c>
      <x:c r="AI382" t="n">
        <x:v>8</x:v>
      </x:c>
      <x:c r="AJ382" t="n">
        <x:v>11</x:v>
      </x:c>
      <x:c r="AK382" t="n">
        <x:v>250</x:v>
      </x:c>
      <x:c r="AL382" t="str">
        <x:v>Direkte elektrisk;</x:v>
      </x:c>
      <x:c r="AM382" t="n">
        <x:v>0</x:v>
      </x:c>
      <x:c r="AN382" t="n">
        <x:v>0</x:v>
      </x:c>
      <x:c r="AO382" t="n">
        <x:v>1</x:v>
      </x:c>
      <x:c r="AP382" t="n">
        <x:v>1</x:v>
      </x:c>
      <x:c r="AQ382" t="n">
        <x:v>0</x:v>
      </x:c>
      <x:c r="AR382" t="n">
        <x:v>1</x:v>
      </x:c>
      <x:c r="AS382" t="n">
        <x:v>1</x:v>
      </x:c>
      <x:c r="AT382" t="n">
        <x:v>1</x:v>
      </x:c>
      <x:c r="AU382" t="str">
        <x:v>energiattester_export_2025-08-14.json | PDF vedlegg side 5-7</x:v>
      </x:c>
      <x:c r="AV382" s="12" t="n">
        <x:f>IF(COUNT(O382,P382,Q382,R382,K382,L382,M382,N382)=8,O382*K382+P382*L382+Q382*M382+R382*N382,"")</x:f>
        <x:v>339.34</x:v>
      </x:c>
      <x:c r="AW382" s="12" t="n">
        <x:f>IF(AND(ISNUMBER(AV382),H382&gt;0),AV382/H382,"")</x:f>
        <x:v>0.6295732838589981</x:v>
      </x:c>
      <x:c r="AX382" s="12" t="n">
        <x:f>IF(AND(ISNUMBER(AD382),H382&gt;0),AD382*H382*3600,"")</x:f>
        <x:v>98184240</x:v>
      </x:c>
      <x:c r="AY382" s="12" t="n">
        <x:f>IF(AND(ISNUMBER(Y382),H382&gt;0),Y382*H382,"")</x:f>
        <x:v>43120</x:v>
      </x:c>
      <x:c r="AZ382" t="str">
        <x:v>Høy</x:v>
      </x:c>
    </x:row>
    <x:row r="383" ht="22" customHeight="1">
      <x:c r="A383" t="str">
        <x:v>OT-92aecf9c6327</x:v>
      </x:c>
      <x:c r="B383" t="n">
        <x:v>2015</x:v>
      </x:c>
      <x:c r="C383" t="str">
        <x:v>Kontorbygg</x:v>
      </x:c>
      <x:c r="D383" t="str">
        <x:v>KONTORER, MED VENTILASJON OG KJØLEANLEGG</x:v>
      </x:c>
      <x:c r="E383" t="str">
        <x:v>G</x:v>
      </x:c>
      <x:c r="F383" t="str">
        <x:v>RED</x:v>
      </x:c>
      <x:c r="G383" t="n">
        <x:v>1989</x:v>
      </x:c>
      <x:c r="H383" t="n">
        <x:v>2150</x:v>
      </x:c>
      <x:c r="I383" t="n">
        <x:v>327.7</x:v>
      </x:c>
      <x:c r="J383" t="str">
        <x:v>PDF/avansert</x:v>
      </x:c>
      <x:c r="K383" t="n">
        <x:v>679</x:v>
      </x:c>
      <x:c r="L383" t="n">
        <x:v>2150</x:v>
      </x:c>
      <x:c r="M383" t="n">
        <x:v>2150</x:v>
      </x:c>
      <x:c r="N383" t="n">
        <x:v>325</x:v>
      </x:c>
      <x:c r="O383" t="n">
        <x:v>0.3</x:v>
      </x:c>
      <x:c r="P383" t="n">
        <x:v>0.16</x:v>
      </x:c>
      <x:c r="Q383" t="n">
        <x:v>0.28</x:v>
      </x:c>
      <x:c r="R383" t="n">
        <x:v>2.4</x:v>
      </x:c>
      <x:c r="S383" t="n">
        <x:v>43</x:v>
      </x:c>
      <x:c r="T383" t="n">
        <x:v>43</x:v>
      </x:c>
      <x:c r="U383" t="n">
        <x:v>3.96</x:v>
      </x:c>
      <x:c r="V383" t="n">
        <x:v>0.33</x:v>
      </x:c>
      <x:c r="W383" t="n">
        <x:v>9.2</x:v>
      </x:c>
      <x:c r="X383" t="n">
        <x:v>81</x:v>
      </x:c>
      <x:c r="Y383" t="n">
        <x:v>90</x:v>
      </x:c>
      <x:c r="Z383" t="n">
        <x:v>35</x:v>
      </x:c>
      <x:c r="AA383" t="n">
        <x:v>21</x:v>
      </x:c>
      <x:c r="AB383" t="n">
        <x:v>22</x:v>
      </x:c>
      <x:c r="AC383" t="n">
        <x:v>5</x:v>
      </x:c>
      <x:c r="AD383" t="n">
        <x:v>49.9</x:v>
      </x:c>
      <x:c r="AE383" t="n">
        <x:v>0.12</x:v>
      </x:c>
      <x:c r="AF383" t="n">
        <x:v>12</x:v>
      </x:c>
      <x:c r="AG383" t="n">
        <x:v>12</x:v>
      </x:c>
      <x:c r="AH383" t="n">
        <x:v>24</x:v>
      </x:c>
      <x:c r="AI383" t="n">
        <x:v>8</x:v>
      </x:c>
      <x:c r="AJ383" t="n">
        <x:v>11</x:v>
      </x:c>
      <x:c r="AK383" t="n">
        <x:v>250</x:v>
      </x:c>
      <x:c r="AL383" t="str">
        <x:v>Direkte elektrisk;</x:v>
      </x:c>
      <x:c r="AM383" t="n">
        <x:v>1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1</x:v>
      </x:c>
      <x:c r="AU383" t="str">
        <x:v>energiattester_export_2025-08-14.json | PDF vedlegg side 5-7</x:v>
      </x:c>
      <x:c r="AV383" s="12" t="n">
        <x:f>IF(COUNT(O383,P383,Q383,R383,K383,L383,M383,N383)=8,O383*K383+P383*L383+Q383*M383+R383*N383,"")</x:f>
        <x:v>1929.7000000000003</x:v>
      </x:c>
      <x:c r="AW383" s="12" t="n">
        <x:f>IF(AND(ISNUMBER(AV383),H383&gt;0),AV383/H383,"")</x:f>
        <x:v>0.8975348837209304</x:v>
      </x:c>
      <x:c r="AX383" s="12" t="n">
        <x:f>IF(AND(ISNUMBER(AD383),H383&gt;0),AD383*H383*3600,"")</x:f>
        <x:v>386226000</x:v>
      </x:c>
      <x:c r="AY383" s="12" t="n">
        <x:f>IF(AND(ISNUMBER(Y383),H383&gt;0),Y383*H383,"")</x:f>
        <x:v>193500</x:v>
      </x:c>
      <x:c r="AZ383" t="str">
        <x:v>Høy</x:v>
      </x:c>
    </x:row>
    <x:row r="384" ht="22" customHeight="1">
      <x:c r="A384" t="str">
        <x:v>OT-6b3b18e9a321</x:v>
      </x:c>
      <x:c r="B384" t="n">
        <x:v>2015</x:v>
      </x:c>
      <x:c r="C384" t="str">
        <x:v>Kontorbygg</x:v>
      </x:c>
      <x:c r="D384" t="str">
        <x:v>KONTORER, MED VENTILASJON OG KJØLEANLEGG</x:v>
      </x:c>
      <x:c r="E384" t="str">
        <x:v>D</x:v>
      </x:c>
      <x:c r="F384" t="str">
        <x:v>RED</x:v>
      </x:c>
      <x:c r="G384" t="n">
        <x:v>1998</x:v>
      </x:c>
      <x:c r="H384" t="n">
        <x:v>412</x:v>
      </x:c>
      <x:c r="I384" t="n">
        <x:v>1</x:v>
      </x:c>
      <x:c r="J384" t="str">
        <x:v>PDF/avansert</x:v>
      </x:c>
      <x:c r="K384" t="n">
        <x:v>143</x:v>
      </x:c>
      <x:c r="L384" t="n">
        <x:v>260</x:v>
      </x:c>
      <x:c r="M384" t="n">
        <x:v>207</x:v>
      </x:c>
      <x:c r="N384" t="n">
        <x:v>52</x:v>
      </x:c>
      <x:c r="O384" t="n">
        <x:v>0.22</x:v>
      </x:c>
      <x:c r="P384" t="n">
        <x:v>0.15</x:v>
      </x:c>
      <x:c r="Q384" t="n">
        <x:v>0.11</x:v>
      </x:c>
      <x:c r="R384" t="n">
        <x:v>1.64</x:v>
      </x:c>
      <x:c r="S384" t="n">
        <x:v>70</x:v>
      </x:c>
      <x:c r="T384" t="n">
        <x:v>70</x:v>
      </x:c>
      <x:c r="U384" t="n">
        <x:v>6.7</x:v>
      </x:c>
      <x:c r="V384" t="n">
        <x:v>0.85</x:v>
      </x:c>
      <x:c r="W384" t="n">
        <x:v>7</x:v>
      </x:c>
      <x:c r="X384" t="n">
        <x:v>98</x:v>
      </x:c>
      <x:c r="Y384" t="n">
        <x:v>80</x:v>
      </x:c>
      <x:c r="Z384" t="n">
        <x:v>0</x:v>
      </x:c>
      <x:c r="AA384" t="n">
        <x:v>21</x:v>
      </x:c>
      <x:c r="AB384" t="n">
        <x:v>22</x:v>
      </x:c>
      <x:c r="AC384" t="n">
        <x:v>3.5</x:v>
      </x:c>
      <x:c r="AD384" t="n">
        <x:v>38</x:v>
      </x:c>
      <x:c r="AE384" t="n">
        <x:v>0.05</x:v>
      </x:c>
      <x:c r="AF384"/>
      <x:c r="AG384"/>
      <x:c r="AH384"/>
      <x:c r="AI384"/>
      <x:c r="AJ384"/>
      <x:c r="AK384" t="n">
        <x:v>250</x:v>
      </x:c>
      <x:c r="AL384"/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1</x:v>
      </x:c>
      <x:c r="AS384" t="n">
        <x:v>1</x:v>
      </x:c>
      <x:c r="AT384" t="n">
        <x:v>1</x:v>
      </x:c>
      <x:c r="AU384" t="str">
        <x:v>energiattester_export_2025-08-14.json | PDF vedlegg side 5-7</x:v>
      </x:c>
      <x:c r="AV384" s="12" t="n">
        <x:f>IF(COUNT(O384,P384,Q384,R384,K384,L384,M384,N384)=8,O384*K384+P384*L384+Q384*M384+R384*N384,"")</x:f>
        <x:v>178.51</x:v>
      </x:c>
      <x:c r="AW384" s="12" t="n">
        <x:f>IF(AND(ISNUMBER(AV384),H384&gt;0),AV384/H384,"")</x:f>
        <x:v>0.4332766990291262</x:v>
      </x:c>
      <x:c r="AX384" s="12" t="n">
        <x:f>IF(AND(ISNUMBER(AD384),H384&gt;0),AD384*H384*3600,"")</x:f>
        <x:v>56361600</x:v>
      </x:c>
      <x:c r="AY384" s="12" t="n">
        <x:f>IF(AND(ISNUMBER(Y384),H384&gt;0),Y384*H384,"")</x:f>
        <x:v>32960</x:v>
      </x:c>
      <x:c r="AZ384" t="str">
        <x:v>Høy</x:v>
      </x:c>
    </x:row>
    <x:row r="385" ht="22" customHeight="1">
      <x:c r="A385" t="str">
        <x:v>OT-ba5d7280c586</x:v>
      </x:c>
      <x:c r="B385" t="n">
        <x:v>2015</x:v>
      </x:c>
      <x:c r="C385" t="str">
        <x:v>Kontorbygg</x:v>
      </x:c>
      <x:c r="D385" t="str">
        <x:v>KONTORER, MED VENTILASJON OG KJØLEANLEGG</x:v>
      </x:c>
      <x:c r="E385" t="str">
        <x:v>E</x:v>
      </x:c>
      <x:c r="F385" t="str">
        <x:v>RED</x:v>
      </x:c>
      <x:c r="G385" t="n">
        <x:v>1993</x:v>
      </x:c>
      <x:c r="H385" t="n">
        <x:v>296</x:v>
      </x:c>
      <x:c r="I385" t="n">
        <x:v>1</x:v>
      </x:c>
      <x:c r="J385" t="str">
        <x:v>PDF/avansert</x:v>
      </x:c>
      <x:c r="K385" t="n">
        <x:v>129</x:v>
      </x:c>
      <x:c r="L385" t="n">
        <x:v>208</x:v>
      </x:c>
      <x:c r="M385" t="n">
        <x:v>184</x:v>
      </x:c>
      <x:c r="N385" t="n">
        <x:v>39</x:v>
      </x:c>
      <x:c r="O385" t="n">
        <x:v>0.3</x:v>
      </x:c>
      <x:c r="P385" t="n">
        <x:v>0.2</x:v>
      </x:c>
      <x:c r="Q385" t="n">
        <x:v>0.14</x:v>
      </x:c>
      <x:c r="R385" t="n">
        <x:v>2.4</x:v>
      </x:c>
      <x:c r="S385" t="n">
        <x:v>50</x:v>
      </x:c>
      <x:c r="T385" t="n">
        <x:v>50</x:v>
      </x:c>
      <x:c r="U385" t="n">
        <x:v>6</x:v>
      </x:c>
      <x:c r="V385" t="n">
        <x:v>0.76</x:v>
      </x:c>
      <x:c r="W385" t="n">
        <x:v>7</x:v>
      </x:c>
      <x:c r="X385" t="n">
        <x:v>98</x:v>
      </x:c>
      <x:c r="Y385" t="n">
        <x:v>100</x:v>
      </x:c>
      <x:c r="Z385" t="n">
        <x:v>0</x:v>
      </x:c>
      <x:c r="AA385" t="n">
        <x:v>21</x:v>
      </x:c>
      <x:c r="AB385" t="n">
        <x:v>22</x:v>
      </x:c>
      <x:c r="AC385" t="n">
        <x:v>3.5</x:v>
      </x:c>
      <x:c r="AD385" t="n">
        <x:v>45.9</x:v>
      </x:c>
      <x:c r="AE385" t="n">
        <x:v>0.05</x:v>
      </x:c>
      <x:c r="AF385"/>
      <x:c r="AG385"/>
      <x:c r="AH385"/>
      <x:c r="AI385"/>
      <x:c r="AJ385"/>
      <x:c r="AK385" t="n">
        <x:v>250</x:v>
      </x:c>
      <x:c r="AL385"/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1</x:v>
      </x:c>
      <x:c r="AS385" t="n">
        <x:v>1</x:v>
      </x:c>
      <x:c r="AT385" t="n">
        <x:v>1</x:v>
      </x:c>
      <x:c r="AU385" t="str">
        <x:v>energiattester_export_2025-08-14.json | PDF vedlegg side 5-7</x:v>
      </x:c>
      <x:c r="AV385" s="12" t="n">
        <x:f>IF(COUNT(O385,P385,Q385,R385,K385,L385,M385,N385)=8,O385*K385+P385*L385+Q385*M385+R385*N385,"")</x:f>
        <x:v>199.66</x:v>
      </x:c>
      <x:c r="AW385" s="12" t="n">
        <x:f>IF(AND(ISNUMBER(AV385),H385&gt;0),AV385/H385,"")</x:f>
        <x:v>0.674527027027027</x:v>
      </x:c>
      <x:c r="AX385" s="12" t="n">
        <x:f>IF(AND(ISNUMBER(AD385),H385&gt;0),AD385*H385*3600,"")</x:f>
        <x:v>48911040</x:v>
      </x:c>
      <x:c r="AY385" s="12" t="n">
        <x:f>IF(AND(ISNUMBER(Y385),H385&gt;0),Y385*H385,"")</x:f>
        <x:v>29600</x:v>
      </x:c>
      <x:c r="AZ385" t="str">
        <x:v>Høy</x:v>
      </x:c>
    </x:row>
    <x:row r="386" ht="22" customHeight="1">
      <x:c r="A386" t="str">
        <x:v>OT-619f1bc75898</x:v>
      </x:c>
      <x:c r="B386" t="n">
        <x:v>2015</x:v>
      </x:c>
      <x:c r="C386" t="str">
        <x:v>Kontorbygg</x:v>
      </x:c>
      <x:c r="D386" t="str">
        <x:v>KONTORER, MED VENTILASJON OG KJØLEANLEGG</x:v>
      </x:c>
      <x:c r="E386" t="str">
        <x:v>E</x:v>
      </x:c>
      <x:c r="F386" t="str">
        <x:v>RED</x:v>
      </x:c>
      <x:c r="G386" t="n">
        <x:v>1994</x:v>
      </x:c>
      <x:c r="H386" t="n">
        <x:v>340</x:v>
      </x:c>
      <x:c r="I386" t="n">
        <x:v>1</x:v>
      </x:c>
      <x:c r="J386" t="str">
        <x:v>PDF/avansert</x:v>
      </x:c>
      <x:c r="K386" t="n">
        <x:v>145</x:v>
      </x:c>
      <x:c r="L386" t="n">
        <x:v>184</x:v>
      </x:c>
      <x:c r="M386" t="n">
        <x:v>170</x:v>
      </x:c>
      <x:c r="N386" t="n">
        <x:v>37</x:v>
      </x:c>
      <x:c r="O386" t="n">
        <x:v>0.3</x:v>
      </x:c>
      <x:c r="P386" t="n">
        <x:v>0.2</x:v>
      </x:c>
      <x:c r="Q386" t="n">
        <x:v>0.14</x:v>
      </x:c>
      <x:c r="R386" t="n">
        <x:v>2.4</x:v>
      </x:c>
      <x:c r="S386" t="n">
        <x:v>70</x:v>
      </x:c>
      <x:c r="T386" t="n">
        <x:v>70</x:v>
      </x:c>
      <x:c r="U386" t="n">
        <x:v>5</x:v>
      </x:c>
      <x:c r="V386" t="n">
        <x:v>0.48</x:v>
      </x:c>
      <x:c r="W386" t="n">
        <x:v>9.7</x:v>
      </x:c>
      <x:c r="X386" t="n">
        <x:v>98</x:v>
      </x:c>
      <x:c r="Y386" t="n">
        <x:v>80</x:v>
      </x:c>
      <x:c r="Z386" t="n">
        <x:v>0</x:v>
      </x:c>
      <x:c r="AA386" t="n">
        <x:v>21</x:v>
      </x:c>
      <x:c r="AB386" t="n">
        <x:v>22</x:v>
      </x:c>
      <x:c r="AC386" t="n">
        <x:v>3.5</x:v>
      </x:c>
      <x:c r="AD386" t="n">
        <x:v>37.8</x:v>
      </x:c>
      <x:c r="AE386" t="n">
        <x:v>0.05</x:v>
      </x:c>
      <x:c r="AF386"/>
      <x:c r="AG386"/>
      <x:c r="AH386"/>
      <x:c r="AI386"/>
      <x:c r="AJ386"/>
      <x:c r="AK386" t="n">
        <x:v>250</x:v>
      </x:c>
      <x:c r="AL386"/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1</x:v>
      </x:c>
      <x:c r="AS386" t="n">
        <x:v>1</x:v>
      </x:c>
      <x:c r="AT386" t="n">
        <x:v>1</x:v>
      </x:c>
      <x:c r="AU386" t="str">
        <x:v>energiattester_export_2025-08-14.json | PDF vedlegg side 5-7</x:v>
      </x:c>
      <x:c r="AV386" s="12" t="n">
        <x:f>IF(COUNT(O386,P386,Q386,R386,K386,L386,M386,N386)=8,O386*K386+P386*L386+Q386*M386+R386*N386,"")</x:f>
        <x:v>192.9</x:v>
      </x:c>
      <x:c r="AW386" s="12" t="n">
        <x:f>IF(AND(ISNUMBER(AV386),H386&gt;0),AV386/H386,"")</x:f>
        <x:v>0.5673529411764706</x:v>
      </x:c>
      <x:c r="AX386" s="12" t="n">
        <x:f>IF(AND(ISNUMBER(AD386),H386&gt;0),AD386*H386*3600,"")</x:f>
        <x:v>46267199.99999999</x:v>
      </x:c>
      <x:c r="AY386" s="12" t="n">
        <x:f>IF(AND(ISNUMBER(Y386),H386&gt;0),Y386*H386,"")</x:f>
        <x:v>27200</x:v>
      </x:c>
      <x:c r="AZ386" t="str">
        <x:v>Høy</x:v>
      </x:c>
    </x:row>
    <x:row r="387" ht="22" customHeight="1">
      <x:c r="A387" t="str">
        <x:v>OT-6674d994cc49</x:v>
      </x:c>
      <x:c r="B387" t="n">
        <x:v>2015</x:v>
      </x:c>
      <x:c r="C387" t="str">
        <x:v>Kontorbygg</x:v>
      </x:c>
      <x:c r="D387" t="str">
        <x:v>KONTORER, ENKLE</x:v>
      </x:c>
      <x:c r="E387" t="str">
        <x:v>E</x:v>
      </x:c>
      <x:c r="F387" t="str">
        <x:v>RED</x:v>
      </x:c>
      <x:c r="G387" t="n">
        <x:v>1987</x:v>
      </x:c>
      <x:c r="H387" t="n">
        <x:v>2385</x:v>
      </x:c>
      <x:c r="I387" t="n">
        <x:v>210</x:v>
      </x:c>
      <x:c r="J387" t="str">
        <x:v>PDF/avansert</x:v>
      </x:c>
      <x:c r="K387" t="n">
        <x:v>942</x:v>
      </x:c>
      <x:c r="L387" t="n">
        <x:v>847</x:v>
      </x:c>
      <x:c r="M387" t="n">
        <x:v>758</x:v>
      </x:c>
      <x:c r="N387" t="n">
        <x:v>250</x:v>
      </x:c>
      <x:c r="O387" t="n">
        <x:v>0.3</x:v>
      </x:c>
      <x:c r="P387" t="n">
        <x:v>0.2</x:v>
      </x:c>
      <x:c r="Q387" t="n">
        <x:v>0.2</x:v>
      </x:c>
      <x:c r="R387" t="n">
        <x:v>2.4</x:v>
      </x:c>
      <x:c r="S387" t="n">
        <x:v>70</x:v>
      </x:c>
      <x:c r="T387" t="n">
        <x:v>70</x:v>
      </x:c>
      <x:c r="U387" t="n">
        <x:v>2</x:v>
      </x:c>
      <x:c r="V387" t="n">
        <x:v>0.78</x:v>
      </x:c>
      <x:c r="W387" t="n">
        <x:v>11</x:v>
      </x:c>
      <x:c r="X387" t="n">
        <x:v>122</x:v>
      </x:c>
      <x:c r="Y387" t="n">
        <x:v>68</x:v>
      </x:c>
      <x:c r="Z387" t="n">
        <x:v>0</x:v>
      </x:c>
      <x:c r="AA387" t="n">
        <x:v>21</x:v>
      </x:c>
      <x:c r="AB387" t="n">
        <x:v>22</x:v>
      </x:c>
      <x:c r="AC387" t="n">
        <x:v>1.5</x:v>
      </x:c>
      <x:c r="AD387" t="n">
        <x:v>28.6</x:v>
      </x:c>
      <x:c r="AE387" t="n">
        <x:v>0.12</x:v>
      </x:c>
      <x:c r="AF387" t="n">
        <x:v>12</x:v>
      </x:c>
      <x:c r="AG387" t="n">
        <x:v>12</x:v>
      </x:c>
      <x:c r="AH387" t="n">
        <x:v>24</x:v>
      </x:c>
      <x:c r="AI387" t="n">
        <x:v>8</x:v>
      </x:c>
      <x:c r="AJ387" t="n">
        <x:v>11</x:v>
      </x:c>
      <x:c r="AK387" t="n">
        <x:v>270</x:v>
      </x:c>
      <x:c r="AL387" t="str">
        <x:v>Direkte elektrisk; Varmepumpe;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1</x:v>
      </x:c>
      <x:c r="AS387" t="n">
        <x:v>1</x:v>
      </x:c>
      <x:c r="AT387" t="n">
        <x:v>1</x:v>
      </x:c>
      <x:c r="AU387" t="str">
        <x:v>energiattester_export_2025-08-14.json | PDF vedlegg side 5-7</x:v>
      </x:c>
      <x:c r="AV387" s="12" t="n">
        <x:f>IF(COUNT(O387,P387,Q387,R387,K387,L387,M387,N387)=8,O387*K387+P387*L387+Q387*M387+R387*N387,"")</x:f>
        <x:v>1203.6</x:v>
      </x:c>
      <x:c r="AW387" s="12" t="n">
        <x:f>IF(AND(ISNUMBER(AV387),H387&gt;0),AV387/H387,"")</x:f>
        <x:v>0.5046540880503144</x:v>
      </x:c>
      <x:c r="AX387" s="12" t="n">
        <x:f>IF(AND(ISNUMBER(AD387),H387&gt;0),AD387*H387*3600,"")</x:f>
        <x:v>245559600</x:v>
      </x:c>
      <x:c r="AY387" s="12" t="n">
        <x:f>IF(AND(ISNUMBER(Y387),H387&gt;0),Y387*H387,"")</x:f>
        <x:v>162180</x:v>
      </x:c>
      <x:c r="AZ387" t="str">
        <x:v>Høy</x:v>
      </x:c>
    </x:row>
    <x:row r="388" ht="22" customHeight="1">
      <x:c r="A388" t="str">
        <x:v>OT-21b8e257d883</x:v>
      </x:c>
      <x:c r="B388" t="n">
        <x:v>2015</x:v>
      </x:c>
      <x:c r="C388" t="str">
        <x:v>Forretningsbygg</x:v>
      </x:c>
      <x:c r="D388" t="str">
        <x:v>BUTIKK</x:v>
      </x:c>
      <x:c r="E388" t="str">
        <x:v>D</x:v>
      </x:c>
      <x:c r="F388" t="str">
        <x:v>RED</x:v>
      </x:c>
      <x:c r="G388" t="n">
        <x:v>1975</x:v>
      </x:c>
      <x:c r="H388" t="n">
        <x:v>3078</x:v>
      </x:c>
      <x:c r="I388" t="n">
        <x:v>238.3</x:v>
      </x:c>
      <x:c r="J388" t="str">
        <x:v>PDF/avansert</x:v>
      </x:c>
      <x:c r="K388" t="n">
        <x:v>1605</x:v>
      </x:c>
      <x:c r="L388" t="n">
        <x:v>2548</x:v>
      </x:c>
      <x:c r="M388" t="n">
        <x:v>2548</x:v>
      </x:c>
      <x:c r="N388" t="n">
        <x:v>179</x:v>
      </x:c>
      <x:c r="O388" t="n">
        <x:v>0.43</x:v>
      </x:c>
      <x:c r="P388" t="n">
        <x:v>0.41</x:v>
      </x:c>
      <x:c r="Q388" t="n">
        <x:v>0.14</x:v>
      </x:c>
      <x:c r="R388" t="n">
        <x:v>1.97</x:v>
      </x:c>
      <x:c r="S388" t="n">
        <x:v>74</x:v>
      </x:c>
      <x:c r="T388" t="n">
        <x:v>74</x:v>
      </x:c>
      <x:c r="U388" t="n">
        <x:v>3</x:v>
      </x:c>
      <x:c r="V388" t="n">
        <x:v>0.22</x:v>
      </x:c>
      <x:c r="W388" t="n">
        <x:v>13</x:v>
      </x:c>
      <x:c r="X388" t="n">
        <x:v>136</x:v>
      </x:c>
      <x:c r="Y388" t="n">
        <x:v>110</x:v>
      </x:c>
      <x:c r="Z388" t="n">
        <x:v>48</x:v>
      </x:c>
      <x:c r="AA388" t="n">
        <x:v>21</x:v>
      </x:c>
      <x:c r="AB388" t="n">
        <x:v>22</x:v>
      </x:c>
      <x:c r="AC388" t="n">
        <x:v>3</x:v>
      </x:c>
      <x:c r="AD388" t="n">
        <x:v>106.3</x:v>
      </x:c>
      <x:c r="AE388" t="n">
        <x:v>0.12</x:v>
      </x:c>
      <x:c r="AF388" t="n">
        <x:v>12</x:v>
      </x:c>
      <x:c r="AG388" t="n">
        <x:v>12</x:v>
      </x:c>
      <x:c r="AH388" t="n">
        <x:v>24</x:v>
      </x:c>
      <x:c r="AI388" t="n">
        <x:v>15</x:v>
      </x:c>
      <x:c r="AJ388" t="n">
        <x:v>1</x:v>
      </x:c>
      <x:c r="AK388" t="n">
        <x:v>250</x:v>
      </x:c>
      <x:c r="AL388" t="str">
        <x:v>Direkte elektrisk; Varmepumpe;</x:v>
      </x:c>
      <x:c r="AM388" t="n">
        <x:v>0</x:v>
      </x:c>
      <x:c r="AN388" t="n">
        <x:v>0</x:v>
      </x:c>
      <x:c r="AO388" t="n">
        <x:v>1</x:v>
      </x:c>
      <x:c r="AP388" t="n">
        <x:v>1</x:v>
      </x:c>
      <x:c r="AQ388" t="n">
        <x:v>0</x:v>
      </x:c>
      <x:c r="AR388" t="n">
        <x:v>1</x:v>
      </x:c>
      <x:c r="AS388" t="n">
        <x:v>1</x:v>
      </x:c>
      <x:c r="AT388" t="n">
        <x:v>1</x:v>
      </x:c>
      <x:c r="AU388" t="str">
        <x:v>energiattester_export_2025-08-14.json | PDF vedlegg side 5-7</x:v>
      </x:c>
      <x:c r="AV388" s="12" t="n">
        <x:f>IF(COUNT(O388,P388,Q388,R388,K388,L388,M388,N388)=8,O388*K388+P388*L388+Q388*M388+R388*N388,"")</x:f>
        <x:v>2444.1800000000003</x:v>
      </x:c>
      <x:c r="AW388" s="12" t="n">
        <x:f>IF(AND(ISNUMBER(AV388),H388&gt;0),AV388/H388,"")</x:f>
        <x:v>0.7940805717998701</x:v>
      </x:c>
      <x:c r="AX388" s="12" t="n">
        <x:f>IF(AND(ISNUMBER(AD388),H388&gt;0),AD388*H388*3600,"")</x:f>
        <x:v>1177889039.9999998</x:v>
      </x:c>
      <x:c r="AY388" s="12" t="n">
        <x:f>IF(AND(ISNUMBER(Y388),H388&gt;0),Y388*H388,"")</x:f>
        <x:v>338580</x:v>
      </x:c>
      <x:c r="AZ388" t="str">
        <x:v>Høy</x:v>
      </x:c>
    </x:row>
    <x:row r="389" ht="22" customHeight="1">
      <x:c r="A389" t="str">
        <x:v>OT-c1010cb4485a</x:v>
      </x:c>
      <x:c r="B389" t="n">
        <x:v>2015</x:v>
      </x:c>
      <x:c r="C389" t="str">
        <x:v>Kontorbygg</x:v>
      </x:c>
      <x:c r="D389" t="str">
        <x:v>KONTORER, MED VENTILASJON OG KJØLEANLEGG</x:v>
      </x:c>
      <x:c r="E389" t="str">
        <x:v>E</x:v>
      </x:c>
      <x:c r="F389" t="str">
        <x:v>RED</x:v>
      </x:c>
      <x:c r="G389" t="n">
        <x:v>1980</x:v>
      </x:c>
      <x:c r="H389" t="n">
        <x:v>600</x:v>
      </x:c>
      <x:c r="I389" t="n">
        <x:v>216.1</x:v>
      </x:c>
      <x:c r="J389" t="str">
        <x:v>PDF/avansert</x:v>
      </x:c>
      <x:c r="K389" t="n">
        <x:v>95</x:v>
      </x:c>
      <x:c r="L389" t="n">
        <x:v>600</x:v>
      </x:c>
      <x:c r="M389" t="n">
        <x:v>0</x:v>
      </x:c>
      <x:c r="N389" t="n">
        <x:v>28</x:v>
      </x:c>
      <x:c r="O389" t="n">
        <x:v>0.66</x:v>
      </x:c>
      <x:c r="P389" t="n">
        <x:v>0.6</x:v>
      </x:c>
      <x:c r="Q389" t="n">
        <x:v>0</x:v>
      </x:c>
      <x:c r="R389" t="n">
        <x:v>2.6</x:v>
      </x:c>
      <x:c r="S389" t="n">
        <x:v>70</x:v>
      </x:c>
      <x:c r="T389" t="n">
        <x:v>70</x:v>
      </x:c>
      <x:c r="U389" t="n">
        <x:v>4</x:v>
      </x:c>
      <x:c r="V389" t="n">
        <x:v>0.51</x:v>
      </x:c>
      <x:c r="W389" t="n">
        <x:v>7</x:v>
      </x:c>
      <x:c r="X389" t="n">
        <x:v>89</x:v>
      </x:c>
      <x:c r="Y389" t="n">
        <x:v>130</x:v>
      </x:c>
      <x:c r="Z389" t="n">
        <x:v>50</x:v>
      </x:c>
      <x:c r="AA389" t="n">
        <x:v>21</x:v>
      </x:c>
      <x:c r="AB389" t="n">
        <x:v>22</x:v>
      </x:c>
      <x:c r="AC389" t="n">
        <x:v>3</x:v>
      </x:c>
      <x:c r="AD389" t="n">
        <x:v>27.9</x:v>
      </x:c>
      <x:c r="AE389" t="n">
        <x:v>0.12</x:v>
      </x:c>
      <x:c r="AF389" t="n">
        <x:v>12</x:v>
      </x:c>
      <x:c r="AG389" t="n">
        <x:v>12</x:v>
      </x:c>
      <x:c r="AH389" t="n">
        <x:v>24</x:v>
      </x:c>
      <x:c r="AI389" t="n">
        <x:v>8</x:v>
      </x:c>
      <x:c r="AJ389" t="n">
        <x:v>11</x:v>
      </x:c>
      <x:c r="AK389" t="n">
        <x:v>250</x:v>
      </x:c>
      <x:c r="AL389" t="str">
        <x:v>Direkte elektrisk;</x:v>
      </x:c>
      <x:c r="AM389" t="n">
        <x:v>1</x:v>
      </x:c>
      <x:c r="AN389" t="n">
        <x:v>1</x:v>
      </x:c>
      <x:c r="AO389" t="n">
        <x:v>1</x:v>
      </x:c>
      <x:c r="AP389" t="n">
        <x:v>0</x:v>
      </x:c>
      <x:c r="AQ389" t="n">
        <x:v>0</x:v>
      </x:c>
      <x:c r="AR389" t="n">
        <x:v>1</x:v>
      </x:c>
      <x:c r="AS389" t="n">
        <x:v>1</x:v>
      </x:c>
      <x:c r="AT389" t="n">
        <x:v>1</x:v>
      </x:c>
      <x:c r="AU389" t="str">
        <x:v>energiattester_export_2025-08-14.json | PDF vedlegg side 5-7</x:v>
      </x:c>
      <x:c r="AV389" s="12" t="n">
        <x:f>IF(COUNT(O389,P389,Q389,R389,K389,L389,M389,N389)=8,O389*K389+P389*L389+Q389*M389+R389*N389,"")</x:f>
        <x:v>495.5</x:v>
      </x:c>
      <x:c r="AW389" s="12" t="n">
        <x:f>IF(AND(ISNUMBER(AV389),H389&gt;0),AV389/H389,"")</x:f>
        <x:v>0.8258333333333333</x:v>
      </x:c>
      <x:c r="AX389" s="12" t="n">
        <x:f>IF(AND(ISNUMBER(AD389),H389&gt;0),AD389*H389*3600,"")</x:f>
        <x:v>60264000</x:v>
      </x:c>
      <x:c r="AY389" s="12" t="n">
        <x:f>IF(AND(ISNUMBER(Y389),H389&gt;0),Y389*H389,"")</x:f>
        <x:v>78000</x:v>
      </x:c>
      <x:c r="AZ389" t="str">
        <x:v>Høy</x:v>
      </x:c>
    </x:row>
    <x:row r="390" ht="22" customHeight="1">
      <x:c r="A390" t="str">
        <x:v>OT-c317df1a2ae0</x:v>
      </x:c>
      <x:c r="B390" t="n">
        <x:v>2015</x:v>
      </x:c>
      <x:c r="C390" t="str">
        <x:v>Forretningsbygg</x:v>
      </x:c>
      <x:c r="D390" t="str">
        <x:v>Butikk med kjøle- / fryserom</x:v>
      </x:c>
      <x:c r="E390" t="str">
        <x:v>F</x:v>
      </x:c>
      <x:c r="F390" t="str">
        <x:v>RED</x:v>
      </x:c>
      <x:c r="G390" t="n">
        <x:v>1996</x:v>
      </x:c>
      <x:c r="H390" t="n">
        <x:v>535</x:v>
      </x:c>
      <x:c r="I390" t="n">
        <x:v>347.13</x:v>
      </x:c>
      <x:c r="J390" t="str">
        <x:v>PDF/avansert</x:v>
      </x:c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 t="n">
        <x:v>0</x:v>
      </x:c>
      <x:c r="AN390" t="n">
        <x:v>1</x:v>
      </x:c>
      <x:c r="AO390" t="n">
        <x:v>0</x:v>
      </x:c>
      <x:c r="AP390" t="n">
        <x:v>1</x:v>
      </x:c>
      <x:c r="AQ390" t="n">
        <x:v>1</x:v>
      </x:c>
      <x:c r="AR390" t="n">
        <x:v>1</x:v>
      </x:c>
      <x:c r="AS390" t="n">
        <x:v>1</x:v>
      </x:c>
      <x:c r="AT390" t="n">
        <x:v>1</x:v>
      </x:c>
      <x:c r="AU390" t="str">
        <x:v>energiattester_export_2025-08-14.json | PDF vedlegg side 5-7</x:v>
      </x:c>
      <x:c r="AV390" s="12" t="str">
        <x:f>IF(COUNT(O390,P390,Q390,R390,K390,L390,M390,N390)=8,O390*K390+P390*L390+Q390*M390+R390*N390,"")</x:f>
      </x:c>
      <x:c r="AW390" s="12" t="str">
        <x:f>IF(AND(ISNUMBER(AV390),H390&gt;0),AV390/H390,"")</x:f>
      </x:c>
      <x:c r="AX390" s="12" t="str">
        <x:f>IF(AND(ISNUMBER(AD390),H390&gt;0),AD390*H390*3600,"")</x:f>
      </x:c>
      <x:c r="AY390" s="12" t="str">
        <x:f>IF(AND(ISNUMBER(Y390),H390&gt;0),Y390*H390,"")</x:f>
      </x:c>
      <x:c r="AZ390" t="str">
        <x:v>Mangler data</x:v>
      </x:c>
    </x:row>
    <x:row r="391" ht="22" customHeight="1">
      <x:c r="A391" t="str">
        <x:v>OT-8090624754c0</x:v>
      </x:c>
      <x:c r="B391" t="n">
        <x:v>2015</x:v>
      </x:c>
      <x:c r="C391" t="str">
        <x:v>Kontorbygg</x:v>
      </x:c>
      <x:c r="D391" t="str">
        <x:v>KONTORER, MED VENTILASJON OG KJØLEANLEGG</x:v>
      </x:c>
      <x:c r="E391" t="str">
        <x:v>D</x:v>
      </x:c>
      <x:c r="F391" t="str">
        <x:v>ORANGE</x:v>
      </x:c>
      <x:c r="G391" t="n">
        <x:v>1985</x:v>
      </x:c>
      <x:c r="H391" t="n">
        <x:v>1345</x:v>
      </x:c>
      <x:c r="I391" t="n">
        <x:v>161.3</x:v>
      </x:c>
      <x:c r="J391" t="str">
        <x:v>PDF/avansert</x:v>
      </x:c>
      <x:c r="K391" t="n">
        <x:v>452</x:v>
      </x:c>
      <x:c r="L391" t="n">
        <x:v>231</x:v>
      </x:c>
      <x:c r="M391" t="n">
        <x:v>244</x:v>
      </x:c>
      <x:c r="N391" t="n">
        <x:v>166</x:v>
      </x:c>
      <x:c r="O391" t="n">
        <x:v>0.45</x:v>
      </x:c>
      <x:c r="P391" t="n">
        <x:v>0.24</x:v>
      </x:c>
      <x:c r="Q391" t="n">
        <x:v>0.33</x:v>
      </x:c>
      <x:c r="R391" t="n">
        <x:v>2.4</x:v>
      </x:c>
      <x:c r="S391" t="n">
        <x:v>77</x:v>
      </x:c>
      <x:c r="T391" t="n">
        <x:v>77</x:v>
      </x:c>
      <x:c r="U391" t="n">
        <x:v>3</x:v>
      </x:c>
      <x:c r="V391" t="n">
        <x:v>0.38</x:v>
      </x:c>
      <x:c r="W391" t="n">
        <x:v>8</x:v>
      </x:c>
      <x:c r="X391" t="n">
        <x:v>95</x:v>
      </x:c>
      <x:c r="Y391" t="n">
        <x:v>130</x:v>
      </x:c>
      <x:c r="Z391" t="n">
        <x:v>40</x:v>
      </x:c>
      <x:c r="AA391" t="n">
        <x:v>21</x:v>
      </x:c>
      <x:c r="AB391" t="n">
        <x:v>22</x:v>
      </x:c>
      <x:c r="AC391" t="n">
        <x:v>3.5</x:v>
      </x:c>
      <x:c r="AD391" t="n">
        <x:v>28.5</x:v>
      </x:c>
      <x:c r="AE391" t="n">
        <x:v>0.12</x:v>
      </x:c>
      <x:c r="AF391" t="n">
        <x:v>12</x:v>
      </x:c>
      <x:c r="AG391" t="n">
        <x:v>12</x:v>
      </x:c>
      <x:c r="AH391" t="n">
        <x:v>24</x:v>
      </x:c>
      <x:c r="AI391" t="n">
        <x:v>8</x:v>
      </x:c>
      <x:c r="AJ391" t="n">
        <x:v>11</x:v>
      </x:c>
      <x:c r="AK391" t="n">
        <x:v>250</x:v>
      </x:c>
      <x:c r="AL391" t="str">
        <x:v>Direkte elektrisk;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str">
        <x:v>energiattester_export_2025-08-14.json | PDF vedlegg side 5-7</x:v>
      </x:c>
      <x:c r="AV391" s="12" t="n">
        <x:f>IF(COUNT(O391,P391,Q391,R391,K391,L391,M391,N391)=8,O391*K391+P391*L391+Q391*M391+R391*N391,"")</x:f>
        <x:v>737.76</x:v>
      </x:c>
      <x:c r="AW391" s="12" t="n">
        <x:f>IF(AND(ISNUMBER(AV391),H391&gt;0),AV391/H391,"")</x:f>
        <x:v>0.5485204460966543</x:v>
      </x:c>
      <x:c r="AX391" s="12" t="n">
        <x:f>IF(AND(ISNUMBER(AD391),H391&gt;0),AD391*H391*3600,"")</x:f>
        <x:v>137997000</x:v>
      </x:c>
      <x:c r="AY391" s="12" t="n">
        <x:f>IF(AND(ISNUMBER(Y391),H391&gt;0),Y391*H391,"")</x:f>
        <x:v>174850</x:v>
      </x:c>
      <x:c r="AZ391" t="str">
        <x:v>Høy</x:v>
      </x:c>
    </x:row>
    <x:row r="392" ht="22" customHeight="1">
      <x:c r="A392" t="str">
        <x:v>OT-e036465870e5</x:v>
      </x:c>
      <x:c r="B392" t="n">
        <x:v>2015</x:v>
      </x:c>
      <x:c r="C392" t="str">
        <x:v>Forretningsbygg</x:v>
      </x:c>
      <x:c r="D392" t="str">
        <x:v>BUTIKK MED KJØLE- / FRYSEROM</x:v>
      </x:c>
      <x:c r="E392" t="str">
        <x:v>C</x:v>
      </x:c>
      <x:c r="F392" t="str">
        <x:v>ORANGE</x:v>
      </x:c>
      <x:c r="G392" t="n">
        <x:v>1985</x:v>
      </x:c>
      <x:c r="H392" t="n">
        <x:v>183</x:v>
      </x:c>
      <x:c r="I392" t="n">
        <x:v>199</x:v>
      </x:c>
      <x:c r="J392" t="str">
        <x:v>PDF/avansert</x:v>
      </x:c>
      <x:c r="K392" t="n">
        <x:v>53</x:v>
      </x:c>
      <x:c r="L392" t="n">
        <x:v>0</x:v>
      </x:c>
      <x:c r="M392" t="n">
        <x:v>40</x:v>
      </x:c>
      <x:c r="N392" t="n">
        <x:v>36</x:v>
      </x:c>
      <x:c r="O392" t="n">
        <x:v>0.45</x:v>
      </x:c>
      <x:c r="P392" t="n">
        <x:v>0</x:v>
      </x:c>
      <x:c r="Q392" t="n">
        <x:v>0.29</x:v>
      </x:c>
      <x:c r="R392" t="n">
        <x:v>2.4</x:v>
      </x:c>
      <x:c r="S392" t="n">
        <x:v>77</x:v>
      </x:c>
      <x:c r="T392" t="n">
        <x:v>77</x:v>
      </x:c>
      <x:c r="U392" t="n">
        <x:v>3</x:v>
      </x:c>
      <x:c r="V392" t="n">
        <x:v>0.23</x:v>
      </x:c>
      <x:c r="W392" t="n">
        <x:v>13</x:v>
      </x:c>
      <x:c r="X392" t="n">
        <x:v>95</x:v>
      </x:c>
      <x:c r="Y392" t="n">
        <x:v>130</x:v>
      </x:c>
      <x:c r="Z392" t="n">
        <x:v>70</x:v>
      </x:c>
      <x:c r="AA392" t="n">
        <x:v>21</x:v>
      </x:c>
      <x:c r="AB392" t="n">
        <x:v>22</x:v>
      </x:c>
      <x:c r="AC392" t="n">
        <x:v>3.5</x:v>
      </x:c>
      <x:c r="AD392" t="n">
        <x:v>29.5</x:v>
      </x:c>
      <x:c r="AE392" t="n">
        <x:v>0.12</x:v>
      </x:c>
      <x:c r="AF392" t="n">
        <x:v>12</x:v>
      </x:c>
      <x:c r="AG392" t="n">
        <x:v>12</x:v>
      </x:c>
      <x:c r="AH392" t="n">
        <x:v>24</x:v>
      </x:c>
      <x:c r="AI392" t="n">
        <x:v>15</x:v>
      </x:c>
      <x:c r="AJ392" t="n">
        <x:v>1</x:v>
      </x:c>
      <x:c r="AK392" t="n">
        <x:v>250</x:v>
      </x:c>
      <x:c r="AL392" t="str">
        <x:v>Direkte elektrisk;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str">
        <x:v>energiattester_export_2025-08-14.json | PDF vedlegg side 5-7</x:v>
      </x:c>
      <x:c r="AV392" s="12" t="n">
        <x:f>IF(COUNT(O392,P392,Q392,R392,K392,L392,M392,N392)=8,O392*K392+P392*L392+Q392*M392+R392*N392,"")</x:f>
        <x:v>121.85</x:v>
      </x:c>
      <x:c r="AW392" s="12" t="n">
        <x:f>IF(AND(ISNUMBER(AV392),H392&gt;0),AV392/H392,"")</x:f>
        <x:v>0.6658469945355191</x:v>
      </x:c>
      <x:c r="AX392" s="12" t="n">
        <x:f>IF(AND(ISNUMBER(AD392),H392&gt;0),AD392*H392*3600,"")</x:f>
        <x:v>19434600</x:v>
      </x:c>
      <x:c r="AY392" s="12" t="n">
        <x:f>IF(AND(ISNUMBER(Y392),H392&gt;0),Y392*H392,"")</x:f>
        <x:v>23790</x:v>
      </x:c>
      <x:c r="AZ392" t="str">
        <x:v>Høy</x:v>
      </x:c>
    </x:row>
    <x:row r="393" ht="22" customHeight="1">
      <x:c r="A393" t="str">
        <x:v>OT-b70344b9b95e</x:v>
      </x:c>
      <x:c r="B393" t="n">
        <x:v>2015</x:v>
      </x:c>
      <x:c r="C393" t="str">
        <x:v>Kontorbygg</x:v>
      </x:c>
      <x:c r="D393" t="str">
        <x:v>KONTORER, MED VENTILASJON OG KJØLEANLEGG</x:v>
      </x:c>
      <x:c r="E393" t="str">
        <x:v>D</x:v>
      </x:c>
      <x:c r="F393" t="str">
        <x:v>RED</x:v>
      </x:c>
      <x:c r="G393" t="n">
        <x:v>1970</x:v>
      </x:c>
      <x:c r="H393" t="n">
        <x:v>4792</x:v>
      </x:c>
      <x:c r="I393" t="n">
        <x:v>156.1</x:v>
      </x:c>
      <x:c r="J393" t="str">
        <x:v>PDF/avansert</x:v>
      </x:c>
      <x:c r="K393" t="n">
        <x:v>1757</x:v>
      </x:c>
      <x:c r="L393" t="n">
        <x:v>656</x:v>
      </x:c>
      <x:c r="M393" t="n">
        <x:v>599</x:v>
      </x:c>
      <x:c r="N393" t="n">
        <x:v>624</x:v>
      </x:c>
      <x:c r="O393" t="n">
        <x:v>0.28</x:v>
      </x:c>
      <x:c r="P393" t="n">
        <x:v>0.2</x:v>
      </x:c>
      <x:c r="Q393" t="n">
        <x:v>0.31</x:v>
      </x:c>
      <x:c r="R393" t="n">
        <x:v>1.83</x:v>
      </x:c>
      <x:c r="S393" t="n">
        <x:v>70</x:v>
      </x:c>
      <x:c r="T393" t="n">
        <x:v>70</x:v>
      </x:c>
      <x:c r="U393" t="n">
        <x:v>3</x:v>
      </x:c>
      <x:c r="V393" t="n">
        <x:v>1.44</x:v>
      </x:c>
      <x:c r="W393" t="n">
        <x:v>4.71</x:v>
      </x:c>
      <x:c r="X393" t="n">
        <x:v>95</x:v>
      </x:c>
      <x:c r="Y393" t="n">
        <x:v>88</x:v>
      </x:c>
      <x:c r="Z393" t="n">
        <x:v>24</x:v>
      </x:c>
      <x:c r="AA393" t="n">
        <x:v>21</x:v>
      </x:c>
      <x:c r="AB393" t="n">
        <x:v>22</x:v>
      </x:c>
      <x:c r="AC393" t="n">
        <x:v>3.5</x:v>
      </x:c>
      <x:c r="AD393" t="n">
        <x:v>15.5</x:v>
      </x:c>
      <x:c r="AE393" t="n">
        <x:v>0.12</x:v>
      </x:c>
      <x:c r="AF393" t="n">
        <x:v>12</x:v>
      </x:c>
      <x:c r="AG393" t="n">
        <x:v>12</x:v>
      </x:c>
      <x:c r="AH393" t="n">
        <x:v>24</x:v>
      </x:c>
      <x:c r="AI393" t="n">
        <x:v>8</x:v>
      </x:c>
      <x:c r="AJ393" t="n">
        <x:v>11</x:v>
      </x:c>
      <x:c r="AK393" t="n">
        <x:v>250</x:v>
      </x:c>
      <x:c r="AL393" t="str">
        <x:v>Direkte elektrisk;</x:v>
      </x:c>
      <x:c r="AM393" t="n">
        <x:v>0</x:v>
      </x:c>
      <x:c r="AN393" t="n">
        <x:v>0</x:v>
      </x:c>
      <x:c r="AO393" t="n">
        <x:v>0</x:v>
      </x:c>
      <x:c r="AP393" t="n">
        <x:v>1</x:v>
      </x:c>
      <x:c r="AQ393" t="n">
        <x:v>0</x:v>
      </x:c>
      <x:c r="AR393" t="n">
        <x:v>0</x:v>
      </x:c>
      <x:c r="AS393" t="n">
        <x:v>0</x:v>
      </x:c>
      <x:c r="AT393" t="n">
        <x:v>1</x:v>
      </x:c>
      <x:c r="AU393" t="str">
        <x:v>energiattester_export_2025-08-14.json | PDF vedlegg side 5-7</x:v>
      </x:c>
      <x:c r="AV393" s="12" t="n">
        <x:f>IF(COUNT(O393,P393,Q393,R393,K393,L393,M393,N393)=8,O393*K393+P393*L393+Q393*M393+R393*N393,"")</x:f>
        <x:v>1950.7700000000002</x:v>
      </x:c>
      <x:c r="AW393" s="12" t="n">
        <x:f>IF(AND(ISNUMBER(AV393),H393&gt;0),AV393/H393,"")</x:f>
        <x:v>0.40708889816360605</x:v>
      </x:c>
      <x:c r="AX393" s="12" t="n">
        <x:f>IF(AND(ISNUMBER(AD393),H393&gt;0),AD393*H393*3600,"")</x:f>
        <x:v>267393600</x:v>
      </x:c>
      <x:c r="AY393" s="12" t="n">
        <x:f>IF(AND(ISNUMBER(Y393),H393&gt;0),Y393*H393,"")</x:f>
        <x:v>421696</x:v>
      </x:c>
      <x:c r="AZ393" t="str">
        <x:v>Høy</x:v>
      </x:c>
    </x:row>
    <x:row r="394" ht="22" customHeight="1">
      <x:c r="A394" t="str">
        <x:v>OT-a4cada1c100e</x:v>
      </x:c>
      <x:c r="B394" t="n">
        <x:v>2015</x:v>
      </x:c>
      <x:c r="C394" t="str">
        <x:v>Kontorbygg</x:v>
      </x:c>
      <x:c r="D394" t="str">
        <x:v>Kontorer, enkle</x:v>
      </x:c>
      <x:c r="E394" t="str">
        <x:v>G</x:v>
      </x:c>
      <x:c r="F394" t="str">
        <x:v>RED</x:v>
      </x:c>
      <x:c r="G394" t="n">
        <x:v>1934</x:v>
      </x:c>
      <x:c r="H394" t="n">
        <x:v>441</x:v>
      </x:c>
      <x:c r="I394" t="n">
        <x:v>441.89</x:v>
      </x:c>
      <x:c r="J394" t="str">
        <x:v>PDF/avansert</x:v>
      </x:c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1</x:v>
      </x:c>
      <x:c r="AR394" t="n">
        <x:v>0</x:v>
      </x:c>
      <x:c r="AS394" t="n">
        <x:v>0</x:v>
      </x:c>
      <x:c r="AT394" t="n">
        <x:v>0</x:v>
      </x:c>
      <x:c r="AU394" t="str">
        <x:v>energiattester_export_2025-08-14.json | PDF vedlegg side 5-7</x:v>
      </x:c>
      <x:c r="AV394" s="12" t="str">
        <x:f>IF(COUNT(O394,P394,Q394,R394,K394,L394,M394,N394)=8,O394*K394+P394*L394+Q394*M394+R394*N394,"")</x:f>
      </x:c>
      <x:c r="AW394" s="12" t="str">
        <x:f>IF(AND(ISNUMBER(AV394),H394&gt;0),AV394/H394,"")</x:f>
      </x:c>
      <x:c r="AX394" s="12" t="str">
        <x:f>IF(AND(ISNUMBER(AD394),H394&gt;0),AD394*H394*3600,"")</x:f>
      </x:c>
      <x:c r="AY394" s="12" t="str">
        <x:f>IF(AND(ISNUMBER(Y394),H394&gt;0),Y394*H394,"")</x:f>
      </x:c>
      <x:c r="AZ394" t="str">
        <x:v>Mangler data</x:v>
      </x:c>
    </x:row>
    <x:row r="395" ht="22" customHeight="1">
      <x:c r="A395" t="str">
        <x:v>OT-6a5cfa4ab024</x:v>
      </x:c>
      <x:c r="B395" t="n">
        <x:v>2015</x:v>
      </x:c>
      <x:c r="C395" t="str">
        <x:v>Kontorbygg</x:v>
      </x:c>
      <x:c r="D395" t="str">
        <x:v>KONTORER, ENKLE</x:v>
      </x:c>
      <x:c r="E395" t="str">
        <x:v>D</x:v>
      </x:c>
      <x:c r="F395" t="str">
        <x:v>RED</x:v>
      </x:c>
      <x:c r="G395" t="n">
        <x:v>1987</x:v>
      </x:c>
      <x:c r="H395" t="n">
        <x:v>3265</x:v>
      </x:c>
      <x:c r="I395" t="n">
        <x:v>171</x:v>
      </x:c>
      <x:c r="J395" t="str">
        <x:v>PDF/avansert</x:v>
      </x:c>
      <x:c r="K395" t="n">
        <x:v>1409</x:v>
      </x:c>
      <x:c r="L395" t="n">
        <x:v>3265</x:v>
      </x:c>
      <x:c r="M395" t="n">
        <x:v>3265</x:v>
      </x:c>
      <x:c r="N395" t="n">
        <x:v>563</x:v>
      </x:c>
      <x:c r="O395" t="n">
        <x:v>0.3</x:v>
      </x:c>
      <x:c r="P395" t="n">
        <x:v>0.2</x:v>
      </x:c>
      <x:c r="Q395" t="n">
        <x:v>0.12</x:v>
      </x:c>
      <x:c r="R395" t="n">
        <x:v>2.4</x:v>
      </x:c>
      <x:c r="S395" t="n">
        <x:v>70</x:v>
      </x:c>
      <x:c r="T395" t="n">
        <x:v>70</x:v>
      </x:c>
      <x:c r="U395" t="n">
        <x:v>2</x:v>
      </x:c>
      <x:c r="V395" t="n">
        <x:v>0.38</x:v>
      </x:c>
      <x:c r="W395" t="n">
        <x:v>7.2</x:v>
      </x:c>
      <x:c r="X395" t="n">
        <x:v>98</x:v>
      </x:c>
      <x:c r="Y395" t="n">
        <x:v>68</x:v>
      </x:c>
      <x:c r="Z395" t="n">
        <x:v>30</x:v>
      </x:c>
      <x:c r="AA395" t="n">
        <x:v>21</x:v>
      </x:c>
      <x:c r="AB395" t="n">
        <x:v>22</x:v>
      </x:c>
      <x:c r="AC395" t="n">
        <x:v>1.5</x:v>
      </x:c>
      <x:c r="AD395" t="n">
        <x:v>83.6</x:v>
      </x:c>
      <x:c r="AE395" t="n">
        <x:v>0.12</x:v>
      </x:c>
      <x:c r="AF395" t="n">
        <x:v>12</x:v>
      </x:c>
      <x:c r="AG395" t="n">
        <x:v>12</x:v>
      </x:c>
      <x:c r="AH395" t="n">
        <x:v>24</x:v>
      </x:c>
      <x:c r="AI395" t="n">
        <x:v>8</x:v>
      </x:c>
      <x:c r="AJ395" t="n">
        <x:v>11</x:v>
      </x:c>
      <x:c r="AK395" t="n">
        <x:v>270</x:v>
      </x:c>
      <x:c r="AL395" t="str">
        <x:v>Direkte elektrisk;</x:v>
      </x:c>
      <x:c r="AM395" t="n">
        <x:v>1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1</x:v>
      </x:c>
      <x:c r="AS395" t="n">
        <x:v>1</x:v>
      </x:c>
      <x:c r="AT395" t="n">
        <x:v>1</x:v>
      </x:c>
      <x:c r="AU395" t="str">
        <x:v>energiattester_export_2025-08-14.json | PDF vedlegg side 5-7</x:v>
      </x:c>
      <x:c r="AV395" s="12" t="n">
        <x:f>IF(COUNT(O395,P395,Q395,R395,K395,L395,M395,N395)=8,O395*K395+P395*L395+Q395*M395+R395*N395,"")</x:f>
        <x:v>2818.7</x:v>
      </x:c>
      <x:c r="AW395" s="12" t="n">
        <x:f>IF(AND(ISNUMBER(AV395),H395&gt;0),AV395/H395,"")</x:f>
        <x:v>0.8633078101071975</x:v>
      </x:c>
      <x:c r="AX395" s="12" t="n">
        <x:f>IF(AND(ISNUMBER(AD395),H395&gt;0),AD395*H395*3600,"")</x:f>
        <x:v>982634400</x:v>
      </x:c>
      <x:c r="AY395" s="12" t="n">
        <x:f>IF(AND(ISNUMBER(Y395),H395&gt;0),Y395*H395,"")</x:f>
        <x:v>222020</x:v>
      </x:c>
      <x:c r="AZ395" t="str">
        <x:v>Høy</x:v>
      </x:c>
    </x:row>
    <x:row r="396" ht="22" customHeight="1">
      <x:c r="A396" t="str">
        <x:v>OT-bb1efbf4cf7e</x:v>
      </x:c>
      <x:c r="B396" t="n">
        <x:v>2015</x:v>
      </x:c>
      <x:c r="C396" t="str">
        <x:v>Kontorbygg</x:v>
      </x:c>
      <x:c r="D396" t="str">
        <x:v>KONTORER, MED VENTILASJON OG KJØLEANLEGG</x:v>
      </x:c>
      <x:c r="E396" t="str">
        <x:v>G</x:v>
      </x:c>
      <x:c r="F396" t="str">
        <x:v>ORANGE</x:v>
      </x:c>
      <x:c r="G396" t="n">
        <x:v>2011</x:v>
      </x:c>
      <x:c r="H396"/>
      <x:c r="I396" t="n">
        <x:v>361</x:v>
      </x:c>
      <x:c r="J396" t="str">
        <x:v>PDF/avansert</x:v>
      </x:c>
      <x:c r="K396" t="n">
        <x:v>252</x:v>
      </x:c>
      <x:c r="L396" t="n">
        <x:v>582</x:v>
      </x:c>
      <x:c r="M396" t="n">
        <x:v>207</x:v>
      </x:c>
      <x:c r="N396" t="n">
        <x:v>83</x:v>
      </x:c>
      <x:c r="O396" t="n">
        <x:v>0.18</x:v>
      </x:c>
      <x:c r="P396" t="n">
        <x:v>0.15</x:v>
      </x:c>
      <x:c r="Q396" t="n">
        <x:v>0.11</x:v>
      </x:c>
      <x:c r="R396" t="n">
        <x:v>1.3</x:v>
      </x:c>
      <x:c r="S396" t="n">
        <x:v>83</x:v>
      </x:c>
      <x:c r="T396" t="n">
        <x:v>83</x:v>
      </x:c>
      <x:c r="U396" t="n">
        <x:v>1.23</x:v>
      </x:c>
      <x:c r="V396" t="n">
        <x:v>0.23</x:v>
      </x:c>
      <x:c r="W396" t="n">
        <x:v>12.2</x:v>
      </x:c>
      <x:c r="X396" t="n">
        <x:v>150</x:v>
      </x:c>
      <x:c r="Y396" t="n">
        <x:v>115</x:v>
      </x:c>
      <x:c r="Z396" t="n">
        <x:v>87</x:v>
      </x:c>
      <x:c r="AA396" t="n">
        <x:v>21</x:v>
      </x:c>
      <x:c r="AB396" t="n">
        <x:v>22</x:v>
      </x:c>
      <x:c r="AC396" t="n">
        <x:v>2.5</x:v>
      </x:c>
      <x:c r="AD396" t="n">
        <x:v>109.87</x:v>
      </x:c>
      <x:c r="AE396" t="n">
        <x:v>0.06</x:v>
      </x:c>
      <x:c r="AF396" t="n">
        <x:v>12</x:v>
      </x:c>
      <x:c r="AG396" t="n">
        <x:v>12</x:v>
      </x:c>
      <x:c r="AH396" t="n">
        <x:v>24</x:v>
      </x:c>
      <x:c r="AI396" t="n">
        <x:v>8</x:v>
      </x:c>
      <x:c r="AJ396" t="n">
        <x:v>11</x:v>
      </x:c>
      <x:c r="AK396" t="n">
        <x:v>250</x:v>
      </x:c>
      <x:c r="AL396" t="str">
        <x:v>Gass; Varmepumpe;</x:v>
      </x:c>
      <x:c r="AM396"/>
      <x:c r="AN396"/>
      <x:c r="AO396"/>
      <x:c r="AP396"/>
      <x:c r="AQ396"/>
      <x:c r="AR396"/>
      <x:c r="AS396"/>
      <x:c r="AT396"/>
      <x:c r="AU396" t="str">
        <x:v>energiattester_export_2025-08-14.json | PDF vedlegg side 5-7</x:v>
      </x:c>
      <x:c r="AV396" s="12" t="n">
        <x:f>IF(COUNT(O396,P396,Q396,R396,K396,L396,M396,N396)=8,O396*K396+P396*L396+Q396*M396+R396*N396,"")</x:f>
        <x:v>263.33000000000004</x:v>
      </x:c>
      <x:c r="AW396" s="12" t="str">
        <x:f>IF(AND(ISNUMBER(AV396),H396&gt;0),AV396/H396,"")</x:f>
      </x:c>
      <x:c r="AX396" s="12" t="str">
        <x:f>IF(AND(ISNUMBER(AD396),H396&gt;0),AD396*H396*3600,"")</x:f>
      </x:c>
      <x:c r="AY396" s="12" t="str">
        <x:f>IF(AND(ISNUMBER(Y396),H396&gt;0),Y396*H396,"")</x:f>
      </x:c>
      <x:c r="AZ396" t="str">
        <x:v>Høy</x:v>
      </x:c>
    </x:row>
    <x:row r="397" ht="22" customHeight="1">
      <x:c r="A397" t="str">
        <x:v>OT-70d798fa0e7e</x:v>
      </x:c>
      <x:c r="B397" t="n">
        <x:v>2015</x:v>
      </x:c>
      <x:c r="C397" t="str">
        <x:v>Kontorbygg</x:v>
      </x:c>
      <x:c r="D397" t="str">
        <x:v>KONTORER, MED VENTILASJON OG KJØLEANLEGG</x:v>
      </x:c>
      <x:c r="E397" t="str">
        <x:v>E</x:v>
      </x:c>
      <x:c r="F397" t="str">
        <x:v>ORANGE</x:v>
      </x:c>
      <x:c r="G397" t="n">
        <x:v>2011</x:v>
      </x:c>
      <x:c r="H397" t="n">
        <x:v>7676</x:v>
      </x:c>
      <x:c r="I397" t="n">
        <x:v>188</x:v>
      </x:c>
      <x:c r="J397" t="str">
        <x:v>PDF/avansert</x:v>
      </x:c>
      <x:c r="K397" t="n">
        <x:v>1952</x:v>
      </x:c>
      <x:c r="L397" t="n">
        <x:v>2810</x:v>
      </x:c>
      <x:c r="M397" t="n">
        <x:v>2829</x:v>
      </x:c>
      <x:c r="N397" t="n">
        <x:v>884</x:v>
      </x:c>
      <x:c r="O397" t="n">
        <x:v>0.18</x:v>
      </x:c>
      <x:c r="P397" t="n">
        <x:v>0.15</x:v>
      </x:c>
      <x:c r="Q397" t="n">
        <x:v>0.08</x:v>
      </x:c>
      <x:c r="R397" t="n">
        <x:v>1.32</x:v>
      </x:c>
      <x:c r="S397" t="n">
        <x:v>79</x:v>
      </x:c>
      <x:c r="T397" t="n">
        <x:v>79</x:v>
      </x:c>
      <x:c r="U397" t="n">
        <x:v>1.86</x:v>
      </x:c>
      <x:c r="V397" t="n">
        <x:v>1.43</x:v>
      </x:c>
      <x:c r="W397" t="n">
        <x:v>11.6</x:v>
      </x:c>
      <x:c r="X397" t="n">
        <x:v>150</x:v>
      </x:c>
      <x:c r="Y397" t="n">
        <x:v>87</x:v>
      </x:c>
      <x:c r="Z397" t="n">
        <x:v>36</x:v>
      </x:c>
      <x:c r="AA397" t="n">
        <x:v>21</x:v>
      </x:c>
      <x:c r="AB397" t="n">
        <x:v>22</x:v>
      </x:c>
      <x:c r="AC397" t="n">
        <x:v>1.5</x:v>
      </x:c>
      <x:c r="AD397" t="n">
        <x:v>79</x:v>
      </x:c>
      <x:c r="AE397" t="n">
        <x:v>0.06</x:v>
      </x:c>
      <x:c r="AF397" t="n">
        <x:v>12</x:v>
      </x:c>
      <x:c r="AG397" t="n">
        <x:v>12</x:v>
      </x:c>
      <x:c r="AH397" t="n">
        <x:v>24</x:v>
      </x:c>
      <x:c r="AI397" t="n">
        <x:v>8</x:v>
      </x:c>
      <x:c r="AJ397" t="n">
        <x:v>11</x:v>
      </x:c>
      <x:c r="AK397" t="n">
        <x:v>250</x:v>
      </x:c>
      <x:c r="AL397" t="str">
        <x:v>Gass; Varmepumpe;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1</x:v>
      </x:c>
      <x:c r="AU397" t="str">
        <x:v>energiattester_export_2025-08-14.json | PDF vedlegg side 5-7</x:v>
      </x:c>
      <x:c r="AV397" s="12" t="n">
        <x:f>IF(COUNT(O397,P397,Q397,R397,K397,L397,M397,N397)=8,O397*K397+P397*L397+Q397*M397+R397*N397,"")</x:f>
        <x:v>2166.0600000000004</x:v>
      </x:c>
      <x:c r="AW397" s="12" t="n">
        <x:f>IF(AND(ISNUMBER(AV397),H397&gt;0),AV397/H397,"")</x:f>
        <x:v>0.282186034392913</x:v>
      </x:c>
      <x:c r="AX397" s="12" t="n">
        <x:f>IF(AND(ISNUMBER(AD397),H397&gt;0),AD397*H397*3600,"")</x:f>
        <x:v>2183054400</x:v>
      </x:c>
      <x:c r="AY397" s="12" t="n">
        <x:f>IF(AND(ISNUMBER(Y397),H397&gt;0),Y397*H397,"")</x:f>
        <x:v>667812</x:v>
      </x:c>
      <x:c r="AZ397" t="str">
        <x:v>Høy</x:v>
      </x:c>
    </x:row>
    <x:row r="398" ht="22" customHeight="1">
      <x:c r="A398" t="str">
        <x:v>OT-3d30c9c939ff</x:v>
      </x:c>
      <x:c r="B398" t="n">
        <x:v>2015</x:v>
      </x:c>
      <x:c r="C398" t="str">
        <x:v>Kontorbygg</x:v>
      </x:c>
      <x:c r="D398" t="str">
        <x:v>KONTORER, MED VENTILASJON OG KJØLEANLEGG</x:v>
      </x:c>
      <x:c r="E398" t="str">
        <x:v>F</x:v>
      </x:c>
      <x:c r="F398" t="str">
        <x:v>RED</x:v>
      </x:c>
      <x:c r="G398" t="n">
        <x:v>1983</x:v>
      </x:c>
      <x:c r="H398" t="n">
        <x:v>1344</x:v>
      </x:c>
      <x:c r="I398" t="n">
        <x:v>230.9</x:v>
      </x:c>
      <x:c r="J398" t="str">
        <x:v>PDF/avansert</x:v>
      </x:c>
      <x:c r="K398" t="n">
        <x:v>592</x:v>
      </x:c>
      <x:c r="L398" t="n">
        <x:v>708</x:v>
      </x:c>
      <x:c r="M398" t="n">
        <x:v>672</x:v>
      </x:c>
      <x:c r="N398" t="n">
        <x:v>227</x:v>
      </x:c>
      <x:c r="O398" t="n">
        <x:v>0.27</x:v>
      </x:c>
      <x:c r="P398" t="n">
        <x:v>0.2</x:v>
      </x:c>
      <x:c r="Q398" t="n">
        <x:v>0.15</x:v>
      </x:c>
      <x:c r="R398" t="n">
        <x:v>2.03</x:v>
      </x:c>
      <x:c r="S398" t="n">
        <x:v>45</x:v>
      </x:c>
      <x:c r="T398" t="n">
        <x:v>45</x:v>
      </x:c>
      <x:c r="U398" t="n">
        <x:v>3.54</x:v>
      </x:c>
      <x:c r="V398" t="n">
        <x:v>1.15</x:v>
      </x:c>
      <x:c r="W398" t="n">
        <x:v>7.33</x:v>
      </x:c>
      <x:c r="X398" t="n">
        <x:v>89</x:v>
      </x:c>
      <x:c r="Y398" t="n">
        <x:v>128</x:v>
      </x:c>
      <x:c r="Z398" t="n">
        <x:v>17</x:v>
      </x:c>
      <x:c r="AA398" t="n">
        <x:v>21</x:v>
      </x:c>
      <x:c r="AB398" t="n">
        <x:v>22</x:v>
      </x:c>
      <x:c r="AC398" t="n">
        <x:v>2.8</x:v>
      </x:c>
      <x:c r="AD398" t="n">
        <x:v>14.8</x:v>
      </x:c>
      <x:c r="AE398" t="n">
        <x:v>0.06</x:v>
      </x:c>
      <x:c r="AF398" t="n">
        <x:v>12</x:v>
      </x:c>
      <x:c r="AG398" t="n">
        <x:v>12</x:v>
      </x:c>
      <x:c r="AH398" t="n">
        <x:v>24</x:v>
      </x:c>
      <x:c r="AI398" t="n">
        <x:v>8</x:v>
      </x:c>
      <x:c r="AJ398" t="n">
        <x:v>11</x:v>
      </x:c>
      <x:c r="AK398" t="n">
        <x:v>250</x:v>
      </x:c>
      <x:c r="AL398" t="str">
        <x:v>Direkte elektrisk;</x:v>
      </x:c>
      <x:c r="AM398" t="n">
        <x:v>0</x:v>
      </x:c>
      <x:c r="AN398" t="n">
        <x:v>0</x:v>
      </x:c>
      <x:c r="AO398" t="n">
        <x:v>1</x:v>
      </x:c>
      <x:c r="AP398" t="n">
        <x:v>1</x:v>
      </x:c>
      <x:c r="AQ398" t="n">
        <x:v>0</x:v>
      </x:c>
      <x:c r="AR398" t="n">
        <x:v>1</x:v>
      </x:c>
      <x:c r="AS398" t="n">
        <x:v>1</x:v>
      </x:c>
      <x:c r="AT398" t="n">
        <x:v>0</x:v>
      </x:c>
      <x:c r="AU398" t="str">
        <x:v>energiattester_export_2025-08-14.json | PDF vedlegg side 5-7</x:v>
      </x:c>
      <x:c r="AV398" s="12" t="n">
        <x:f>IF(COUNT(O398,P398,Q398,R398,K398,L398,M398,N398)=8,O398*K398+P398*L398+Q398*M398+R398*N398,"")</x:f>
        <x:v>863.05</x:v>
      </x:c>
      <x:c r="AW398" s="12" t="n">
        <x:f>IF(AND(ISNUMBER(AV398),H398&gt;0),AV398/H398,"")</x:f>
        <x:v>0.6421502976190476</x:v>
      </x:c>
      <x:c r="AX398" s="12" t="n">
        <x:f>IF(AND(ISNUMBER(AD398),H398&gt;0),AD398*H398*3600,"")</x:f>
        <x:v>71608320</x:v>
      </x:c>
      <x:c r="AY398" s="12" t="n">
        <x:f>IF(AND(ISNUMBER(Y398),H398&gt;0),Y398*H398,"")</x:f>
        <x:v>172032</x:v>
      </x:c>
      <x:c r="AZ398" t="str">
        <x:v>Høy</x:v>
      </x:c>
    </x:row>
    <x:row r="399" ht="22" customHeight="1">
      <x:c r="A399" t="str">
        <x:v>OT-49367060ee38</x:v>
      </x:c>
      <x:c r="B399" t="n">
        <x:v>2015</x:v>
      </x:c>
      <x:c r="C399" t="str">
        <x:v>Kontorbygg</x:v>
      </x:c>
      <x:c r="D399" t="str">
        <x:v>KONTORER, ENKLE</x:v>
      </x:c>
      <x:c r="E399" t="str">
        <x:v>C</x:v>
      </x:c>
      <x:c r="F399" t="str">
        <x:v>RED</x:v>
      </x:c>
      <x:c r="G399" t="n">
        <x:v>2012</x:v>
      </x:c>
      <x:c r="H399" t="n">
        <x:v>1217</x:v>
      </x:c>
      <x:c r="I399" t="n">
        <x:v>139.7</x:v>
      </x:c>
      <x:c r="J399" t="str">
        <x:v>PDF/avansert</x:v>
      </x:c>
      <x:c r="K399" t="n">
        <x:v>665</x:v>
      </x:c>
      <x:c r="L399" t="n">
        <x:v>690</x:v>
      </x:c>
      <x:c r="M399" t="n">
        <x:v>115</x:v>
      </x:c>
      <x:c r="N399" t="n">
        <x:v>185</x:v>
      </x:c>
      <x:c r="O399" t="n">
        <x:v>0.15</x:v>
      </x:c>
      <x:c r="P399" t="n">
        <x:v>0.13</x:v>
      </x:c>
      <x:c r="Q399" t="n">
        <x:v>0.15</x:v>
      </x:c>
      <x:c r="R399" t="n">
        <x:v>1.2</x:v>
      </x:c>
      <x:c r="S399" t="n">
        <x:v>80</x:v>
      </x:c>
      <x:c r="T399" t="n">
        <x:v>80</x:v>
      </x:c>
      <x:c r="U399" t="n">
        <x:v>2</x:v>
      </x:c>
      <x:c r="V399" t="n">
        <x:v>0.41</x:v>
      </x:c>
      <x:c r="W399" t="n">
        <x:v>10.89</x:v>
      </x:c>
      <x:c r="X399" t="n">
        <x:v>85</x:v>
      </x:c>
      <x:c r="Y399" t="n">
        <x:v>80</x:v>
      </x:c>
      <x:c r="Z399" t="n">
        <x:v>0</x:v>
      </x:c>
      <x:c r="AA399" t="n">
        <x:v>21</x:v>
      </x:c>
      <x:c r="AB399" t="n">
        <x:v>22</x:v>
      </x:c>
      <x:c r="AC399" t="n">
        <x:v>1.5</x:v>
      </x:c>
      <x:c r="AD399" t="n">
        <x:v>12.6</x:v>
      </x:c>
      <x:c r="AE399" t="n">
        <x:v>0.05</x:v>
      </x:c>
      <x:c r="AF399" t="n">
        <x:v>12</x:v>
      </x:c>
      <x:c r="AG399" t="n">
        <x:v>12</x:v>
      </x:c>
      <x:c r="AH399" t="n">
        <x:v>24</x:v>
      </x:c>
      <x:c r="AI399" t="n">
        <x:v>6.4</x:v>
      </x:c>
      <x:c r="AJ399" t="n">
        <x:v>11</x:v>
      </x:c>
      <x:c r="AK399" t="n">
        <x:v>250</x:v>
      </x:c>
      <x:c r="AL399" t="str">
        <x:v>Direkte elektrisk;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1</x:v>
      </x:c>
      <x:c r="AR399" t="n">
        <x:v>1</x:v>
      </x:c>
      <x:c r="AS399" t="n">
        <x:v>1</x:v>
      </x:c>
      <x:c r="AT399" t="n">
        <x:v>0</x:v>
      </x:c>
      <x:c r="AU399" t="str">
        <x:v>energiattester_export_2025-08-14.json | PDF vedlegg side 5-7</x:v>
      </x:c>
      <x:c r="AV399" s="12" t="n">
        <x:f>IF(COUNT(O399,P399,Q399,R399,K399,L399,M399,N399)=8,O399*K399+P399*L399+Q399*M399+R399*N399,"")</x:f>
        <x:v>428.7</x:v>
      </x:c>
      <x:c r="AW399" s="12" t="n">
        <x:f>IF(AND(ISNUMBER(AV399),H399&gt;0),AV399/H399,"")</x:f>
        <x:v>0.35225965488907146</x:v>
      </x:c>
      <x:c r="AX399" s="12" t="n">
        <x:f>IF(AND(ISNUMBER(AD399),H399&gt;0),AD399*H399*3600,"")</x:f>
        <x:v>55203119.99999999</x:v>
      </x:c>
      <x:c r="AY399" s="12" t="n">
        <x:f>IF(AND(ISNUMBER(Y399),H399&gt;0),Y399*H399,"")</x:f>
        <x:v>97360</x:v>
      </x:c>
      <x:c r="AZ399" t="str">
        <x:v>Høy</x:v>
      </x:c>
    </x:row>
    <x:row r="400" ht="22" customHeight="1">
      <x:c r="A400" t="str">
        <x:v>OT-8b5ca7224fd2</x:v>
      </x:c>
      <x:c r="B400" t="n">
        <x:v>2015</x:v>
      </x:c>
      <x:c r="C400" t="str">
        <x:v>Kontorbygg</x:v>
      </x:c>
      <x:c r="D400" t="str">
        <x:v>KONTORER, ENKLE</x:v>
      </x:c>
      <x:c r="E400" t="str">
        <x:v>D</x:v>
      </x:c>
      <x:c r="F400" t="str">
        <x:v>RED</x:v>
      </x:c>
      <x:c r="G400" t="n">
        <x:v>1990</x:v>
      </x:c>
      <x:c r="H400" t="n">
        <x:v>856</x:v>
      </x:c>
      <x:c r="I400" t="n">
        <x:v>174</x:v>
      </x:c>
      <x:c r="J400" t="str">
        <x:v>PDF/avansert</x:v>
      </x:c>
      <x:c r="K400" t="n">
        <x:v>311</x:v>
      </x:c>
      <x:c r="L400" t="n">
        <x:v>448</x:v>
      </x:c>
      <x:c r="M400" t="n">
        <x:v>452</x:v>
      </x:c>
      <x:c r="N400" t="n">
        <x:v>256</x:v>
      </x:c>
      <x:c r="O400" t="n">
        <x:v>0.23</x:v>
      </x:c>
      <x:c r="P400" t="n">
        <x:v>0.2</x:v>
      </x:c>
      <x:c r="Q400" t="n">
        <x:v>0.15</x:v>
      </x:c>
      <x:c r="R400" t="n">
        <x:v>1.94</x:v>
      </x:c>
      <x:c r="S400" t="n">
        <x:v>60</x:v>
      </x:c>
      <x:c r="T400" t="n">
        <x:v>60</x:v>
      </x:c>
      <x:c r="U400" t="n">
        <x:v>3</x:v>
      </x:c>
      <x:c r="V400" t="n">
        <x:v>0</x:v>
      </x:c>
      <x:c r="W400" t="n">
        <x:v>8</x:v>
      </x:c>
      <x:c r="X400" t="n">
        <x:v>90</x:v>
      </x:c>
      <x:c r="Y400" t="n">
        <x:v>130</x:v>
      </x:c>
      <x:c r="Z400" t="n">
        <x:v>0</x:v>
      </x:c>
      <x:c r="AA400" t="n">
        <x:v>21</x:v>
      </x:c>
      <x:c r="AB400" t="n">
        <x:v>22</x:v>
      </x:c>
      <x:c r="AC400" t="n">
        <x:v>1.5</x:v>
      </x:c>
      <x:c r="AD400" t="n">
        <x:v>22.4</x:v>
      </x:c>
      <x:c r="AE400" t="n">
        <x:v>0.09</x:v>
      </x:c>
      <x:c r="AF400" t="n">
        <x:v>12</x:v>
      </x:c>
      <x:c r="AG400" t="n">
        <x:v>12</x:v>
      </x:c>
      <x:c r="AH400" t="n">
        <x:v>24</x:v>
      </x:c>
      <x:c r="AI400" t="n">
        <x:v>8</x:v>
      </x:c>
      <x:c r="AJ400" t="n">
        <x:v>11</x:v>
      </x:c>
      <x:c r="AK400" t="n">
        <x:v>250</x:v>
      </x:c>
      <x:c r="AL400" t="str">
        <x:v>Direkte elektrisk;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1</x:v>
      </x:c>
      <x:c r="AT400" t="n">
        <x:v>1</x:v>
      </x:c>
      <x:c r="AU400" t="str">
        <x:v>energiattester_export_2025-08-14.json | PDF vedlegg side 5-7</x:v>
      </x:c>
      <x:c r="AV400" s="12" t="n">
        <x:f>IF(COUNT(O400,P400,Q400,R400,K400,L400,M400,N400)=8,O400*K400+P400*L400+Q400*M400+R400*N400,"")</x:f>
        <x:v>725.5699999999999</x:v>
      </x:c>
      <x:c r="AW400" s="12" t="n">
        <x:f>IF(AND(ISNUMBER(AV400),H400&gt;0),AV400/H400,"")</x:f>
        <x:v>0.8476285046728971</x:v>
      </x:c>
      <x:c r="AX400" s="12" t="n">
        <x:f>IF(AND(ISNUMBER(AD400),H400&gt;0),AD400*H400*3600,"")</x:f>
        <x:v>69027839.99999999</x:v>
      </x:c>
      <x:c r="AY400" s="12" t="n">
        <x:f>IF(AND(ISNUMBER(Y400),H400&gt;0),Y400*H400,"")</x:f>
        <x:v>111280</x:v>
      </x:c>
      <x:c r="AZ400" t="str">
        <x:v>Høy</x:v>
      </x:c>
    </x:row>
    <x:row r="401" ht="22" customHeight="1">
      <x:c r="A401" t="str">
        <x:v>OT-975f4122d91b</x:v>
      </x:c>
      <x:c r="B401" t="n">
        <x:v>2015</x:v>
      </x:c>
      <x:c r="C401" t="str">
        <x:v>Kontorbygg</x:v>
      </x:c>
      <x:c r="D401" t="str">
        <x:v>KONTORER, MED VENTILASJON OG KJØLEANLEGG</x:v>
      </x:c>
      <x:c r="E401" t="str">
        <x:v>D</x:v>
      </x:c>
      <x:c r="F401" t="str">
        <x:v>RED</x:v>
      </x:c>
      <x:c r="G401" t="n">
        <x:v>1986</x:v>
      </x:c>
      <x:c r="H401" t="n">
        <x:v>1200</x:v>
      </x:c>
      <x:c r="I401" t="n">
        <x:v>149</x:v>
      </x:c>
      <x:c r="J401" t="str">
        <x:v>PDF/avansert</x:v>
      </x:c>
      <x:c r="K401" t="n">
        <x:v>353</x:v>
      </x:c>
      <x:c r="L401" t="n">
        <x:v>599</x:v>
      </x:c>
      <x:c r="M401" t="n">
        <x:v>600</x:v>
      </x:c>
      <x:c r="N401" t="n">
        <x:v>152</x:v>
      </x:c>
      <x:c r="O401" t="n">
        <x:v>0.3</x:v>
      </x:c>
      <x:c r="P401" t="n">
        <x:v>0.2</x:v>
      </x:c>
      <x:c r="Q401" t="n">
        <x:v>0.16</x:v>
      </x:c>
      <x:c r="R401" t="n">
        <x:v>1.8</x:v>
      </x:c>
      <x:c r="S401" t="n">
        <x:v>80</x:v>
      </x:c>
      <x:c r="T401" t="n">
        <x:v>80</x:v>
      </x:c>
      <x:c r="U401" t="n">
        <x:v>2</x:v>
      </x:c>
      <x:c r="V401" t="n">
        <x:v>0.19</x:v>
      </x:c>
      <x:c r="W401" t="n">
        <x:v>12</x:v>
      </x:c>
      <x:c r="X401" t="n">
        <x:v>98</x:v>
      </x:c>
      <x:c r="Y401" t="n">
        <x:v>131</x:v>
      </x:c>
      <x:c r="Z401" t="n">
        <x:v>50</x:v>
      </x:c>
      <x:c r="AA401" t="n">
        <x:v>21</x:v>
      </x:c>
      <x:c r="AB401" t="n">
        <x:v>22</x:v>
      </x:c>
      <x:c r="AC401" t="n">
        <x:v>1.96</x:v>
      </x:c>
      <x:c r="AD401" t="n">
        <x:v>108.7</x:v>
      </x:c>
      <x:c r="AE401" t="n">
        <x:v>0.06</x:v>
      </x:c>
      <x:c r="AF401" t="n">
        <x:v>12</x:v>
      </x:c>
      <x:c r="AG401" t="n">
        <x:v>12</x:v>
      </x:c>
      <x:c r="AH401" t="n">
        <x:v>24</x:v>
      </x:c>
      <x:c r="AI401" t="n">
        <x:v>8</x:v>
      </x:c>
      <x:c r="AJ401" t="n">
        <x:v>11</x:v>
      </x:c>
      <x:c r="AK401" t="n">
        <x:v>240</x:v>
      </x:c>
      <x:c r="AL401" t="str">
        <x:v>Direkte elektrisk;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1</x:v>
      </x:c>
      <x:c r="AR401" t="n">
        <x:v>0</x:v>
      </x:c>
      <x:c r="AS401" t="n">
        <x:v>0</x:v>
      </x:c>
      <x:c r="AT401" t="n">
        <x:v>0</x:v>
      </x:c>
      <x:c r="AU401" t="str">
        <x:v>energiattester_export_2025-08-14.json | PDF vedlegg side 5-7</x:v>
      </x:c>
      <x:c r="AV401" s="12" t="n">
        <x:f>IF(COUNT(O401,P401,Q401,R401,K401,L401,M401,N401)=8,O401*K401+P401*L401+Q401*M401+R401*N401,"")</x:f>
        <x:v>595.3</x:v>
      </x:c>
      <x:c r="AW401" s="12" t="n">
        <x:f>IF(AND(ISNUMBER(AV401),H401&gt;0),AV401/H401,"")</x:f>
        <x:v>0.4960833333333333</x:v>
      </x:c>
      <x:c r="AX401" s="12" t="n">
        <x:f>IF(AND(ISNUMBER(AD401),H401&gt;0),AD401*H401*3600,"")</x:f>
        <x:v>469584000</x:v>
      </x:c>
      <x:c r="AY401" s="12" t="n">
        <x:f>IF(AND(ISNUMBER(Y401),H401&gt;0),Y401*H401,"")</x:f>
        <x:v>157200</x:v>
      </x:c>
      <x:c r="AZ401" t="str">
        <x:v>Høy</x:v>
      </x:c>
    </x:row>
    <x:row r="402" ht="22" customHeight="1">
      <x:c r="A402" t="str">
        <x:v>OT-add7cc827c92</x:v>
      </x:c>
      <x:c r="B402" t="n">
        <x:v>2015</x:v>
      </x:c>
      <x:c r="C402" t="str">
        <x:v>Kontorbygg</x:v>
      </x:c>
      <x:c r="D402" t="str">
        <x:v>KONTORER, MED VENTILASJON OG KJØLEANLEGG</x:v>
      </x:c>
      <x:c r="E402" t="str">
        <x:v>G</x:v>
      </x:c>
      <x:c r="F402" t="str">
        <x:v>RED</x:v>
      </x:c>
      <x:c r="G402" t="n">
        <x:v>1955</x:v>
      </x:c>
      <x:c r="H402" t="n">
        <x:v>2190</x:v>
      </x:c>
      <x:c r="I402" t="n">
        <x:v>445</x:v>
      </x:c>
      <x:c r="J402" t="str">
        <x:v>PDF/avansert</x:v>
      </x:c>
      <x:c r="K402" t="n">
        <x:v>928</x:v>
      </x:c>
      <x:c r="L402" t="n">
        <x:v>281</x:v>
      </x:c>
      <x:c r="M402" t="n">
        <x:v>0</x:v>
      </x:c>
      <x:c r="N402" t="n">
        <x:v>370</x:v>
      </x:c>
      <x:c r="O402" t="n">
        <x:v>1.16</x:v>
      </x:c>
      <x:c r="P402" t="n">
        <x:v>0.92</x:v>
      </x:c>
      <x:c r="Q402" t="n">
        <x:v>0</x:v>
      </x:c>
      <x:c r="R402" t="n">
        <x:v>2.57</x:v>
      </x:c>
      <x:c r="S402" t="n">
        <x:v>5</x:v>
      </x:c>
      <x:c r="T402" t="n">
        <x:v>5</x:v>
      </x:c>
      <x:c r="U402" t="n">
        <x:v>2.07</x:v>
      </x:c>
      <x:c r="V402" t="n">
        <x:v>0.81</x:v>
      </x:c>
      <x:c r="W402" t="n">
        <x:v>7.23</x:v>
      </x:c>
      <x:c r="X402" t="n">
        <x:v>87</x:v>
      </x:c>
      <x:c r="Y402" t="n">
        <x:v>213</x:v>
      </x:c>
      <x:c r="Z402" t="n">
        <x:v>49</x:v>
      </x:c>
      <x:c r="AA402" t="n">
        <x:v>21</x:v>
      </x:c>
      <x:c r="AB402" t="n">
        <x:v>22</x:v>
      </x:c>
      <x:c r="AC402" t="n">
        <x:v>9</x:v>
      </x:c>
      <x:c r="AD402" t="n">
        <x:v>126.4</x:v>
      </x:c>
      <x:c r="AE402" t="n">
        <x:v>0.12</x:v>
      </x:c>
      <x:c r="AF402" t="n">
        <x:v>12</x:v>
      </x:c>
      <x:c r="AG402" t="n">
        <x:v>12</x:v>
      </x:c>
      <x:c r="AH402" t="n">
        <x:v>24</x:v>
      </x:c>
      <x:c r="AI402" t="n">
        <x:v>8</x:v>
      </x:c>
      <x:c r="AJ402" t="n">
        <x:v>11</x:v>
      </x:c>
      <x:c r="AK402" t="n">
        <x:v>250</x:v>
      </x:c>
      <x:c r="AL402" t="str">
        <x:v>Direkte elektrisk; Olje; Varmepumpe;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1</x:v>
      </x:c>
      <x:c r="AS402" t="n">
        <x:v>1</x:v>
      </x:c>
      <x:c r="AT402" t="n">
        <x:v>1</x:v>
      </x:c>
      <x:c r="AU402" t="str">
        <x:v>energiattester_export_2025-08-14.json | PDF vedlegg side 5-7</x:v>
      </x:c>
      <x:c r="AV402" s="12" t="n">
        <x:f>IF(COUNT(O402,P402,Q402,R402,K402,L402,M402,N402)=8,O402*K402+P402*L402+Q402*M402+R402*N402,"")</x:f>
        <x:v>2285.9</x:v>
      </x:c>
      <x:c r="AW402" s="12" t="n">
        <x:f>IF(AND(ISNUMBER(AV402),H402&gt;0),AV402/H402,"")</x:f>
        <x:v>1.0437899543378997</x:v>
      </x:c>
      <x:c r="AX402" s="12" t="n">
        <x:f>IF(AND(ISNUMBER(AD402),H402&gt;0),AD402*H402*3600,"")</x:f>
        <x:v>996537600</x:v>
      </x:c>
      <x:c r="AY402" s="12" t="n">
        <x:f>IF(AND(ISNUMBER(Y402),H402&gt;0),Y402*H402,"")</x:f>
        <x:v>466470</x:v>
      </x:c>
      <x:c r="AZ402" t="str">
        <x:v>Høy</x:v>
      </x:c>
    </x:row>
    <x:row r="403" ht="22" customHeight="1">
      <x:c r="A403" t="str">
        <x:v>OT-f2ca92999123</x:v>
      </x:c>
      <x:c r="B403" t="n">
        <x:v>2015</x:v>
      </x:c>
      <x:c r="C403" t="str">
        <x:v>Kontorbygg</x:v>
      </x:c>
      <x:c r="D403" t="str">
        <x:v>KONTORER, MED VENTILASJON OG KJØLEANLEGG</x:v>
      </x:c>
      <x:c r="E403" t="str">
        <x:v>D</x:v>
      </x:c>
      <x:c r="F403" t="str">
        <x:v>RED</x:v>
      </x:c>
      <x:c r="G403" t="n">
        <x:v>1987</x:v>
      </x:c>
      <x:c r="H403" t="n">
        <x:v>2280</x:v>
      </x:c>
      <x:c r="I403" t="n">
        <x:v>156</x:v>
      </x:c>
      <x:c r="J403" t="str">
        <x:v>PDF/avansert</x:v>
      </x:c>
      <x:c r="K403" t="n">
        <x:v>772</x:v>
      </x:c>
      <x:c r="L403" t="n">
        <x:v>830</x:v>
      </x:c>
      <x:c r="M403" t="n">
        <x:v>1134</x:v>
      </x:c>
      <x:c r="N403" t="n">
        <x:v>301</x:v>
      </x:c>
      <x:c r="O403" t="n">
        <x:v>0.28</x:v>
      </x:c>
      <x:c r="P403" t="n">
        <x:v>0.23</x:v>
      </x:c>
      <x:c r="Q403" t="n">
        <x:v>0.13</x:v>
      </x:c>
      <x:c r="R403" t="n">
        <x:v>1.49</x:v>
      </x:c>
      <x:c r="S403" t="n">
        <x:v>80</x:v>
      </x:c>
      <x:c r="T403" t="n">
        <x:v>80</x:v>
      </x:c>
      <x:c r="U403" t="n">
        <x:v>2</x:v>
      </x:c>
      <x:c r="V403" t="n">
        <x:v>1.36</x:v>
      </x:c>
      <x:c r="W403" t="n">
        <x:v>7.6</x:v>
      </x:c>
      <x:c r="X403" t="n">
        <x:v>90</x:v>
      </x:c>
      <x:c r="Y403" t="n">
        <x:v>63</x:v>
      </x:c>
      <x:c r="Z403" t="n">
        <x:v>1</x:v>
      </x:c>
      <x:c r="AA403" t="n">
        <x:v>21</x:v>
      </x:c>
      <x:c r="AB403" t="n">
        <x:v>22</x:v>
      </x:c>
      <x:c r="AC403" t="n">
        <x:v>1.5</x:v>
      </x:c>
      <x:c r="AD403" t="n">
        <x:v>79.6</x:v>
      </x:c>
      <x:c r="AE403" t="n">
        <x:v>0.06</x:v>
      </x:c>
      <x:c r="AF403" t="n">
        <x:v>12</x:v>
      </x:c>
      <x:c r="AG403" t="n">
        <x:v>12</x:v>
      </x:c>
      <x:c r="AH403" t="n">
        <x:v>24</x:v>
      </x:c>
      <x:c r="AI403" t="n">
        <x:v>8</x:v>
      </x:c>
      <x:c r="AJ403" t="n">
        <x:v>11</x:v>
      </x:c>
      <x:c r="AK403" t="n">
        <x:v>250</x:v>
      </x:c>
      <x:c r="AL403" t="str">
        <x:v>Direkte elektrisk;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1</x:v>
      </x:c>
      <x:c r="AT403" t="n">
        <x:v>1</x:v>
      </x:c>
      <x:c r="AU403" t="str">
        <x:v>energiattester_export_2025-08-14.json | PDF vedlegg side 5-7</x:v>
      </x:c>
      <x:c r="AV403" s="12" t="n">
        <x:f>IF(COUNT(O403,P403,Q403,R403,K403,L403,M403,N403)=8,O403*K403+P403*L403+Q403*M403+R403*N403,"")</x:f>
        <x:v>1002.97</x:v>
      </x:c>
      <x:c r="AW403" s="12" t="n">
        <x:f>IF(AND(ISNUMBER(AV403),H403&gt;0),AV403/H403,"")</x:f>
        <x:v>0.43989912280701754</x:v>
      </x:c>
      <x:c r="AX403" s="12" t="n">
        <x:f>IF(AND(ISNUMBER(AD403),H403&gt;0),AD403*H403*3600,"")</x:f>
        <x:v>653356800</x:v>
      </x:c>
      <x:c r="AY403" s="12" t="n">
        <x:f>IF(AND(ISNUMBER(Y403),H403&gt;0),Y403*H403,"")</x:f>
        <x:v>143640</x:v>
      </x:c>
      <x:c r="AZ403" t="str">
        <x:v>Høy</x:v>
      </x:c>
    </x:row>
    <x:row r="404" ht="22" customHeight="1">
      <x:c r="A404" t="str">
        <x:v>OT-f07e96a9f25a</x:v>
      </x:c>
      <x:c r="B404" t="n">
        <x:v>2015</x:v>
      </x:c>
      <x:c r="C404" t="str">
        <x:v>Kontorbygg</x:v>
      </x:c>
      <x:c r="D404" t="str">
        <x:v>KONTORER, ENKLE</x:v>
      </x:c>
      <x:c r="E404" t="str">
        <x:v>E</x:v>
      </x:c>
      <x:c r="F404" t="str">
        <x:v>RED</x:v>
      </x:c>
      <x:c r="G404" t="n">
        <x:v>1972</x:v>
      </x:c>
      <x:c r="H404" t="n">
        <x:v>363</x:v>
      </x:c>
      <x:c r="I404" t="n">
        <x:v>192</x:v>
      </x:c>
      <x:c r="J404" t="str">
        <x:v>PDF/avansert</x:v>
      </x:c>
      <x:c r="K404" t="n">
        <x:v>202</x:v>
      </x:c>
      <x:c r="L404" t="n">
        <x:v>364</x:v>
      </x:c>
      <x:c r="M404" t="n">
        <x:v>0</x:v>
      </x:c>
      <x:c r="N404" t="n">
        <x:v>45</x:v>
      </x:c>
      <x:c r="O404" t="n">
        <x:v>0.4</x:v>
      </x:c>
      <x:c r="P404" t="n">
        <x:v>0.4</x:v>
      </x:c>
      <x:c r="Q404" t="n">
        <x:v>0</x:v>
      </x:c>
      <x:c r="R404" t="n">
        <x:v>1.34</x:v>
      </x:c>
      <x:c r="S404" t="n">
        <x:v>70</x:v>
      </x:c>
      <x:c r="T404" t="n">
        <x:v>70</x:v>
      </x:c>
      <x:c r="U404" t="n">
        <x:v>2</x:v>
      </x:c>
      <x:c r="V404" t="n">
        <x:v>0.4</x:v>
      </x:c>
      <x:c r="W404" t="n">
        <x:v>7</x:v>
      </x:c>
      <x:c r="X404" t="n">
        <x:v>76</x:v>
      </x:c>
      <x:c r="Y404" t="n">
        <x:v>151</x:v>
      </x:c>
      <x:c r="Z404" t="n">
        <x:v>0</x:v>
      </x:c>
      <x:c r="AA404" t="n">
        <x:v>21</x:v>
      </x:c>
      <x:c r="AB404" t="n">
        <x:v>22</x:v>
      </x:c>
      <x:c r="AC404" t="n">
        <x:v>1.5</x:v>
      </x:c>
      <x:c r="AD404" t="n">
        <x:v>165.2</x:v>
      </x:c>
      <x:c r="AE404" t="n">
        <x:v>0.06</x:v>
      </x:c>
      <x:c r="AF404" t="n">
        <x:v>12</x:v>
      </x:c>
      <x:c r="AG404" t="n">
        <x:v>12</x:v>
      </x:c>
      <x:c r="AH404" t="n">
        <x:v>24</x:v>
      </x:c>
      <x:c r="AI404" t="n">
        <x:v>8</x:v>
      </x:c>
      <x:c r="AJ404" t="n">
        <x:v>11</x:v>
      </x:c>
      <x:c r="AK404" t="n">
        <x:v>250</x:v>
      </x:c>
      <x:c r="AL404" t="str">
        <x:v>Direkte elektrisk; Olje;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str">
        <x:v>energiattester_export_2025-08-14.json | PDF vedlegg side 5-7</x:v>
      </x:c>
      <x:c r="AV404" s="12" t="n">
        <x:f>IF(COUNT(O404,P404,Q404,R404,K404,L404,M404,N404)=8,O404*K404+P404*L404+Q404*M404+R404*N404,"")</x:f>
        <x:v>286.7</x:v>
      </x:c>
      <x:c r="AW404" s="12" t="n">
        <x:f>IF(AND(ISNUMBER(AV404),H404&gt;0),AV404/H404,"")</x:f>
        <x:v>0.7898071625344353</x:v>
      </x:c>
      <x:c r="AX404" s="12" t="n">
        <x:f>IF(AND(ISNUMBER(AD404),H404&gt;0),AD404*H404*3600,"")</x:f>
        <x:v>215883360</x:v>
      </x:c>
      <x:c r="AY404" s="12" t="n">
        <x:f>IF(AND(ISNUMBER(Y404),H404&gt;0),Y404*H404,"")</x:f>
        <x:v>54813</x:v>
      </x:c>
      <x:c r="AZ404" t="str">
        <x:v>Høy</x:v>
      </x:c>
    </x:row>
    <x:row r="405" ht="22" customHeight="1">
      <x:c r="A405" t="str">
        <x:v>OT-5b2179a5fcc1</x:v>
      </x:c>
      <x:c r="B405" t="n">
        <x:v>2015</x:v>
      </x:c>
      <x:c r="C405" t="str">
        <x:v>Forretningsbygg</x:v>
      </x:c>
      <x:c r="D405" t="str">
        <x:v>BUTIKK MED KJØLE- / FRYSEROM</x:v>
      </x:c>
      <x:c r="E405" t="str">
        <x:v>C</x:v>
      </x:c>
      <x:c r="F405" t="str">
        <x:v>ORANGE</x:v>
      </x:c>
      <x:c r="G405" t="n">
        <x:v>1954</x:v>
      </x:c>
      <x:c r="H405" t="n">
        <x:v>1700</x:v>
      </x:c>
      <x:c r="I405" t="n">
        <x:v>169</x:v>
      </x:c>
      <x:c r="J405" t="str">
        <x:v>PDF/avansert</x:v>
      </x:c>
      <x:c r="K405" t="n">
        <x:v>172</x:v>
      </x:c>
      <x:c r="L405" t="n">
        <x:v>0</x:v>
      </x:c>
      <x:c r="M405" t="n">
        <x:v>1700</x:v>
      </x:c>
      <x:c r="N405" t="n">
        <x:v>52</x:v>
      </x:c>
      <x:c r="O405" t="n">
        <x:v>1.02</x:v>
      </x:c>
      <x:c r="P405" t="n">
        <x:v>0</x:v>
      </x:c>
      <x:c r="Q405" t="n">
        <x:v>0.08</x:v>
      </x:c>
      <x:c r="R405" t="n">
        <x:v>2.36</x:v>
      </x:c>
      <x:c r="S405" t="n">
        <x:v>78</x:v>
      </x:c>
      <x:c r="T405" t="n">
        <x:v>78</x:v>
      </x:c>
      <x:c r="U405" t="n">
        <x:v>2</x:v>
      </x:c>
      <x:c r="V405" t="n">
        <x:v>0</x:v>
      </x:c>
      <x:c r="W405" t="n">
        <x:v>13.38</x:v>
      </x:c>
      <x:c r="X405" t="n">
        <x:v>94</x:v>
      </x:c>
      <x:c r="Y405" t="n">
        <x:v>182</x:v>
      </x:c>
      <x:c r="Z405" t="n">
        <x:v>66</x:v>
      </x:c>
      <x:c r="AA405" t="n">
        <x:v>21</x:v>
      </x:c>
      <x:c r="AB405" t="n">
        <x:v>22</x:v>
      </x:c>
      <x:c r="AC405" t="n">
        <x:v>6</x:v>
      </x:c>
      <x:c r="AD405" t="n">
        <x:v>142.4</x:v>
      </x:c>
      <x:c r="AE405" t="n">
        <x:v>0.08</x:v>
      </x:c>
      <x:c r="AF405" t="n">
        <x:v>12</x:v>
      </x:c>
      <x:c r="AG405" t="n">
        <x:v>12</x:v>
      </x:c>
      <x:c r="AH405" t="n">
        <x:v>24</x:v>
      </x:c>
      <x:c r="AI405" t="n">
        <x:v>15</x:v>
      </x:c>
      <x:c r="AJ405" t="n">
        <x:v>1</x:v>
      </x:c>
      <x:c r="AK405" t="n">
        <x:v>250</x:v>
      </x:c>
      <x:c r="AL405" t="str">
        <x:v>Direkte elektrisk;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1</x:v>
      </x:c>
      <x:c r="AS405" t="n">
        <x:v>0</x:v>
      </x:c>
      <x:c r="AT405" t="n">
        <x:v>0</x:v>
      </x:c>
      <x:c r="AU405" t="str">
        <x:v>energiattester_export_2025-08-14.json | PDF vedlegg side 5-7</x:v>
      </x:c>
      <x:c r="AV405" s="12" t="n">
        <x:f>IF(COUNT(O405,P405,Q405,R405,K405,L405,M405,N405)=8,O405*K405+P405*L405+Q405*M405+R405*N405,"")</x:f>
        <x:v>434.15999999999997</x:v>
      </x:c>
      <x:c r="AW405" s="12" t="n">
        <x:f>IF(AND(ISNUMBER(AV405),H405&gt;0),AV405/H405,"")</x:f>
        <x:v>0.25538823529411764</x:v>
      </x:c>
      <x:c r="AX405" s="12" t="n">
        <x:f>IF(AND(ISNUMBER(AD405),H405&gt;0),AD405*H405*3600,"")</x:f>
        <x:v>871488000</x:v>
      </x:c>
      <x:c r="AY405" s="12" t="n">
        <x:f>IF(AND(ISNUMBER(Y405),H405&gt;0),Y405*H405,"")</x:f>
        <x:v>309400</x:v>
      </x:c>
      <x:c r="AZ405" t="str">
        <x:v>Høy</x:v>
      </x:c>
    </x:row>
    <x:row r="406" ht="22" customHeight="1">
      <x:c r="A406" t="str">
        <x:v>OT-3da6aeea6441</x:v>
      </x:c>
      <x:c r="B406" t="n">
        <x:v>2015</x:v>
      </x:c>
      <x:c r="C406" t="str">
        <x:v>Kontorbygg</x:v>
      </x:c>
      <x:c r="D406" t="str">
        <x:v>KONTORER, ENKLE</x:v>
      </x:c>
      <x:c r="E406" t="str">
        <x:v>E</x:v>
      </x:c>
      <x:c r="F406" t="str">
        <x:v>RED</x:v>
      </x:c>
      <x:c r="G406" t="n">
        <x:v>1954</x:v>
      </x:c>
      <x:c r="H406" t="n">
        <x:v>266</x:v>
      </x:c>
      <x:c r="I406" t="n">
        <x:v>212.7</x:v>
      </x:c>
      <x:c r="J406" t="str">
        <x:v>PDF/avansert</x:v>
      </x:c>
      <x:c r="K406" t="n">
        <x:v>9</x:v>
      </x:c>
      <x:c r="L406" t="n">
        <x:v>0</x:v>
      </x:c>
      <x:c r="M406" t="n">
        <x:v>266</x:v>
      </x:c>
      <x:c r="N406" t="n">
        <x:v>75</x:v>
      </x:c>
      <x:c r="O406" t="n">
        <x:v>1.02</x:v>
      </x:c>
      <x:c r="P406" t="n">
        <x:v>0</x:v>
      </x:c>
      <x:c r="Q406" t="n">
        <x:v>0.09</x:v>
      </x:c>
      <x:c r="R406" t="n">
        <x:v>2.8</x:v>
      </x:c>
      <x:c r="S406" t="n">
        <x:v>80</x:v>
      </x:c>
      <x:c r="T406" t="n">
        <x:v>80</x:v>
      </x:c>
      <x:c r="U406" t="n">
        <x:v>2</x:v>
      </x:c>
      <x:c r="V406" t="n">
        <x:v>0</x:v>
      </x:c>
      <x:c r="W406" t="n">
        <x:v>7</x:v>
      </x:c>
      <x:c r="X406" t="n">
        <x:v>92</x:v>
      </x:c>
      <x:c r="Y406" t="n">
        <x:v>80</x:v>
      </x:c>
      <x:c r="Z406" t="n">
        <x:v>0</x:v>
      </x:c>
      <x:c r="AA406" t="n">
        <x:v>21</x:v>
      </x:c>
      <x:c r="AB406" t="n">
        <x:v>22</x:v>
      </x:c>
      <x:c r="AC406" t="n">
        <x:v>6</x:v>
      </x:c>
      <x:c r="AD406" t="n">
        <x:v>162.4</x:v>
      </x:c>
      <x:c r="AE406" t="n">
        <x:v>0.08</x:v>
      </x:c>
      <x:c r="AF406" t="n">
        <x:v>12</x:v>
      </x:c>
      <x:c r="AG406" t="n">
        <x:v>12</x:v>
      </x:c>
      <x:c r="AH406" t="n">
        <x:v>24</x:v>
      </x:c>
      <x:c r="AI406" t="n">
        <x:v>8</x:v>
      </x:c>
      <x:c r="AJ406" t="n">
        <x:v>11</x:v>
      </x:c>
      <x:c r="AK406" t="n">
        <x:v>250</x:v>
      </x:c>
      <x:c r="AL406" t="str">
        <x:v>Direkte elektrisk;</x:v>
      </x:c>
      <x:c r="AM406" t="n">
        <x:v>0</x:v>
      </x:c>
      <x:c r="AN406" t="n">
        <x:v>0</x:v>
      </x:c>
      <x:c r="AO406" t="n">
        <x:v>1</x:v>
      </x:c>
      <x:c r="AP406" t="n">
        <x:v>0</x:v>
      </x:c>
      <x:c r="AQ406" t="n">
        <x:v>0</x:v>
      </x:c>
      <x:c r="AR406" t="n">
        <x:v>1</x:v>
      </x:c>
      <x:c r="AS406" t="n">
        <x:v>1</x:v>
      </x:c>
      <x:c r="AT406" t="n">
        <x:v>1</x:v>
      </x:c>
      <x:c r="AU406" t="str">
        <x:v>energiattester_export_2025-08-14.json | PDF vedlegg side 5-7</x:v>
      </x:c>
      <x:c r="AV406" s="12" t="n">
        <x:f>IF(COUNT(O406,P406,Q406,R406,K406,L406,M406,N406)=8,O406*K406+P406*L406+Q406*M406+R406*N406,"")</x:f>
        <x:v>243.12</x:v>
      </x:c>
      <x:c r="AW406" s="12" t="n">
        <x:f>IF(AND(ISNUMBER(AV406),H406&gt;0),AV406/H406,"")</x:f>
        <x:v>0.913984962406015</x:v>
      </x:c>
      <x:c r="AX406" s="12" t="n">
        <x:f>IF(AND(ISNUMBER(AD406),H406&gt;0),AD406*H406*3600,"")</x:f>
        <x:v>155514240</x:v>
      </x:c>
      <x:c r="AY406" s="12" t="n">
        <x:f>IF(AND(ISNUMBER(Y406),H406&gt;0),Y406*H406,"")</x:f>
        <x:v>21280</x:v>
      </x:c>
      <x:c r="AZ406" t="str">
        <x:v>Høy</x:v>
      </x:c>
    </x:row>
    <x:row r="407" ht="22" customHeight="1">
      <x:c r="A407" t="str">
        <x:v>OT-1586b747d7fc</x:v>
      </x:c>
      <x:c r="B407" t="n">
        <x:v>2015</x:v>
      </x:c>
      <x:c r="C407" t="str">
        <x:v>Forretningsbygg</x:v>
      </x:c>
      <x:c r="D407" t="str">
        <x:v>BUTIKK</x:v>
      </x:c>
      <x:c r="E407" t="str">
        <x:v>D</x:v>
      </x:c>
      <x:c r="F407" t="str">
        <x:v>RED</x:v>
      </x:c>
      <x:c r="G407" t="n">
        <x:v>1966</x:v>
      </x:c>
      <x:c r="H407" t="n">
        <x:v>834</x:v>
      </x:c>
      <x:c r="I407" t="n">
        <x:v>212.3</x:v>
      </x:c>
      <x:c r="J407" t="str">
        <x:v>PDF/avansert</x:v>
      </x:c>
      <x:c r="K407" t="n">
        <x:v>237</x:v>
      </x:c>
      <x:c r="L407" t="n">
        <x:v>526</x:v>
      </x:c>
      <x:c r="M407" t="n">
        <x:v>834</x:v>
      </x:c>
      <x:c r="N407" t="n">
        <x:v>37</x:v>
      </x:c>
      <x:c r="O407" t="n">
        <x:v>0.4</x:v>
      </x:c>
      <x:c r="P407" t="n">
        <x:v>0.35</x:v>
      </x:c>
      <x:c r="Q407" t="n">
        <x:v>0.27</x:v>
      </x:c>
      <x:c r="R407" t="n">
        <x:v>1.6</x:v>
      </x:c>
      <x:c r="S407" t="n">
        <x:v>80</x:v>
      </x:c>
      <x:c r="T407" t="n">
        <x:v>80</x:v>
      </x:c>
      <x:c r="U407" t="n">
        <x:v>2</x:v>
      </x:c>
      <x:c r="V407" t="n">
        <x:v>0.23</x:v>
      </x:c>
      <x:c r="W407" t="n">
        <x:v>13</x:v>
      </x:c>
      <x:c r="X407" t="n">
        <x:v>80</x:v>
      </x:c>
      <x:c r="Y407" t="n">
        <x:v>80</x:v>
      </x:c>
      <x:c r="Z407" t="n">
        <x:v>0</x:v>
      </x:c>
      <x:c r="AA407" t="n">
        <x:v>21</x:v>
      </x:c>
      <x:c r="AB407" t="n">
        <x:v>22</x:v>
      </x:c>
      <x:c r="AC407" t="n">
        <x:v>2.5</x:v>
      </x:c>
      <x:c r="AD407" t="n">
        <x:v>78.6</x:v>
      </x:c>
      <x:c r="AE407" t="n">
        <x:v>0.12</x:v>
      </x:c>
      <x:c r="AF407" t="n">
        <x:v>12</x:v>
      </x:c>
      <x:c r="AG407" t="n">
        <x:v>12</x:v>
      </x:c>
      <x:c r="AH407" t="n">
        <x:v>24</x:v>
      </x:c>
      <x:c r="AI407" t="n">
        <x:v>15</x:v>
      </x:c>
      <x:c r="AJ407" t="n">
        <x:v>1</x:v>
      </x:c>
      <x:c r="AK407" t="n">
        <x:v>250</x:v>
      </x:c>
      <x:c r="AL407" t="str">
        <x:v>Direkte elektrisk;</x:v>
      </x:c>
      <x:c r="AM407"/>
      <x:c r="AN407"/>
      <x:c r="AO407"/>
      <x:c r="AP407"/>
      <x:c r="AQ407"/>
      <x:c r="AR407"/>
      <x:c r="AS407"/>
      <x:c r="AT407"/>
      <x:c r="AU407" t="str">
        <x:v>energiattester_export_2025-08-14.json | PDF vedlegg side 5-7</x:v>
      </x:c>
      <x:c r="AV407" s="12" t="n">
        <x:f>IF(COUNT(O407,P407,Q407,R407,K407,L407,M407,N407)=8,O407*K407+P407*L407+Q407*M407+R407*N407,"")</x:f>
        <x:v>563.28</x:v>
      </x:c>
      <x:c r="AW407" s="12" t="n">
        <x:f>IF(AND(ISNUMBER(AV407),H407&gt;0),AV407/H407,"")</x:f>
        <x:v>0.6753956834532374</x:v>
      </x:c>
      <x:c r="AX407" s="12" t="n">
        <x:f>IF(AND(ISNUMBER(AD407),H407&gt;0),AD407*H407*3600,"")</x:f>
        <x:v>235988639.99999997</x:v>
      </x:c>
      <x:c r="AY407" s="12" t="n">
        <x:f>IF(AND(ISNUMBER(Y407),H407&gt;0),Y407*H407,"")</x:f>
        <x:v>66720</x:v>
      </x:c>
      <x:c r="AZ407" t="str">
        <x:v>Høy</x:v>
      </x:c>
    </x:row>
    <x:row r="408" ht="22" customHeight="1">
      <x:c r="A408" t="str">
        <x:v>OT-bee210dec7b4</x:v>
      </x:c>
      <x:c r="B408" t="n">
        <x:v>2015</x:v>
      </x:c>
      <x:c r="C408" t="str">
        <x:v>Kontorbygg</x:v>
      </x:c>
      <x:c r="D408" t="str">
        <x:v>KONTORER, MED VENTILASJON OG KJØLEANLEGG</x:v>
      </x:c>
      <x:c r="E408" t="str">
        <x:v>D</x:v>
      </x:c>
      <x:c r="F408" t="str">
        <x:v>RED</x:v>
      </x:c>
      <x:c r="G408" t="n">
        <x:v>1972</x:v>
      </x:c>
      <x:c r="H408" t="n">
        <x:v>1435</x:v>
      </x:c>
      <x:c r="I408" t="n">
        <x:v>154</x:v>
      </x:c>
      <x:c r="J408" t="str">
        <x:v>PDF/avansert</x:v>
      </x:c>
      <x:c r="K408" t="n">
        <x:v>548</x:v>
      </x:c>
      <x:c r="L408" t="n">
        <x:v>0</x:v>
      </x:c>
      <x:c r="M408" t="n">
        <x:v>155</x:v>
      </x:c>
      <x:c r="N408" t="n">
        <x:v>181</x:v>
      </x:c>
      <x:c r="O408" t="n">
        <x:v>0.32</x:v>
      </x:c>
      <x:c r="P408" t="n">
        <x:v>0</x:v>
      </x:c>
      <x:c r="Q408" t="n">
        <x:v>0.13</x:v>
      </x:c>
      <x:c r="R408" t="n">
        <x:v>2</x:v>
      </x:c>
      <x:c r="S408" t="n">
        <x:v>78</x:v>
      </x:c>
      <x:c r="T408" t="n">
        <x:v>78</x:v>
      </x:c>
      <x:c r="U408" t="n">
        <x:v>3.09</x:v>
      </x:c>
      <x:c r="V408" t="n">
        <x:v>0</x:v>
      </x:c>
      <x:c r="W408" t="n">
        <x:v>10.32</x:v>
      </x:c>
      <x:c r="X408" t="n">
        <x:v>89</x:v>
      </x:c>
      <x:c r="Y408" t="n">
        <x:v>97</x:v>
      </x:c>
      <x:c r="Z408" t="n">
        <x:v>20</x:v>
      </x:c>
      <x:c r="AA408" t="n">
        <x:v>21</x:v>
      </x:c>
      <x:c r="AB408" t="n">
        <x:v>22</x:v>
      </x:c>
      <x:c r="AC408" t="n">
        <x:v>2.9</x:v>
      </x:c>
      <x:c r="AD408" t="n">
        <x:v>16.6</x:v>
      </x:c>
      <x:c r="AE408" t="n">
        <x:v>0.06</x:v>
      </x:c>
      <x:c r="AF408" t="n">
        <x:v>12</x:v>
      </x:c>
      <x:c r="AG408" t="n">
        <x:v>12</x:v>
      </x:c>
      <x:c r="AH408" t="n">
        <x:v>24</x:v>
      </x:c>
      <x:c r="AI408" t="n">
        <x:v>8</x:v>
      </x:c>
      <x:c r="AJ408" t="n">
        <x:v>11</x:v>
      </x:c>
      <x:c r="AK408" t="n">
        <x:v>250</x:v>
      </x:c>
      <x:c r="AL408" t="str">
        <x:v>Direkte elektrisk;</x:v>
      </x:c>
      <x:c r="AM408" t="n">
        <x:v>0</x:v>
      </x:c>
      <x:c r="AN408" t="n">
        <x:v>0</x:v>
      </x:c>
      <x:c r="AO408" t="n">
        <x:v>1</x:v>
      </x:c>
      <x:c r="AP408" t="n">
        <x:v>0</x:v>
      </x:c>
      <x:c r="AQ408" t="n">
        <x:v>0</x:v>
      </x:c>
      <x:c r="AR408" t="n">
        <x:v>1</x:v>
      </x:c>
      <x:c r="AS408" t="n">
        <x:v>1</x:v>
      </x:c>
      <x:c r="AT408" t="n">
        <x:v>1</x:v>
      </x:c>
      <x:c r="AU408" t="str">
        <x:v>energiattester_export_2025-08-14.json | PDF vedlegg side 5-7</x:v>
      </x:c>
      <x:c r="AV408" s="12" t="n">
        <x:f>IF(COUNT(O408,P408,Q408,R408,K408,L408,M408,N408)=8,O408*K408+P408*L408+Q408*M408+R408*N408,"")</x:f>
        <x:v>557.51</x:v>
      </x:c>
      <x:c r="AW408" s="12" t="n">
        <x:f>IF(AND(ISNUMBER(AV408),H408&gt;0),AV408/H408,"")</x:f>
        <x:v>0.3885087108013937</x:v>
      </x:c>
      <x:c r="AX408" s="12" t="n">
        <x:f>IF(AND(ISNUMBER(AD408),H408&gt;0),AD408*H408*3600,"")</x:f>
        <x:v>85755600.00000001</x:v>
      </x:c>
      <x:c r="AY408" s="12" t="n">
        <x:f>IF(AND(ISNUMBER(Y408),H408&gt;0),Y408*H408,"")</x:f>
        <x:v>139195</x:v>
      </x:c>
      <x:c r="AZ408" t="str">
        <x:v>Høy</x:v>
      </x:c>
    </x:row>
    <x:row r="409" ht="22" customHeight="1">
      <x:c r="A409" t="str">
        <x:v>OT-62f7a67cc28a</x:v>
      </x:c>
      <x:c r="B409" t="n">
        <x:v>2015</x:v>
      </x:c>
      <x:c r="C409" t="str">
        <x:v>Kontorbygg</x:v>
      </x:c>
      <x:c r="D409" t="str">
        <x:v>KONTORER, ENKLE</x:v>
      </x:c>
      <x:c r="E409" t="str">
        <x:v>D</x:v>
      </x:c>
      <x:c r="F409" t="str">
        <x:v>RED</x:v>
      </x:c>
      <x:c r="G409" t="n">
        <x:v>1966</x:v>
      </x:c>
      <x:c r="H409" t="n">
        <x:v>4522</x:v>
      </x:c>
      <x:c r="I409" t="n">
        <x:v>151.3</x:v>
      </x:c>
      <x:c r="J409" t="str">
        <x:v>PDF/avansert</x:v>
      </x:c>
      <x:c r="K409" t="n">
        <x:v>2131</x:v>
      </x:c>
      <x:c r="L409" t="n">
        <x:v>3930</x:v>
      </x:c>
      <x:c r="M409" t="n">
        <x:v>3779</x:v>
      </x:c>
      <x:c r="N409" t="n">
        <x:v>273</x:v>
      </x:c>
      <x:c r="O409" t="n">
        <x:v>0.22</x:v>
      </x:c>
      <x:c r="P409" t="n">
        <x:v>0.15</x:v>
      </x:c>
      <x:c r="Q409" t="n">
        <x:v>0.11</x:v>
      </x:c>
      <x:c r="R409" t="n">
        <x:v>1.4</x:v>
      </x:c>
      <x:c r="S409" t="n">
        <x:v>33</x:v>
      </x:c>
      <x:c r="T409" t="n">
        <x:v>33</x:v>
      </x:c>
      <x:c r="U409" t="n">
        <x:v>2</x:v>
      </x:c>
      <x:c r="V409" t="n">
        <x:v>0.23</x:v>
      </x:c>
      <x:c r="W409" t="n">
        <x:v>7.48</x:v>
      </x:c>
      <x:c r="X409" t="n">
        <x:v>93</x:v>
      </x:c>
      <x:c r="Y409" t="n">
        <x:v>46</x:v>
      </x:c>
      <x:c r="Z409" t="n">
        <x:v>3</x:v>
      </x:c>
      <x:c r="AA409" t="n">
        <x:v>21</x:v>
      </x:c>
      <x:c r="AB409" t="n">
        <x:v>22</x:v>
      </x:c>
      <x:c r="AC409" t="n">
        <x:v>1.5</x:v>
      </x:c>
      <x:c r="AD409" t="n">
        <x:v>144.2</x:v>
      </x:c>
      <x:c r="AE409" t="n">
        <x:v>0.09</x:v>
      </x:c>
      <x:c r="AF409"/>
      <x:c r="AG409"/>
      <x:c r="AH409"/>
      <x:c r="AI409"/>
      <x:c r="AJ409"/>
      <x:c r="AK409" t="n">
        <x:v>250</x:v>
      </x:c>
      <x:c r="AL409"/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1</x:v>
      </x:c>
      <x:c r="AS409" t="n">
        <x:v>1</x:v>
      </x:c>
      <x:c r="AT409" t="n">
        <x:v>1</x:v>
      </x:c>
      <x:c r="AU409" t="str">
        <x:v>energiattester_export_2025-08-14.json | PDF vedlegg side 5-7</x:v>
      </x:c>
      <x:c r="AV409" s="12" t="n">
        <x:f>IF(COUNT(O409,P409,Q409,R409,K409,L409,M409,N409)=8,O409*K409+P409*L409+Q409*M409+R409*N409,"")</x:f>
        <x:v>1856.21</x:v>
      </x:c>
      <x:c r="AW409" s="12" t="n">
        <x:f>IF(AND(ISNUMBER(AV409),H409&gt;0),AV409/H409,"")</x:f>
        <x:v>0.410484298982751</x:v>
      </x:c>
      <x:c r="AX409" s="12" t="n">
        <x:f>IF(AND(ISNUMBER(AD409),H409&gt;0),AD409*H409*3600,"")</x:f>
        <x:v>2347460639.9999995</x:v>
      </x:c>
      <x:c r="AY409" s="12" t="n">
        <x:f>IF(AND(ISNUMBER(Y409),H409&gt;0),Y409*H409,"")</x:f>
        <x:v>208012</x:v>
      </x:c>
      <x:c r="AZ409" t="str">
        <x:v>Høy</x:v>
      </x:c>
    </x:row>
    <x:row r="410" ht="22" customHeight="1">
      <x:c r="A410" t="str">
        <x:v>OT-d83b30a7ff82</x:v>
      </x:c>
      <x:c r="B410" t="n">
        <x:v>2015</x:v>
      </x:c>
      <x:c r="C410" t="str">
        <x:v>Forretningsbygg</x:v>
      </x:c>
      <x:c r="D410" t="str">
        <x:v>Butikk</x:v>
      </x:c>
      <x:c r="E410" t="str">
        <x:v>G</x:v>
      </x:c>
      <x:c r="F410" t="str">
        <x:v>RED</x:v>
      </x:c>
      <x:c r="G410" t="n">
        <x:v>1986</x:v>
      </x:c>
      <x:c r="H410" t="n">
        <x:v>1840</x:v>
      </x:c>
      <x:c r="I410" t="n">
        <x:v>419.32</x:v>
      </x:c>
      <x:c r="J410" t="str">
        <x:v>PDF/avansert</x:v>
      </x:c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 t="n">
        <x:v>0</x:v>
      </x:c>
      <x:c r="AN410" t="n">
        <x:v>0</x:v>
      </x:c>
      <x:c r="AO410" t="n">
        <x:v>1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1</x:v>
      </x:c>
      <x:c r="AU410" t="str">
        <x:v>energiattester_export_2025-08-14.json | PDF vedlegg side 5-7</x:v>
      </x:c>
      <x:c r="AV410" s="12" t="str">
        <x:f>IF(COUNT(O410,P410,Q410,R410,K410,L410,M410,N410)=8,O410*K410+P410*L410+Q410*M410+R410*N410,"")</x:f>
      </x:c>
      <x:c r="AW410" s="12" t="str">
        <x:f>IF(AND(ISNUMBER(AV410),H410&gt;0),AV410/H410,"")</x:f>
      </x:c>
      <x:c r="AX410" s="12" t="str">
        <x:f>IF(AND(ISNUMBER(AD410),H410&gt;0),AD410*H410*3600,"")</x:f>
      </x:c>
      <x:c r="AY410" s="12" t="str">
        <x:f>IF(AND(ISNUMBER(Y410),H410&gt;0),Y410*H410,"")</x:f>
      </x:c>
      <x:c r="AZ410" t="str">
        <x:v>Mangler data</x:v>
      </x:c>
    </x:row>
    <x:row r="411" ht="22" customHeight="1">
      <x:c r="A411" t="str">
        <x:v>OT-be11a500c2e5</x:v>
      </x:c>
      <x:c r="B411" t="n">
        <x:v>2015</x:v>
      </x:c>
      <x:c r="C411" t="str">
        <x:v>Kontorbygg</x:v>
      </x:c>
      <x:c r="D411" t="str">
        <x:v>KONTORER, ENKLE</x:v>
      </x:c>
      <x:c r="E411" t="str">
        <x:v>E</x:v>
      </x:c>
      <x:c r="F411" t="str">
        <x:v>RED</x:v>
      </x:c>
      <x:c r="G411" t="n">
        <x:v>1991</x:v>
      </x:c>
      <x:c r="H411" t="n">
        <x:v>2384</x:v>
      </x:c>
      <x:c r="I411" t="n">
        <x:v>206.6</x:v>
      </x:c>
      <x:c r="J411" t="str">
        <x:v>PDF/avansert</x:v>
      </x:c>
      <x:c r="K411" t="n">
        <x:v>1082</x:v>
      </x:c>
      <x:c r="L411" t="n">
        <x:v>929</x:v>
      </x:c>
      <x:c r="M411" t="n">
        <x:v>906</x:v>
      </x:c>
      <x:c r="N411" t="n">
        <x:v>321</x:v>
      </x:c>
      <x:c r="O411" t="n">
        <x:v>0.27</x:v>
      </x:c>
      <x:c r="P411" t="n">
        <x:v>0.18</x:v>
      </x:c>
      <x:c r="Q411" t="n">
        <x:v>0.17</x:v>
      </x:c>
      <x:c r="R411" t="n">
        <x:v>2.34</x:v>
      </x:c>
      <x:c r="S411" t="n">
        <x:v>68</x:v>
      </x:c>
      <x:c r="T411" t="n">
        <x:v>68</x:v>
      </x:c>
      <x:c r="U411" t="n">
        <x:v>2.77</x:v>
      </x:c>
      <x:c r="V411" t="n">
        <x:v>0.16</x:v>
      </x:c>
      <x:c r="W411" t="n">
        <x:v>12.61</x:v>
      </x:c>
      <x:c r="X411" t="n">
        <x:v>85</x:v>
      </x:c>
      <x:c r="Y411" t="n">
        <x:v>82</x:v>
      </x:c>
      <x:c r="Z411" t="n">
        <x:v>0</x:v>
      </x:c>
      <x:c r="AA411" t="n">
        <x:v>21</x:v>
      </x:c>
      <x:c r="AB411" t="n">
        <x:v>22</x:v>
      </x:c>
      <x:c r="AC411" t="n">
        <x:v>3.5</x:v>
      </x:c>
      <x:c r="AD411" t="n">
        <x:v>34.2</x:v>
      </x:c>
      <x:c r="AE411" t="n">
        <x:v>0.09</x:v>
      </x:c>
      <x:c r="AF411" t="n">
        <x:v>12</x:v>
      </x:c>
      <x:c r="AG411" t="n">
        <x:v>12</x:v>
      </x:c>
      <x:c r="AH411" t="n">
        <x:v>24</x:v>
      </x:c>
      <x:c r="AI411" t="n">
        <x:v>8</x:v>
      </x:c>
      <x:c r="AJ411" t="n">
        <x:v>11</x:v>
      </x:c>
      <x:c r="AK411" t="n">
        <x:v>250</x:v>
      </x:c>
      <x:c r="AL411" t="str">
        <x:v>Direkte elektrisk;</x:v>
      </x:c>
      <x:c r="AM411" t="n">
        <x:v>0</x:v>
      </x:c>
      <x:c r="AN411" t="n">
        <x:v>1</x:v>
      </x:c>
      <x:c r="AO411" t="n">
        <x:v>0</x:v>
      </x:c>
      <x:c r="AP411" t="n">
        <x:v>0</x:v>
      </x:c>
      <x:c r="AQ411" t="n">
        <x:v>1</x:v>
      </x:c>
      <x:c r="AR411" t="n">
        <x:v>1</x:v>
      </x:c>
      <x:c r="AS411" t="n">
        <x:v>1</x:v>
      </x:c>
      <x:c r="AT411" t="n">
        <x:v>1</x:v>
      </x:c>
      <x:c r="AU411" t="str">
        <x:v>energiattester_export_2025-08-14.json | PDF vedlegg side 5-7</x:v>
      </x:c>
      <x:c r="AV411" s="12" t="n">
        <x:f>IF(COUNT(O411,P411,Q411,R411,K411,L411,M411,N411)=8,O411*K411+P411*L411+Q411*M411+R411*N411,"")</x:f>
        <x:v>1364.52</x:v>
      </x:c>
      <x:c r="AW411" s="12" t="n">
        <x:f>IF(AND(ISNUMBER(AV411),H411&gt;0),AV411/H411,"")</x:f>
        <x:v>0.5723657718120805</x:v>
      </x:c>
      <x:c r="AX411" s="12" t="n">
        <x:f>IF(AND(ISNUMBER(AD411),H411&gt;0),AD411*H411*3600,"")</x:f>
        <x:v>293518080</x:v>
      </x:c>
      <x:c r="AY411" s="12" t="n">
        <x:f>IF(AND(ISNUMBER(Y411),H411&gt;0),Y411*H411,"")</x:f>
        <x:v>195488</x:v>
      </x:c>
      <x:c r="AZ411" t="str">
        <x:v>Høy</x:v>
      </x:c>
    </x:row>
    <x:row r="412" ht="22" customHeight="1">
      <x:c r="A412" t="str">
        <x:v>OT-2755101dbf52</x:v>
      </x:c>
      <x:c r="B412" t="n">
        <x:v>2015</x:v>
      </x:c>
      <x:c r="C412" t="str">
        <x:v>Kontorbygg</x:v>
      </x:c>
      <x:c r="D412" t="str">
        <x:v>KONTORER, MED VENTILASJON OG KJØLEANLEGG</x:v>
      </x:c>
      <x:c r="E412" t="str">
        <x:v>E</x:v>
      </x:c>
      <x:c r="F412" t="str">
        <x:v>ORANGE</x:v>
      </x:c>
      <x:c r="G412" t="n">
        <x:v>1990</x:v>
      </x:c>
      <x:c r="H412" t="n">
        <x:v>4447</x:v>
      </x:c>
      <x:c r="I412" t="n">
        <x:v>216.8</x:v>
      </x:c>
      <x:c r="J412" t="str">
        <x:v>PDF/avansert</x:v>
      </x:c>
      <x:c r="K412" t="n">
        <x:v>321</x:v>
      </x:c>
      <x:c r="L412" t="n">
        <x:v>287</x:v>
      </x:c>
      <x:c r="M412" t="n">
        <x:v>287</x:v>
      </x:c>
      <x:c r="N412" t="n">
        <x:v>67</x:v>
      </x:c>
      <x:c r="O412" t="n">
        <x:v>0.26</x:v>
      </x:c>
      <x:c r="P412" t="n">
        <x:v>0.2</x:v>
      </x:c>
      <x:c r="Q412" t="n">
        <x:v>0.23</x:v>
      </x:c>
      <x:c r="R412" t="n">
        <x:v>2.34</x:v>
      </x:c>
      <x:c r="S412" t="n">
        <x:v>65</x:v>
      </x:c>
      <x:c r="T412" t="n">
        <x:v>65</x:v>
      </x:c>
      <x:c r="U412" t="n">
        <x:v>7.74</x:v>
      </x:c>
      <x:c r="V412" t="n">
        <x:v>0.98</x:v>
      </x:c>
      <x:c r="W412" t="n">
        <x:v>7</x:v>
      </x:c>
      <x:c r="X412" t="n">
        <x:v>179</x:v>
      </x:c>
      <x:c r="Y412" t="n">
        <x:v>82</x:v>
      </x:c>
      <x:c r="Z412" t="n">
        <x:v>52</x:v>
      </x:c>
      <x:c r="AA412" t="n">
        <x:v>21</x:v>
      </x:c>
      <x:c r="AB412" t="n">
        <x:v>22</x:v>
      </x:c>
      <x:c r="AC412" t="n">
        <x:v>5</x:v>
      </x:c>
      <x:c r="AD412" t="n">
        <x:v>128</x:v>
      </x:c>
      <x:c r="AE412" t="n">
        <x:v>0.12</x:v>
      </x:c>
      <x:c r="AF412" t="n">
        <x:v>12</x:v>
      </x:c>
      <x:c r="AG412" t="n">
        <x:v>12</x:v>
      </x:c>
      <x:c r="AH412" t="n">
        <x:v>24</x:v>
      </x:c>
      <x:c r="AI412" t="n">
        <x:v>8</x:v>
      </x:c>
      <x:c r="AJ412" t="n">
        <x:v>11</x:v>
      </x:c>
      <x:c r="AK412" t="n">
        <x:v>250</x:v>
      </x:c>
      <x:c r="AL412" t="str">
        <x:v>Direkte elektrisk; Varmepumpe;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1</x:v>
      </x:c>
      <x:c r="AS412" t="n">
        <x:v>1</x:v>
      </x:c>
      <x:c r="AT412" t="n">
        <x:v>1</x:v>
      </x:c>
      <x:c r="AU412" t="str">
        <x:v>energiattester_export_2025-08-14.json | PDF vedlegg side 5-7</x:v>
      </x:c>
      <x:c r="AV412" s="12" t="n">
        <x:f>IF(COUNT(O412,P412,Q412,R412,K412,L412,M412,N412)=8,O412*K412+P412*L412+Q412*M412+R412*N412,"")</x:f>
        <x:v>363.65</x:v>
      </x:c>
      <x:c r="AW412" s="12" t="n">
        <x:f>IF(AND(ISNUMBER(AV412),H412&gt;0),AV412/H412,"")</x:f>
        <x:v>0.08177422981785473</x:v>
      </x:c>
      <x:c r="AX412" s="12" t="n">
        <x:f>IF(AND(ISNUMBER(AD412),H412&gt;0),AD412*H412*3600,"")</x:f>
        <x:v>2049177600</x:v>
      </x:c>
      <x:c r="AY412" s="12" t="n">
        <x:f>IF(AND(ISNUMBER(Y412),H412&gt;0),Y412*H412,"")</x:f>
        <x:v>364654</x:v>
      </x:c>
      <x:c r="AZ412" t="str">
        <x:v>Høy</x:v>
      </x:c>
    </x:row>
    <x:row r="413" ht="22" customHeight="1">
      <x:c r="A413" t="str">
        <x:v>OT-92448101d7d7</x:v>
      </x:c>
      <x:c r="B413" t="n">
        <x:v>2015</x:v>
      </x:c>
      <x:c r="C413" t="str">
        <x:v>Kontorbygg</x:v>
      </x:c>
      <x:c r="D413" t="str">
        <x:v>KONTORER, ENKLE</x:v>
      </x:c>
      <x:c r="E413" t="str">
        <x:v>G</x:v>
      </x:c>
      <x:c r="F413" t="str">
        <x:v>RED</x:v>
      </x:c>
      <x:c r="G413" t="n">
        <x:v>1964</x:v>
      </x:c>
      <x:c r="H413" t="n">
        <x:v>689</x:v>
      </x:c>
      <x:c r="I413" t="n">
        <x:v>362</x:v>
      </x:c>
      <x:c r="J413" t="str">
        <x:v>PDF/avansert</x:v>
      </x:c>
      <x:c r="K413" t="n">
        <x:v>599</x:v>
      </x:c>
      <x:c r="L413" t="n">
        <x:v>507</x:v>
      </x:c>
      <x:c r="M413" t="n">
        <x:v>506</x:v>
      </x:c>
      <x:c r="N413" t="n">
        <x:v>117</x:v>
      </x:c>
      <x:c r="O413" t="n">
        <x:v>0.77</x:v>
      </x:c>
      <x:c r="P413" t="n">
        <x:v>0.37</x:v>
      </x:c>
      <x:c r="Q413" t="n">
        <x:v>0.68</x:v>
      </x:c>
      <x:c r="R413" t="n">
        <x:v>2.35</x:v>
      </x:c>
      <x:c r="S413" t="n">
        <x:v>55</x:v>
      </x:c>
      <x:c r="T413" t="n">
        <x:v>55</x:v>
      </x:c>
      <x:c r="U413" t="n">
        <x:v>4</x:v>
      </x:c>
      <x:c r="V413" t="n">
        <x:v>0.45</x:v>
      </x:c>
      <x:c r="W413" t="n">
        <x:v>8</x:v>
      </x:c>
      <x:c r="X413" t="n">
        <x:v>98</x:v>
      </x:c>
      <x:c r="Y413" t="n">
        <x:v>110</x:v>
      </x:c>
      <x:c r="Z413" t="n">
        <x:v>40</x:v>
      </x:c>
      <x:c r="AA413" t="n">
        <x:v>21</x:v>
      </x:c>
      <x:c r="AB413" t="n">
        <x:v>22</x:v>
      </x:c>
      <x:c r="AC413" t="n">
        <x:v>7</x:v>
      </x:c>
      <x:c r="AD413" t="n">
        <x:v>121.2</x:v>
      </x:c>
      <x:c r="AE413" t="n">
        <x:v>0.06</x:v>
      </x:c>
      <x:c r="AF413" t="n">
        <x:v>12</x:v>
      </x:c>
      <x:c r="AG413" t="n">
        <x:v>12</x:v>
      </x:c>
      <x:c r="AH413" t="n">
        <x:v>24</x:v>
      </x:c>
      <x:c r="AI413" t="n">
        <x:v>8</x:v>
      </x:c>
      <x:c r="AJ413" t="n">
        <x:v>11</x:v>
      </x:c>
      <x:c r="AK413" t="n">
        <x:v>270</x:v>
      </x:c>
      <x:c r="AL413" t="str">
        <x:v>Direkte elektrisk;</x:v>
      </x:c>
      <x:c r="AM413" t="n">
        <x:v>1</x:v>
      </x:c>
      <x:c r="AN413" t="n">
        <x:v>1</x:v>
      </x:c>
      <x:c r="AO413" t="n">
        <x:v>1</x:v>
      </x:c>
      <x:c r="AP413" t="n">
        <x:v>1</x:v>
      </x:c>
      <x:c r="AQ413" t="n">
        <x:v>0</x:v>
      </x:c>
      <x:c r="AR413" t="n">
        <x:v>0</x:v>
      </x:c>
      <x:c r="AS413" t="n">
        <x:v>0</x:v>
      </x:c>
      <x:c r="AT413" t="n">
        <x:v>1</x:v>
      </x:c>
      <x:c r="AU413" t="str">
        <x:v>energiattester_export_2025-08-14.json | PDF vedlegg side 5-7</x:v>
      </x:c>
      <x:c r="AV413" s="12" t="n">
        <x:f>IF(COUNT(O413,P413,Q413,R413,K413,L413,M413,N413)=8,O413*K413+P413*L413+Q413*M413+R413*N413,"")</x:f>
        <x:v>1267.8500000000001</x:v>
      </x:c>
      <x:c r="AW413" s="12" t="n">
        <x:f>IF(AND(ISNUMBER(AV413),H413&gt;0),AV413/H413,"")</x:f>
        <x:v>1.8401306240928885</x:v>
      </x:c>
      <x:c r="AX413" s="12" t="n">
        <x:f>IF(AND(ISNUMBER(AD413),H413&gt;0),AD413*H413*3600,"")</x:f>
        <x:v>300624480</x:v>
      </x:c>
      <x:c r="AY413" s="12" t="n">
        <x:f>IF(AND(ISNUMBER(Y413),H413&gt;0),Y413*H413,"")</x:f>
        <x:v>75790</x:v>
      </x:c>
      <x:c r="AZ413" t="str">
        <x:v>Høy</x:v>
      </x:c>
    </x:row>
    <x:row r="414" ht="22" customHeight="1">
      <x:c r="A414" t="str">
        <x:v>OT-9a17fc0a79f1</x:v>
      </x:c>
      <x:c r="B414" t="n">
        <x:v>2015</x:v>
      </x:c>
      <x:c r="C414" t="str">
        <x:v>Forretningsbygg</x:v>
      </x:c>
      <x:c r="D414" t="str">
        <x:v>Butikk</x:v>
      </x:c>
      <x:c r="E414" t="str">
        <x:v>E</x:v>
      </x:c>
      <x:c r="F414" t="str">
        <x:v>RED</x:v>
      </x:c>
      <x:c r="G414" t="n">
        <x:v>1886</x:v>
      </x:c>
      <x:c r="H414" t="n">
        <x:v>196</x:v>
      </x:c>
      <x:c r="I414" t="n">
        <x:v>287.82</x:v>
      </x:c>
      <x:c r="J414" t="str">
        <x:v>PDF/avansert</x:v>
      </x:c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 t="str">
        <x:v>energiattester_export_2025-08-14.json | PDF vedlegg side 5-7</x:v>
      </x:c>
      <x:c r="AV414" s="12" t="str">
        <x:f>IF(COUNT(O414,P414,Q414,R414,K414,L414,M414,N414)=8,O414*K414+P414*L414+Q414*M414+R414*N414,"")</x:f>
      </x:c>
      <x:c r="AW414" s="12" t="str">
        <x:f>IF(AND(ISNUMBER(AV414),H414&gt;0),AV414/H414,"")</x:f>
      </x:c>
      <x:c r="AX414" s="12" t="str">
        <x:f>IF(AND(ISNUMBER(AD414),H414&gt;0),AD414*H414*3600,"")</x:f>
      </x:c>
      <x:c r="AY414" s="12" t="str">
        <x:f>IF(AND(ISNUMBER(Y414),H414&gt;0),Y414*H414,"")</x:f>
      </x:c>
      <x:c r="AZ414" t="str">
        <x:v>Mangler data</x:v>
      </x:c>
    </x:row>
    <x:row r="415" ht="22" customHeight="1">
      <x:c r="A415" t="str">
        <x:v>OT-57ba04310fe5</x:v>
      </x:c>
      <x:c r="B415" t="n">
        <x:v>2015</x:v>
      </x:c>
      <x:c r="C415" t="str">
        <x:v>Forretningsbygg</x:v>
      </x:c>
      <x:c r="D415" t="str">
        <x:v>Butikk</x:v>
      </x:c>
      <x:c r="E415" t="str">
        <x:v>G</x:v>
      </x:c>
      <x:c r="F415" t="str">
        <x:v>RED</x:v>
      </x:c>
      <x:c r="G415" t="n">
        <x:v>1886</x:v>
      </x:c>
      <x:c r="H415" t="n">
        <x:v>196</x:v>
      </x:c>
      <x:c r="I415" t="n">
        <x:v>636.77</x:v>
      </x:c>
      <x:c r="J415" t="str">
        <x:v>PDF/avansert</x:v>
      </x:c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 t="str">
        <x:v>energiattester_export_2025-08-14.json | PDF vedlegg side 5-7</x:v>
      </x:c>
      <x:c r="AV415" s="12" t="str">
        <x:f>IF(COUNT(O415,P415,Q415,R415,K415,L415,M415,N415)=8,O415*K415+P415*L415+Q415*M415+R415*N415,"")</x:f>
      </x:c>
      <x:c r="AW415" s="12" t="str">
        <x:f>IF(AND(ISNUMBER(AV415),H415&gt;0),AV415/H415,"")</x:f>
      </x:c>
      <x:c r="AX415" s="12" t="str">
        <x:f>IF(AND(ISNUMBER(AD415),H415&gt;0),AD415*H415*3600,"")</x:f>
      </x:c>
      <x:c r="AY415" s="12" t="str">
        <x:f>IF(AND(ISNUMBER(Y415),H415&gt;0),Y415*H415,"")</x:f>
      </x:c>
      <x:c r="AZ415" t="str">
        <x:v>Mangler data</x:v>
      </x:c>
    </x:row>
    <x:row r="416" ht="22" customHeight="1">
      <x:c r="A416" t="str">
        <x:v>OT-1ef0f425ce39</x:v>
      </x:c>
      <x:c r="B416" t="n">
        <x:v>2015</x:v>
      </x:c>
      <x:c r="C416" t="str">
        <x:v>Kontorbygg</x:v>
      </x:c>
      <x:c r="D416" t="str">
        <x:v>KONTORER, ENKLE</x:v>
      </x:c>
      <x:c r="E416" t="str">
        <x:v>G</x:v>
      </x:c>
      <x:c r="F416" t="str">
        <x:v>RED</x:v>
      </x:c>
      <x:c r="G416" t="n">
        <x:v>1864</x:v>
      </x:c>
      <x:c r="H416" t="n">
        <x:v>1136</x:v>
      </x:c>
      <x:c r="I416" t="n">
        <x:v>501.2</x:v>
      </x:c>
      <x:c r="J416" t="str">
        <x:v>PDF/avansert</x:v>
      </x:c>
      <x:c r="K416" t="n">
        <x:v>851</x:v>
      </x:c>
      <x:c r="L416" t="n">
        <x:v>329</x:v>
      </x:c>
      <x:c r="M416" t="n">
        <x:v>263</x:v>
      </x:c>
      <x:c r="N416" t="n">
        <x:v>194</x:v>
      </x:c>
      <x:c r="O416" t="n">
        <x:v>1.03</x:v>
      </x:c>
      <x:c r="P416" t="n">
        <x:v>1.26</x:v>
      </x:c>
      <x:c r="Q416" t="n">
        <x:v>0.3</x:v>
      </x:c>
      <x:c r="R416" t="n">
        <x:v>3.16</x:v>
      </x:c>
      <x:c r="S416" t="n">
        <x:v>0</x:v>
      </x:c>
      <x:c r="T416" t="n">
        <x:v>0</x:v>
      </x:c>
      <x:c r="U416" t="n">
        <x:v>2.5</x:v>
      </x:c>
      <x:c r="V416" t="n">
        <x:v>0.23</x:v>
      </x:c>
      <x:c r="W416" t="n">
        <x:v>10</x:v>
      </x:c>
      <x:c r="X416" t="n">
        <x:v>92</x:v>
      </x:c>
      <x:c r="Y416" t="n">
        <x:v>235</x:v>
      </x:c>
      <x:c r="Z416" t="n">
        <x:v>70</x:v>
      </x:c>
      <x:c r="AA416" t="n">
        <x:v>21</x:v>
      </x:c>
      <x:c r="AB416" t="n">
        <x:v>22</x:v>
      </x:c>
      <x:c r="AC416" t="n">
        <x:v>3</x:v>
      </x:c>
      <x:c r="AD416" t="n">
        <x:v>35.9</x:v>
      </x:c>
      <x:c r="AE416" t="n">
        <x:v>0.05</x:v>
      </x:c>
      <x:c r="AF416" t="n">
        <x:v>12</x:v>
      </x:c>
      <x:c r="AG416" t="n">
        <x:v>12</x:v>
      </x:c>
      <x:c r="AH416" t="n">
        <x:v>24</x:v>
      </x:c>
      <x:c r="AI416" t="n">
        <x:v>8</x:v>
      </x:c>
      <x:c r="AJ416" t="n">
        <x:v>11</x:v>
      </x:c>
      <x:c r="AK416" t="n">
        <x:v>250</x:v>
      </x:c>
      <x:c r="AL416" t="str">
        <x:v>Direkte elektrisk;</x:v>
      </x:c>
      <x:c r="AM416" t="n">
        <x:v>1</x:v>
      </x:c>
      <x:c r="AN416" t="n">
        <x:v>0</x:v>
      </x:c>
      <x:c r="AO416" t="n">
        <x:v>1</x:v>
      </x:c>
      <x:c r="AP416" t="n">
        <x:v>1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str">
        <x:v>energiattester_export_2025-08-14.json | PDF vedlegg side 5-7</x:v>
      </x:c>
      <x:c r="AV416" s="12" t="n">
        <x:f>IF(COUNT(O416,P416,Q416,R416,K416,L416,M416,N416)=8,O416*K416+P416*L416+Q416*M416+R416*N416,"")</x:f>
        <x:v>1983.0100000000002</x:v>
      </x:c>
      <x:c r="AW416" s="12" t="n">
        <x:f>IF(AND(ISNUMBER(AV416),H416&gt;0),AV416/H416,"")</x:f>
        <x:v>1.7456073943661974</x:v>
      </x:c>
      <x:c r="AX416" s="12" t="n">
        <x:f>IF(AND(ISNUMBER(AD416),H416&gt;0),AD416*H416*3600,"")</x:f>
        <x:v>146816640</x:v>
      </x:c>
      <x:c r="AY416" s="12" t="n">
        <x:f>IF(AND(ISNUMBER(Y416),H416&gt;0),Y416*H416,"")</x:f>
        <x:v>266960</x:v>
      </x:c>
      <x:c r="AZ416" t="str">
        <x:v>Høy</x:v>
      </x:c>
    </x:row>
    <x:row r="417" ht="22" customHeight="1">
      <x:c r="A417" t="str">
        <x:v>OT-925e239a50ac</x:v>
      </x:c>
      <x:c r="B417" t="n">
        <x:v>2015</x:v>
      </x:c>
      <x:c r="C417" t="str">
        <x:v>Hoteller</x:v>
      </x:c>
      <x:c r="D417" t="str">
        <x:v>BYGNING FOR OVERNATTING</x:v>
      </x:c>
      <x:c r="E417" t="str">
        <x:v>G</x:v>
      </x:c>
      <x:c r="F417" t="str">
        <x:v>RED</x:v>
      </x:c>
      <x:c r="G417" t="n">
        <x:v>1860</x:v>
      </x:c>
      <x:c r="H417" t="n">
        <x:v>979</x:v>
      </x:c>
      <x:c r="I417" t="n">
        <x:v>729.9</x:v>
      </x:c>
      <x:c r="J417" t="str">
        <x:v>PDF/avansert</x:v>
      </x:c>
      <x:c r="K417" t="n">
        <x:v>729</x:v>
      </x:c>
      <x:c r="L417" t="n">
        <x:v>315</x:v>
      </x:c>
      <x:c r="M417" t="n">
        <x:v>315</x:v>
      </x:c>
      <x:c r="N417" t="n">
        <x:v>68</x:v>
      </x:c>
      <x:c r="O417" t="n">
        <x:v>1.3</x:v>
      </x:c>
      <x:c r="P417" t="n">
        <x:v>1</x:v>
      </x:c>
      <x:c r="Q417" t="n">
        <x:v>1.21</x:v>
      </x:c>
      <x:c r="R417" t="n">
        <x:v>4.88</x:v>
      </x:c>
      <x:c r="S417" t="n">
        <x:v>0</x:v>
      </x:c>
      <x:c r="T417" t="n">
        <x:v>0</x:v>
      </x:c>
      <x:c r="U417" t="n">
        <x:v>2</x:v>
      </x:c>
      <x:c r="V417" t="n">
        <x:v>0.3</x:v>
      </x:c>
      <x:c r="W417" t="n">
        <x:v>10</x:v>
      </x:c>
      <x:c r="X417" t="n">
        <x:v>90</x:v>
      </x:c>
      <x:c r="Y417" t="n">
        <x:v>275</x:v>
      </x:c>
      <x:c r="Z417" t="n">
        <x:v>50</x:v>
      </x:c>
      <x:c r="AA417" t="n">
        <x:v>21</x:v>
      </x:c>
      <x:c r="AB417" t="n">
        <x:v>22</x:v>
      </x:c>
      <x:c r="AC417" t="n">
        <x:v>3</x:v>
      </x:c>
      <x:c r="AD417" t="n">
        <x:v>56.5</x:v>
      </x:c>
      <x:c r="AE417" t="n">
        <x:v>0.05</x:v>
      </x:c>
      <x:c r="AF417" t="n">
        <x:v>16</x:v>
      </x:c>
      <x:c r="AG417" t="n">
        <x:v>16</x:v>
      </x:c>
      <x:c r="AH417" t="n">
        <x:v>24</x:v>
      </x:c>
      <x:c r="AI417" t="n">
        <x:v>8</x:v>
      </x:c>
      <x:c r="AJ417" t="n">
        <x:v>1</x:v>
      </x:c>
      <x:c r="AK417" t="n">
        <x:v>240</x:v>
      </x:c>
      <x:c r="AL417" t="str">
        <x:v>Direkte elektrisk;</x:v>
      </x:c>
      <x:c r="AM417" t="n">
        <x:v>1</x:v>
      </x:c>
      <x:c r="AN417" t="n">
        <x:v>0</x:v>
      </x:c>
      <x:c r="AO417" t="n">
        <x:v>1</x:v>
      </x:c>
      <x:c r="AP417" t="n">
        <x:v>1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str">
        <x:v>energiattester_export_2025-08-14.json | PDF vedlegg side 5-7</x:v>
      </x:c>
      <x:c r="AV417" s="12" t="n">
        <x:f>IF(COUNT(O417,P417,Q417,R417,K417,L417,M417,N417)=8,O417*K417+P417*L417+Q417*M417+R417*N417,"")</x:f>
        <x:v>1975.6899999999998</x:v>
      </x:c>
      <x:c r="AW417" s="12" t="n">
        <x:f>IF(AND(ISNUMBER(AV417),H417&gt;0),AV417/H417,"")</x:f>
        <x:v>2.018069458631256</x:v>
      </x:c>
      <x:c r="AX417" s="12" t="n">
        <x:f>IF(AND(ISNUMBER(AD417),H417&gt;0),AD417*H417*3600,"")</x:f>
        <x:v>199128600</x:v>
      </x:c>
      <x:c r="AY417" s="12" t="n">
        <x:f>IF(AND(ISNUMBER(Y417),H417&gt;0),Y417*H417,"")</x:f>
        <x:v>269225</x:v>
      </x:c>
      <x:c r="AZ417" t="str">
        <x:v>Høy</x:v>
      </x:c>
    </x:row>
    <x:row r="418" ht="22" customHeight="1">
      <x:c r="A418" t="str">
        <x:v>OT-171b1bb54c39</x:v>
      </x:c>
      <x:c r="B418" t="n">
        <x:v>2015</x:v>
      </x:c>
      <x:c r="C418" t="str">
        <x:v>Forretningsbygg</x:v>
      </x:c>
      <x:c r="D418" t="str">
        <x:v>Butikk</x:v>
      </x:c>
      <x:c r="E418" t="str">
        <x:v>G</x:v>
      </x:c>
      <x:c r="F418" t="str">
        <x:v>RED</x:v>
      </x:c>
      <x:c r="G418" t="n">
        <x:v>1988</x:v>
      </x:c>
      <x:c r="H418" t="n">
        <x:v>97</x:v>
      </x:c>
      <x:c r="I418" t="n">
        <x:v>418.75</x:v>
      </x:c>
      <x:c r="J418" t="str">
        <x:v>PDF/avansert</x:v>
      </x:c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str">
        <x:v>energiattester_export_2025-08-14.json | PDF vedlegg side 5-7</x:v>
      </x:c>
      <x:c r="AV418" s="12" t="str">
        <x:f>IF(COUNT(O418,P418,Q418,R418,K418,L418,M418,N418)=8,O418*K418+P418*L418+Q418*M418+R418*N418,"")</x:f>
      </x:c>
      <x:c r="AW418" s="12" t="str">
        <x:f>IF(AND(ISNUMBER(AV418),H418&gt;0),AV418/H418,"")</x:f>
      </x:c>
      <x:c r="AX418" s="12" t="str">
        <x:f>IF(AND(ISNUMBER(AD418),H418&gt;0),AD418*H418*3600,"")</x:f>
      </x:c>
      <x:c r="AY418" s="12" t="str">
        <x:f>IF(AND(ISNUMBER(Y418),H418&gt;0),Y418*H418,"")</x:f>
      </x:c>
      <x:c r="AZ418" t="str">
        <x:v>Mangler data</x:v>
      </x:c>
    </x:row>
    <x:row r="419" ht="22" customHeight="1">
      <x:c r="A419" t="str">
        <x:v>OT-f2e834805a92</x:v>
      </x:c>
      <x:c r="B419" t="n">
        <x:v>2015</x:v>
      </x:c>
      <x:c r="C419" t="str">
        <x:v>Forretningsbygg</x:v>
      </x:c>
      <x:c r="D419" t="str">
        <x:v>BUTIKK</x:v>
      </x:c>
      <x:c r="E419" t="str">
        <x:v>B</x:v>
      </x:c>
      <x:c r="F419" t="str">
        <x:v>ORANGE</x:v>
      </x:c>
      <x:c r="G419" t="n">
        <x:v>1981</x:v>
      </x:c>
      <x:c r="H419" t="n">
        <x:v>781</x:v>
      </x:c>
      <x:c r="I419" t="n">
        <x:v>147</x:v>
      </x:c>
      <x:c r="J419" t="str">
        <x:v>PDF/avansert</x:v>
      </x:c>
      <x:c r="K419" t="n">
        <x:v>234</x:v>
      </x:c>
      <x:c r="L419" t="n">
        <x:v>0</x:v>
      </x:c>
      <x:c r="M419" t="n">
        <x:v>721</x:v>
      </x:c>
      <x:c r="N419" t="n">
        <x:v>120</x:v>
      </x:c>
      <x:c r="O419" t="n">
        <x:v>0.25</x:v>
      </x:c>
      <x:c r="P419" t="n">
        <x:v>0</x:v>
      </x:c>
      <x:c r="Q419" t="n">
        <x:v>0.16</x:v>
      </x:c>
      <x:c r="R419" t="n">
        <x:v>1.2</x:v>
      </x:c>
      <x:c r="S419" t="n">
        <x:v>80</x:v>
      </x:c>
      <x:c r="T419" t="n">
        <x:v>80</x:v>
      </x:c>
      <x:c r="U419" t="n">
        <x:v>3</x:v>
      </x:c>
      <x:c r="V419" t="n">
        <x:v>0.23</x:v>
      </x:c>
      <x:c r="W419" t="n">
        <x:v>13</x:v>
      </x:c>
      <x:c r="X419" t="n">
        <x:v>191</x:v>
      </x:c>
      <x:c r="Y419" t="n">
        <x:v>80</x:v>
      </x:c>
      <x:c r="Z419" t="n">
        <x:v>30</x:v>
      </x:c>
      <x:c r="AA419" t="n">
        <x:v>21</x:v>
      </x:c>
      <x:c r="AB419" t="n">
        <x:v>22</x:v>
      </x:c>
      <x:c r="AC419" t="n">
        <x:v>2.9</x:v>
      </x:c>
      <x:c r="AD419" t="n">
        <x:v>40.5</x:v>
      </x:c>
      <x:c r="AE419" t="n">
        <x:v>0.09</x:v>
      </x:c>
      <x:c r="AF419" t="n">
        <x:v>12</x:v>
      </x:c>
      <x:c r="AG419" t="n">
        <x:v>12</x:v>
      </x:c>
      <x:c r="AH419" t="n">
        <x:v>24</x:v>
      </x:c>
      <x:c r="AI419" t="n">
        <x:v>15</x:v>
      </x:c>
      <x:c r="AJ419" t="n">
        <x:v>1</x:v>
      </x:c>
      <x:c r="AK419" t="n">
        <x:v>270</x:v>
      </x:c>
      <x:c r="AL419" t="str">
        <x:v>Direkte elektrisk; Varmepumpe;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1</x:v>
      </x:c>
      <x:c r="AS419" t="n">
        <x:v>1</x:v>
      </x:c>
      <x:c r="AT419" t="n">
        <x:v>0</x:v>
      </x:c>
      <x:c r="AU419" t="str">
        <x:v>energiattester_export_2025-08-14.json | PDF vedlegg side 5-7</x:v>
      </x:c>
      <x:c r="AV419" s="12" t="n">
        <x:f>IF(COUNT(O419,P419,Q419,R419,K419,L419,M419,N419)=8,O419*K419+P419*L419+Q419*M419+R419*N419,"")</x:f>
        <x:v>317.86</x:v>
      </x:c>
      <x:c r="AW419" s="12" t="n">
        <x:f>IF(AND(ISNUMBER(AV419),H419&gt;0),AV419/H419,"")</x:f>
        <x:v>0.4069910371318822</x:v>
      </x:c>
      <x:c r="AX419" s="12" t="n">
        <x:f>IF(AND(ISNUMBER(AD419),H419&gt;0),AD419*H419*3600,"")</x:f>
        <x:v>113869800</x:v>
      </x:c>
      <x:c r="AY419" s="12" t="n">
        <x:f>IF(AND(ISNUMBER(Y419),H419&gt;0),Y419*H419,"")</x:f>
        <x:v>62480</x:v>
      </x:c>
      <x:c r="AZ419" t="str">
        <x:v>Høy</x:v>
      </x:c>
    </x:row>
    <x:row r="420" ht="22" customHeight="1">
      <x:c r="A420" t="str">
        <x:v>OT-7041944475ae</x:v>
      </x:c>
      <x:c r="B420" t="n">
        <x:v>2015</x:v>
      </x:c>
      <x:c r="C420" t="str">
        <x:v>Forretningsbygg</x:v>
      </x:c>
      <x:c r="D420" t="str">
        <x:v>BUTIKK</x:v>
      </x:c>
      <x:c r="E420" t="str">
        <x:v>D</x:v>
      </x:c>
      <x:c r="F420" t="str">
        <x:v>ORANGE</x:v>
      </x:c>
      <x:c r="G420" t="n">
        <x:v>1967</x:v>
      </x:c>
      <x:c r="H420" t="n">
        <x:v>2245</x:v>
      </x:c>
      <x:c r="I420" t="n">
        <x:v>213.4</x:v>
      </x:c>
      <x:c r="J420" t="str">
        <x:v>PDF/avansert</x:v>
      </x:c>
      <x:c r="K420" t="n">
        <x:v>612</x:v>
      </x:c>
      <x:c r="L420" t="n">
        <x:v>1730</x:v>
      </x:c>
      <x:c r="M420" t="n">
        <x:v>580</x:v>
      </x:c>
      <x:c r="N420" t="n">
        <x:v>415</x:v>
      </x:c>
      <x:c r="O420" t="n">
        <x:v>0.36</x:v>
      </x:c>
      <x:c r="P420" t="n">
        <x:v>0.2</x:v>
      </x:c>
      <x:c r="Q420" t="n">
        <x:v>0.15</x:v>
      </x:c>
      <x:c r="R420" t="n">
        <x:v>1.6</x:v>
      </x:c>
      <x:c r="S420" t="n">
        <x:v>14</x:v>
      </x:c>
      <x:c r="T420" t="n">
        <x:v>14</x:v>
      </x:c>
      <x:c r="U420" t="n">
        <x:v>0.46</x:v>
      </x:c>
      <x:c r="V420" t="n">
        <x:v>0.03</x:v>
      </x:c>
      <x:c r="W420" t="n">
        <x:v>13</x:v>
      </x:c>
      <x:c r="X420" t="n">
        <x:v>164</x:v>
      </x:c>
      <x:c r="Y420" t="n">
        <x:v>57</x:v>
      </x:c>
      <x:c r="Z420" t="n">
        <x:v>7</x:v>
      </x:c>
      <x:c r="AA420" t="n">
        <x:v>21</x:v>
      </x:c>
      <x:c r="AB420" t="n">
        <x:v>22</x:v>
      </x:c>
      <x:c r="AC420" t="n">
        <x:v>4.49</x:v>
      </x:c>
      <x:c r="AD420" t="n">
        <x:v>111.2</x:v>
      </x:c>
      <x:c r="AE420" t="n">
        <x:v>0.11</x:v>
      </x:c>
      <x:c r="AF420" t="n">
        <x:v>12</x:v>
      </x:c>
      <x:c r="AG420" t="n">
        <x:v>12</x:v>
      </x:c>
      <x:c r="AH420" t="n">
        <x:v>24</x:v>
      </x:c>
      <x:c r="AI420" t="n">
        <x:v>15</x:v>
      </x:c>
      <x:c r="AJ420" t="n">
        <x:v>1</x:v>
      </x:c>
      <x:c r="AK420" t="n">
        <x:v>250</x:v>
      </x:c>
      <x:c r="AL420" t="str">
        <x:v>Direkte elektrisk; Olje; Varmepumpe;</x:v>
      </x:c>
      <x:c r="AM420"/>
      <x:c r="AN420"/>
      <x:c r="AO420"/>
      <x:c r="AP420"/>
      <x:c r="AQ420"/>
      <x:c r="AR420"/>
      <x:c r="AS420"/>
      <x:c r="AT420"/>
      <x:c r="AU420" t="str">
        <x:v>energiattester_export_2025-08-14.json | PDF vedlegg side 5-7</x:v>
      </x:c>
      <x:c r="AV420" s="12" t="n">
        <x:f>IF(COUNT(O420,P420,Q420,R420,K420,L420,M420,N420)=8,O420*K420+P420*L420+Q420*M420+R420*N420,"")</x:f>
        <x:v>1317.32</x:v>
      </x:c>
      <x:c r="AW420" s="12" t="n">
        <x:f>IF(AND(ISNUMBER(AV420),H420&gt;0),AV420/H420,"")</x:f>
        <x:v>0.5867795100222717</x:v>
      </x:c>
      <x:c r="AX420" s="12" t="n">
        <x:f>IF(AND(ISNUMBER(AD420),H420&gt;0),AD420*H420*3600,"")</x:f>
        <x:v>898718400</x:v>
      </x:c>
      <x:c r="AY420" s="12" t="n">
        <x:f>IF(AND(ISNUMBER(Y420),H420&gt;0),Y420*H420,"")</x:f>
        <x:v>127965</x:v>
      </x:c>
      <x:c r="AZ420" t="str">
        <x:v>Høy</x:v>
      </x:c>
    </x:row>
    <x:row r="421" ht="22" customHeight="1">
      <x:c r="A421" t="str">
        <x:v>OT-869a82d5a9ac</x:v>
      </x:c>
      <x:c r="B421" t="n">
        <x:v>2015</x:v>
      </x:c>
      <x:c r="C421" t="str">
        <x:v>Kontorbygg</x:v>
      </x:c>
      <x:c r="D421" t="str">
        <x:v>KONTORER, ENKLE</x:v>
      </x:c>
      <x:c r="E421" t="str">
        <x:v>E</x:v>
      </x:c>
      <x:c r="F421" t="str">
        <x:v>ORANGE</x:v>
      </x:c>
      <x:c r="G421" t="n">
        <x:v>1984</x:v>
      </x:c>
      <x:c r="H421" t="n">
        <x:v>360</x:v>
      </x:c>
      <x:c r="I421" t="n">
        <x:v>182.2</x:v>
      </x:c>
      <x:c r="J421" t="str">
        <x:v>PDF/avansert</x:v>
      </x:c>
      <x:c r="K421" t="n">
        <x:v>94</x:v>
      </x:c>
      <x:c r="L421" t="n">
        <x:v>360</x:v>
      </x:c>
      <x:c r="M421" t="n">
        <x:v>0</x:v>
      </x:c>
      <x:c r="N421" t="n">
        <x:v>85</x:v>
      </x:c>
      <x:c r="O421" t="n">
        <x:v>0.3</x:v>
      </x:c>
      <x:c r="P421" t="n">
        <x:v>0.2</x:v>
      </x:c>
      <x:c r="Q421" t="n">
        <x:v>0</x:v>
      </x:c>
      <x:c r="R421" t="n">
        <x:v>1.6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7</x:v>
      </x:c>
      <x:c r="X421" t="n">
        <x:v>163</x:v>
      </x:c>
      <x:c r="Y421" t="n">
        <x:v>50</x:v>
      </x:c>
      <x:c r="Z421" t="n">
        <x:v>0</x:v>
      </x:c>
      <x:c r="AA421" t="n">
        <x:v>21</x:v>
      </x:c>
      <x:c r="AB421" t="n">
        <x:v>22</x:v>
      </x:c>
      <x:c r="AC421" t="n">
        <x:v>3</x:v>
      </x:c>
      <x:c r="AD421" t="n">
        <x:v>164.9</x:v>
      </x:c>
      <x:c r="AE421" t="n">
        <x:v>0.12</x:v>
      </x:c>
      <x:c r="AF421" t="n">
        <x:v>12</x:v>
      </x:c>
      <x:c r="AG421" t="n">
        <x:v>12</x:v>
      </x:c>
      <x:c r="AH421" t="n">
        <x:v>24</x:v>
      </x:c>
      <x:c r="AI421" t="n">
        <x:v>8</x:v>
      </x:c>
      <x:c r="AJ421" t="n">
        <x:v>11</x:v>
      </x:c>
      <x:c r="AK421" t="n">
        <x:v>250</x:v>
      </x:c>
      <x:c r="AL421" t="str">
        <x:v>Direkte elektrisk; Varmepumpe;</x:v>
      </x:c>
      <x:c r="AM421"/>
      <x:c r="AN421"/>
      <x:c r="AO421"/>
      <x:c r="AP421"/>
      <x:c r="AQ421"/>
      <x:c r="AR421"/>
      <x:c r="AS421"/>
      <x:c r="AT421"/>
      <x:c r="AU421" t="str">
        <x:v>energiattester_export_2025-08-14.json | PDF vedlegg side 5-7</x:v>
      </x:c>
      <x:c r="AV421" s="12" t="n">
        <x:f>IF(COUNT(O421,P421,Q421,R421,K421,L421,M421,N421)=8,O421*K421+P421*L421+Q421*M421+R421*N421,"")</x:f>
        <x:v>236.2</x:v>
      </x:c>
      <x:c r="AW421" s="12" t="n">
        <x:f>IF(AND(ISNUMBER(AV421),H421&gt;0),AV421/H421,"")</x:f>
        <x:v>0.6561111111111111</x:v>
      </x:c>
      <x:c r="AX421" s="12" t="n">
        <x:f>IF(AND(ISNUMBER(AD421),H421&gt;0),AD421*H421*3600,"")</x:f>
        <x:v>213710400</x:v>
      </x:c>
      <x:c r="AY421" s="12" t="n">
        <x:f>IF(AND(ISNUMBER(Y421),H421&gt;0),Y421*H421,"")</x:f>
        <x:v>18000</x:v>
      </x:c>
      <x:c r="AZ421" t="str">
        <x:v>Høy</x:v>
      </x:c>
    </x:row>
    <x:row r="422" ht="22" customHeight="1">
      <x:c r="A422" t="str">
        <x:v>OT-3ad62496d8ef</x:v>
      </x:c>
      <x:c r="B422" t="n">
        <x:v>2015</x:v>
      </x:c>
      <x:c r="C422" t="str">
        <x:v>Hoteller</x:v>
      </x:c>
      <x:c r="D422" t="str">
        <x:v>HOTELLBYGNING</x:v>
      </x:c>
      <x:c r="E422" t="str">
        <x:v>C</x:v>
      </x:c>
      <x:c r="F422" t="str">
        <x:v>GREEN</x:v>
      </x:c>
      <x:c r="G422" t="n">
        <x:v>2012</x:v>
      </x:c>
      <x:c r="H422" t="n">
        <x:v>7250</x:v>
      </x:c>
      <x:c r="I422" t="n">
        <x:v>213.1</x:v>
      </x:c>
      <x:c r="J422" t="str">
        <x:v>PDF/avansert</x:v>
      </x:c>
      <x:c r="K422" t="n">
        <x:v>3440</x:v>
      </x:c>
      <x:c r="L422" t="n">
        <x:v>1672</x:v>
      </x:c>
      <x:c r="M422" t="n">
        <x:v>1661</x:v>
      </x:c>
      <x:c r="N422" t="n">
        <x:v>933</x:v>
      </x:c>
      <x:c r="O422" t="n">
        <x:v>0.17</x:v>
      </x:c>
      <x:c r="P422" t="n">
        <x:v>0.1</x:v>
      </x:c>
      <x:c r="Q422" t="n">
        <x:v>0.1</x:v>
      </x:c>
      <x:c r="R422" t="n">
        <x:v>0.81</x:v>
      </x:c>
      <x:c r="S422" t="n">
        <x:v>74</x:v>
      </x:c>
      <x:c r="T422" t="n">
        <x:v>74</x:v>
      </x:c>
      <x:c r="U422" t="n">
        <x:v>1.75</x:v>
      </x:c>
      <x:c r="V422" t="n">
        <x:v>0.3</x:v>
      </x:c>
      <x:c r="W422" t="n">
        <x:v>7.8</x:v>
      </x:c>
      <x:c r="X422" t="n">
        <x:v>74</x:v>
      </x:c>
      <x:c r="Y422" t="n">
        <x:v>456</x:v>
      </x:c>
      <x:c r="Z422" t="n">
        <x:v>48</x:v>
      </x:c>
      <x:c r="AA422" t="n">
        <x:v>21</x:v>
      </x:c>
      <x:c r="AB422" t="n">
        <x:v>22</x:v>
      </x:c>
      <x:c r="AC422" t="n">
        <x:v>1.5</x:v>
      </x:c>
      <x:c r="AD422" t="n">
        <x:v>32.3</x:v>
      </x:c>
      <x:c r="AE422" t="n">
        <x:v>0.03</x:v>
      </x:c>
      <x:c r="AF422" t="n">
        <x:v>16</x:v>
      </x:c>
      <x:c r="AG422" t="n">
        <x:v>16</x:v>
      </x:c>
      <x:c r="AH422" t="n">
        <x:v>24</x:v>
      </x:c>
      <x:c r="AI422" t="n">
        <x:v>8</x:v>
      </x:c>
      <x:c r="AJ422" t="n">
        <x:v>1</x:v>
      </x:c>
      <x:c r="AK422" t="n">
        <x:v>240</x:v>
      </x:c>
      <x:c r="AL422" t="str">
        <x:v>Direkte elektrisk; Biobrensel;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str">
        <x:v>energiattester_export_2025-08-14.json | PDF vedlegg side 5-7</x:v>
      </x:c>
      <x:c r="AV422" s="12" t="n">
        <x:f>IF(COUNT(O422,P422,Q422,R422,K422,L422,M422,N422)=8,O422*K422+P422*L422+Q422*M422+R422*N422,"")</x:f>
        <x:v>1673.8300000000002</x:v>
      </x:c>
      <x:c r="AW422" s="12" t="n">
        <x:f>IF(AND(ISNUMBER(AV422),H422&gt;0),AV422/H422,"")</x:f>
        <x:v>0.23087310344827588</x:v>
      </x:c>
      <x:c r="AX422" s="12" t="n">
        <x:f>IF(AND(ISNUMBER(AD422),H422&gt;0),AD422*H422*3600,"")</x:f>
        <x:v>843029999.9999999</x:v>
      </x:c>
      <x:c r="AY422" s="12" t="n">
        <x:f>IF(AND(ISNUMBER(Y422),H422&gt;0),Y422*H422,"")</x:f>
        <x:v>3306000</x:v>
      </x:c>
      <x:c r="AZ422" t="str">
        <x:v>Høy</x:v>
      </x:c>
    </x:row>
    <x:row r="423" ht="22" customHeight="1">
      <x:c r="A423" t="str">
        <x:v>OT-88d422311cdf</x:v>
      </x:c>
      <x:c r="B423" t="n">
        <x:v>2015</x:v>
      </x:c>
      <x:c r="C423" t="str">
        <x:v>Kontorbygg</x:v>
      </x:c>
      <x:c r="D423" t="str">
        <x:v>KONTORER, ENKLE</x:v>
      </x:c>
      <x:c r="E423" t="str">
        <x:v>C</x:v>
      </x:c>
      <x:c r="F423" t="str">
        <x:v>ORANGE</x:v>
      </x:c>
      <x:c r="G423" t="n">
        <x:v>2013</x:v>
      </x:c>
      <x:c r="H423" t="n">
        <x:v>297</x:v>
      </x:c>
      <x:c r="I423" t="n">
        <x:v>134</x:v>
      </x:c>
      <x:c r="J423" t="str">
        <x:v>PDF/avansert</x:v>
      </x:c>
      <x:c r="K423" t="n">
        <x:v>244</x:v>
      </x:c>
      <x:c r="L423" t="n">
        <x:v>297</x:v>
      </x:c>
      <x:c r="M423" t="n">
        <x:v>297</x:v>
      </x:c>
      <x:c r="N423" t="n">
        <x:v>52</x:v>
      </x:c>
      <x:c r="O423" t="n">
        <x:v>0.15</x:v>
      </x:c>
      <x:c r="P423" t="n">
        <x:v>0.13</x:v>
      </x:c>
      <x:c r="Q423" t="n">
        <x:v>0.12</x:v>
      </x:c>
      <x:c r="R423" t="n">
        <x:v>1.16</x:v>
      </x:c>
      <x:c r="S423" t="n">
        <x:v>80</x:v>
      </x:c>
      <x:c r="T423" t="n">
        <x:v>80</x:v>
      </x:c>
      <x:c r="U423" t="n">
        <x:v>2</x:v>
      </x:c>
      <x:c r="V423" t="n">
        <x:v>0.27</x:v>
      </x:c>
      <x:c r="W423" t="n">
        <x:v>10</x:v>
      </x:c>
      <x:c r="X423" t="n">
        <x:v>155</x:v>
      </x:c>
      <x:c r="Y423" t="n">
        <x:v>110</x:v>
      </x:c>
      <x:c r="Z423" t="n">
        <x:v>0</x:v>
      </x:c>
      <x:c r="AA423" t="n">
        <x:v>21</x:v>
      </x:c>
      <x:c r="AB423" t="n">
        <x:v>22</x:v>
      </x:c>
      <x:c r="AC423" t="n">
        <x:v>1</x:v>
      </x:c>
      <x:c r="AD423" t="n">
        <x:v>80.4</x:v>
      </x:c>
      <x:c r="AE423" t="n">
        <x:v>0.03</x:v>
      </x:c>
      <x:c r="AF423" t="n">
        <x:v>12</x:v>
      </x:c>
      <x:c r="AG423" t="n">
        <x:v>12</x:v>
      </x:c>
      <x:c r="AH423" t="n">
        <x:v>24</x:v>
      </x:c>
      <x:c r="AI423" t="n">
        <x:v>8</x:v>
      </x:c>
      <x:c r="AJ423" t="n">
        <x:v>11</x:v>
      </x:c>
      <x:c r="AK423" t="n">
        <x:v>250</x:v>
      </x:c>
      <x:c r="AL423" t="str">
        <x:v>Direkte elektrisk; Varmepumpe;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str">
        <x:v>energiattester_export_2025-08-14.json | PDF vedlegg side 5-7</x:v>
      </x:c>
      <x:c r="AV423" s="12" t="n">
        <x:f>IF(COUNT(O423,P423,Q423,R423,K423,L423,M423,N423)=8,O423*K423+P423*L423+Q423*M423+R423*N423,"")</x:f>
        <x:v>171.17000000000002</x:v>
      </x:c>
      <x:c r="AW423" s="12" t="n">
        <x:f>IF(AND(ISNUMBER(AV423),H423&gt;0),AV423/H423,"")</x:f>
        <x:v>0.5763299663299664</x:v>
      </x:c>
      <x:c r="AX423" s="12" t="n">
        <x:f>IF(AND(ISNUMBER(AD423),H423&gt;0),AD423*H423*3600,"")</x:f>
        <x:v>85963680.00000001</x:v>
      </x:c>
      <x:c r="AY423" s="12" t="n">
        <x:f>IF(AND(ISNUMBER(Y423),H423&gt;0),Y423*H423,"")</x:f>
        <x:v>32670</x:v>
      </x:c>
      <x:c r="AZ423" t="str">
        <x:v>Høy</x:v>
      </x:c>
    </x:row>
    <x:row r="424" ht="22" customHeight="1">
      <x:c r="A424" t="str">
        <x:v>OT-35aab5dd44da</x:v>
      </x:c>
      <x:c r="B424" t="n">
        <x:v>2015</x:v>
      </x:c>
      <x:c r="C424" t="str">
        <x:v>Forretningsbygg</x:v>
      </x:c>
      <x:c r="D424" t="str">
        <x:v>BUTIKK MED KJØLE- / FRYSEROM</x:v>
      </x:c>
      <x:c r="E424" t="str">
        <x:v>C</x:v>
      </x:c>
      <x:c r="F424" t="str">
        <x:v>RED</x:v>
      </x:c>
      <x:c r="G424" t="n">
        <x:v>2000</x:v>
      </x:c>
      <x:c r="H424" t="n">
        <x:v>1011</x:v>
      </x:c>
      <x:c r="I424" t="n">
        <x:v>186</x:v>
      </x:c>
      <x:c r="J424" t="str">
        <x:v>PDF/avansert</x:v>
      </x:c>
      <x:c r="K424" t="n">
        <x:v>377</x:v>
      </x:c>
      <x:c r="L424" t="n">
        <x:v>996</x:v>
      </x:c>
      <x:c r="M424" t="n">
        <x:v>996</x:v>
      </x:c>
      <x:c r="N424" t="n">
        <x:v>56</x:v>
      </x:c>
      <x:c r="O424" t="n">
        <x:v>0.15</x:v>
      </x:c>
      <x:c r="P424" t="n">
        <x:v>0.16</x:v>
      </x:c>
      <x:c r="Q424" t="n">
        <x:v>0.07</x:v>
      </x:c>
      <x:c r="R424" t="n">
        <x:v>1.12</x:v>
      </x:c>
      <x:c r="S424" t="n">
        <x:v>70</x:v>
      </x:c>
      <x:c r="T424" t="n">
        <x:v>70</x:v>
      </x:c>
      <x:c r="U424" t="n">
        <x:v>2</x:v>
      </x:c>
      <x:c r="V424" t="n">
        <x:v>0.44</x:v>
      </x:c>
      <x:c r="W424" t="n">
        <x:v>10.9</x:v>
      </x:c>
      <x:c r="X424" t="n">
        <x:v>90</x:v>
      </x:c>
      <x:c r="Y424" t="n">
        <x:v>80</x:v>
      </x:c>
      <x:c r="Z424" t="n">
        <x:v>40</x:v>
      </x:c>
      <x:c r="AA424" t="n">
        <x:v>21</x:v>
      </x:c>
      <x:c r="AB424" t="n">
        <x:v>22</x:v>
      </x:c>
      <x:c r="AC424" t="n">
        <x:v>1.5</x:v>
      </x:c>
      <x:c r="AD424" t="n">
        <x:v>68.3</x:v>
      </x:c>
      <x:c r="AE424" t="n">
        <x:v>0.09</x:v>
      </x:c>
      <x:c r="AF424" t="n">
        <x:v>12</x:v>
      </x:c>
      <x:c r="AG424" t="n">
        <x:v>12</x:v>
      </x:c>
      <x:c r="AH424" t="n">
        <x:v>24</x:v>
      </x:c>
      <x:c r="AI424" t="n">
        <x:v>15</x:v>
      </x:c>
      <x:c r="AJ424" t="n">
        <x:v>1</x:v>
      </x:c>
      <x:c r="AK424" t="n">
        <x:v>240</x:v>
      </x:c>
      <x:c r="AL424" t="str">
        <x:v>Direkte elektrisk;</x:v>
      </x:c>
      <x:c r="AM424"/>
      <x:c r="AN424"/>
      <x:c r="AO424"/>
      <x:c r="AP424"/>
      <x:c r="AQ424"/>
      <x:c r="AR424"/>
      <x:c r="AS424"/>
      <x:c r="AT424"/>
      <x:c r="AU424" t="str">
        <x:v>energiattester_export_2025-08-14.json | PDF vedlegg side 5-7</x:v>
      </x:c>
      <x:c r="AV424" s="12" t="n">
        <x:f>IF(COUNT(O424,P424,Q424,R424,K424,L424,M424,N424)=8,O424*K424+P424*L424+Q424*M424+R424*N424,"")</x:f>
        <x:v>348.3500000000001</x:v>
      </x:c>
      <x:c r="AW424" s="12" t="n">
        <x:f>IF(AND(ISNUMBER(AV424),H424&gt;0),AV424/H424,"")</x:f>
        <x:v>0.34455984174085075</x:v>
      </x:c>
      <x:c r="AX424" s="12" t="n">
        <x:f>IF(AND(ISNUMBER(AD424),H424&gt;0),AD424*H424*3600,"")</x:f>
        <x:v>248584680</x:v>
      </x:c>
      <x:c r="AY424" s="12" t="n">
        <x:f>IF(AND(ISNUMBER(Y424),H424&gt;0),Y424*H424,"")</x:f>
        <x:v>80880</x:v>
      </x:c>
      <x:c r="AZ424" t="str">
        <x:v>Høy</x:v>
      </x:c>
    </x:row>
    <x:row r="425" ht="22" customHeight="1">
      <x:c r="A425" t="str">
        <x:v>OT-ea0bd9216d95</x:v>
      </x:c>
      <x:c r="B425" t="n">
        <x:v>2015</x:v>
      </x:c>
      <x:c r="C425" t="str">
        <x:v>Kontorbygg</x:v>
      </x:c>
      <x:c r="D425" t="str">
        <x:v>KONTORER, ENKLE</x:v>
      </x:c>
      <x:c r="E425" t="str">
        <x:v>C</x:v>
      </x:c>
      <x:c r="F425" t="str">
        <x:v>ORANGE</x:v>
      </x:c>
      <x:c r="G425" t="n">
        <x:v>2013</x:v>
      </x:c>
      <x:c r="H425" t="n">
        <x:v>297</x:v>
      </x:c>
      <x:c r="I425" t="n">
        <x:v>134</x:v>
      </x:c>
      <x:c r="J425" t="str">
        <x:v>PDF/avansert</x:v>
      </x:c>
      <x:c r="K425" t="n">
        <x:v>244</x:v>
      </x:c>
      <x:c r="L425" t="n">
        <x:v>297</x:v>
      </x:c>
      <x:c r="M425" t="n">
        <x:v>297</x:v>
      </x:c>
      <x:c r="N425" t="n">
        <x:v>52</x:v>
      </x:c>
      <x:c r="O425" t="n">
        <x:v>0.15</x:v>
      </x:c>
      <x:c r="P425" t="n">
        <x:v>0.13</x:v>
      </x:c>
      <x:c r="Q425" t="n">
        <x:v>0.12</x:v>
      </x:c>
      <x:c r="R425" t="n">
        <x:v>1.16</x:v>
      </x:c>
      <x:c r="S425" t="n">
        <x:v>80</x:v>
      </x:c>
      <x:c r="T425" t="n">
        <x:v>80</x:v>
      </x:c>
      <x:c r="U425" t="n">
        <x:v>2</x:v>
      </x:c>
      <x:c r="V425" t="n">
        <x:v>0.27</x:v>
      </x:c>
      <x:c r="W425" t="n">
        <x:v>10</x:v>
      </x:c>
      <x:c r="X425" t="n">
        <x:v>155</x:v>
      </x:c>
      <x:c r="Y425" t="n">
        <x:v>110</x:v>
      </x:c>
      <x:c r="Z425" t="n">
        <x:v>0</x:v>
      </x:c>
      <x:c r="AA425" t="n">
        <x:v>21</x:v>
      </x:c>
      <x:c r="AB425" t="n">
        <x:v>22</x:v>
      </x:c>
      <x:c r="AC425" t="n">
        <x:v>1</x:v>
      </x:c>
      <x:c r="AD425" t="n">
        <x:v>80.4</x:v>
      </x:c>
      <x:c r="AE425" t="n">
        <x:v>0.03</x:v>
      </x:c>
      <x:c r="AF425" t="n">
        <x:v>12</x:v>
      </x:c>
      <x:c r="AG425" t="n">
        <x:v>12</x:v>
      </x:c>
      <x:c r="AH425" t="n">
        <x:v>24</x:v>
      </x:c>
      <x:c r="AI425" t="n">
        <x:v>8</x:v>
      </x:c>
      <x:c r="AJ425" t="n">
        <x:v>11</x:v>
      </x:c>
      <x:c r="AK425" t="n">
        <x:v>250</x:v>
      </x:c>
      <x:c r="AL425" t="str">
        <x:v>Direkte elektrisk; Varmepumpe;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str">
        <x:v>energiattester_export_2025-08-14.json | PDF vedlegg side 5-7</x:v>
      </x:c>
      <x:c r="AV425" s="12" t="n">
        <x:f>IF(COUNT(O425,P425,Q425,R425,K425,L425,M425,N425)=8,O425*K425+P425*L425+Q425*M425+R425*N425,"")</x:f>
        <x:v>171.17000000000002</x:v>
      </x:c>
      <x:c r="AW425" s="12" t="n">
        <x:f>IF(AND(ISNUMBER(AV425),H425&gt;0),AV425/H425,"")</x:f>
        <x:v>0.5763299663299664</x:v>
      </x:c>
      <x:c r="AX425" s="12" t="n">
        <x:f>IF(AND(ISNUMBER(AD425),H425&gt;0),AD425*H425*3600,"")</x:f>
        <x:v>85963680.00000001</x:v>
      </x:c>
      <x:c r="AY425" s="12" t="n">
        <x:f>IF(AND(ISNUMBER(Y425),H425&gt;0),Y425*H425,"")</x:f>
        <x:v>32670</x:v>
      </x:c>
      <x:c r="AZ425" t="str">
        <x:v>Høy</x:v>
      </x:c>
    </x:row>
    <x:row r="426" ht="22" customHeight="1">
      <x:c r="A426" t="str">
        <x:v>OT-6f0719a24de1</x:v>
      </x:c>
      <x:c r="B426" t="n">
        <x:v>2015</x:v>
      </x:c>
      <x:c r="C426" t="str">
        <x:v>Kontorbygg</x:v>
      </x:c>
      <x:c r="D426" t="str">
        <x:v>KONTORER, ENKLE</x:v>
      </x:c>
      <x:c r="E426" t="str">
        <x:v>C</x:v>
      </x:c>
      <x:c r="F426" t="str">
        <x:v>ORANGE</x:v>
      </x:c>
      <x:c r="G426" t="n">
        <x:v>2013</x:v>
      </x:c>
      <x:c r="H426" t="n">
        <x:v>297</x:v>
      </x:c>
      <x:c r="I426" t="n">
        <x:v>134</x:v>
      </x:c>
      <x:c r="J426" t="str">
        <x:v>PDF/avansert</x:v>
      </x:c>
      <x:c r="K426" t="n">
        <x:v>244</x:v>
      </x:c>
      <x:c r="L426" t="n">
        <x:v>297</x:v>
      </x:c>
      <x:c r="M426" t="n">
        <x:v>297</x:v>
      </x:c>
      <x:c r="N426" t="n">
        <x:v>52</x:v>
      </x:c>
      <x:c r="O426" t="n">
        <x:v>0.15</x:v>
      </x:c>
      <x:c r="P426" t="n">
        <x:v>0.13</x:v>
      </x:c>
      <x:c r="Q426" t="n">
        <x:v>0.12</x:v>
      </x:c>
      <x:c r="R426" t="n">
        <x:v>1.16</x:v>
      </x:c>
      <x:c r="S426" t="n">
        <x:v>80</x:v>
      </x:c>
      <x:c r="T426" t="n">
        <x:v>80</x:v>
      </x:c>
      <x:c r="U426" t="n">
        <x:v>2</x:v>
      </x:c>
      <x:c r="V426" t="n">
        <x:v>0.27</x:v>
      </x:c>
      <x:c r="W426" t="n">
        <x:v>10</x:v>
      </x:c>
      <x:c r="X426" t="n">
        <x:v>155</x:v>
      </x:c>
      <x:c r="Y426" t="n">
        <x:v>110</x:v>
      </x:c>
      <x:c r="Z426" t="n">
        <x:v>0</x:v>
      </x:c>
      <x:c r="AA426" t="n">
        <x:v>21</x:v>
      </x:c>
      <x:c r="AB426" t="n">
        <x:v>22</x:v>
      </x:c>
      <x:c r="AC426" t="n">
        <x:v>1</x:v>
      </x:c>
      <x:c r="AD426" t="n">
        <x:v>80.4</x:v>
      </x:c>
      <x:c r="AE426" t="n">
        <x:v>0.03</x:v>
      </x:c>
      <x:c r="AF426" t="n">
        <x:v>12</x:v>
      </x:c>
      <x:c r="AG426" t="n">
        <x:v>12</x:v>
      </x:c>
      <x:c r="AH426" t="n">
        <x:v>24</x:v>
      </x:c>
      <x:c r="AI426" t="n">
        <x:v>8</x:v>
      </x:c>
      <x:c r="AJ426" t="n">
        <x:v>11</x:v>
      </x:c>
      <x:c r="AK426" t="n">
        <x:v>250</x:v>
      </x:c>
      <x:c r="AL426" t="str">
        <x:v>Direkte elektrisk; Varmepumpe;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str">
        <x:v>energiattester_export_2025-08-14.json | PDF vedlegg side 5-7</x:v>
      </x:c>
      <x:c r="AV426" s="12" t="n">
        <x:f>IF(COUNT(O426,P426,Q426,R426,K426,L426,M426,N426)=8,O426*K426+P426*L426+Q426*M426+R426*N426,"")</x:f>
        <x:v>171.17000000000002</x:v>
      </x:c>
      <x:c r="AW426" s="12" t="n">
        <x:f>IF(AND(ISNUMBER(AV426),H426&gt;0),AV426/H426,"")</x:f>
        <x:v>0.5763299663299664</x:v>
      </x:c>
      <x:c r="AX426" s="12" t="n">
        <x:f>IF(AND(ISNUMBER(AD426),H426&gt;0),AD426*H426*3600,"")</x:f>
        <x:v>85963680.00000001</x:v>
      </x:c>
      <x:c r="AY426" s="12" t="n">
        <x:f>IF(AND(ISNUMBER(Y426),H426&gt;0),Y426*H426,"")</x:f>
        <x:v>32670</x:v>
      </x:c>
      <x:c r="AZ426" t="str">
        <x:v>Høy</x:v>
      </x:c>
    </x:row>
    <x:row r="427" ht="22" customHeight="1">
      <x:c r="A427" t="str">
        <x:v>OT-d71fa1aeac76</x:v>
      </x:c>
      <x:c r="B427" t="n">
        <x:v>2015</x:v>
      </x:c>
      <x:c r="C427" t="str">
        <x:v>Kontorbygg</x:v>
      </x:c>
      <x:c r="D427" t="str">
        <x:v>KONTORER, MED VENTILASJON OG KJØLEANLEGG</x:v>
      </x:c>
      <x:c r="E427" t="str">
        <x:v>E</x:v>
      </x:c>
      <x:c r="F427" t="str">
        <x:v>RED</x:v>
      </x:c>
      <x:c r="G427" t="n">
        <x:v>1975</x:v>
      </x:c>
      <x:c r="H427" t="n">
        <x:v>1318</x:v>
      </x:c>
      <x:c r="I427" t="n">
        <x:v>205.7</x:v>
      </x:c>
      <x:c r="J427" t="str">
        <x:v>PDF/avansert</x:v>
      </x:c>
      <x:c r="K427" t="n">
        <x:v>591</x:v>
      </x:c>
      <x:c r="L427" t="n">
        <x:v>659</x:v>
      </x:c>
      <x:c r="M427" t="n">
        <x:v>659</x:v>
      </x:c>
      <x:c r="N427" t="n">
        <x:v>215</x:v>
      </x:c>
      <x:c r="O427" t="n">
        <x:v>0.42</x:v>
      </x:c>
      <x:c r="P427" t="n">
        <x:v>0.25</x:v>
      </x:c>
      <x:c r="Q427" t="n">
        <x:v>0.3</x:v>
      </x:c>
      <x:c r="R427" t="n">
        <x:v>2.6</x:v>
      </x:c>
      <x:c r="S427" t="n">
        <x:v>70</x:v>
      </x:c>
      <x:c r="T427" t="n">
        <x:v>70</x:v>
      </x:c>
      <x:c r="U427" t="n">
        <x:v>3</x:v>
      </x:c>
      <x:c r="V427" t="n">
        <x:v>0.38</x:v>
      </x:c>
      <x:c r="W427" t="n">
        <x:v>7</x:v>
      </x:c>
      <x:c r="X427" t="n">
        <x:v>98</x:v>
      </x:c>
      <x:c r="Y427" t="n">
        <x:v>85</x:v>
      </x:c>
      <x:c r="Z427" t="n">
        <x:v>40</x:v>
      </x:c>
      <x:c r="AA427" t="n">
        <x:v>21</x:v>
      </x:c>
      <x:c r="AB427" t="n">
        <x:v>22</x:v>
      </x:c>
      <x:c r="AC427" t="n">
        <x:v>2.5</x:v>
      </x:c>
      <x:c r="AD427" t="n">
        <x:v>38.1</x:v>
      </x:c>
      <x:c r="AE427" t="n">
        <x:v>0.12</x:v>
      </x:c>
      <x:c r="AF427" t="n">
        <x:v>12</x:v>
      </x:c>
      <x:c r="AG427" t="n">
        <x:v>12</x:v>
      </x:c>
      <x:c r="AH427" t="n">
        <x:v>24</x:v>
      </x:c>
      <x:c r="AI427" t="n">
        <x:v>8</x:v>
      </x:c>
      <x:c r="AJ427" t="n">
        <x:v>11</x:v>
      </x:c>
      <x:c r="AK427" t="n">
        <x:v>240</x:v>
      </x:c>
      <x:c r="AL427" t="str">
        <x:v>Direkte elektrisk;</x:v>
      </x:c>
      <x:c r="AM427"/>
      <x:c r="AN427"/>
      <x:c r="AO427"/>
      <x:c r="AP427"/>
      <x:c r="AQ427"/>
      <x:c r="AR427"/>
      <x:c r="AS427"/>
      <x:c r="AT427"/>
      <x:c r="AU427" t="str">
        <x:v>energiattester_export_2025-08-14.json | PDF vedlegg side 5-7</x:v>
      </x:c>
      <x:c r="AV427" s="12" t="n">
        <x:f>IF(COUNT(O427,P427,Q427,R427,K427,L427,M427,N427)=8,O427*K427+P427*L427+Q427*M427+R427*N427,"")</x:f>
        <x:v>1169.67</x:v>
      </x:c>
      <x:c r="AW427" s="12" t="n">
        <x:f>IF(AND(ISNUMBER(AV427),H427&gt;0),AV427/H427,"")</x:f>
        <x:v>0.8874582701062216</x:v>
      </x:c>
      <x:c r="AX427" s="12" t="n">
        <x:f>IF(AND(ISNUMBER(AD427),H427&gt;0),AD427*H427*3600,"")</x:f>
        <x:v>180776880</x:v>
      </x:c>
      <x:c r="AY427" s="12" t="n">
        <x:f>IF(AND(ISNUMBER(Y427),H427&gt;0),Y427*H427,"")</x:f>
        <x:v>112030</x:v>
      </x:c>
      <x:c r="AZ427" t="str">
        <x:v>Høy</x:v>
      </x:c>
    </x:row>
    <x:row r="428" ht="22" customHeight="1">
      <x:c r="A428" t="str">
        <x:v>OT-35b2c2ecf28d</x:v>
      </x:c>
      <x:c r="B428" t="n">
        <x:v>2015</x:v>
      </x:c>
      <x:c r="C428" t="str">
        <x:v>Kontorbygg</x:v>
      </x:c>
      <x:c r="D428" t="str">
        <x:v>KONTORER, ENKLE</x:v>
      </x:c>
      <x:c r="E428" t="str">
        <x:v>E</x:v>
      </x:c>
      <x:c r="F428" t="str">
        <x:v>RED</x:v>
      </x:c>
      <x:c r="G428" t="n">
        <x:v>1999</x:v>
      </x:c>
      <x:c r="H428" t="n">
        <x:v>4010</x:v>
      </x:c>
      <x:c r="I428" t="n">
        <x:v>207.3</x:v>
      </x:c>
      <x:c r="J428" t="str">
        <x:v>PDF/avansert</x:v>
      </x:c>
      <x:c r="K428" t="n">
        <x:v>1693</x:v>
      </x:c>
      <x:c r="L428" t="n">
        <x:v>1120</x:v>
      </x:c>
      <x:c r="M428" t="n">
        <x:v>1120</x:v>
      </x:c>
      <x:c r="N428" t="n">
        <x:v>595</x:v>
      </x:c>
      <x:c r="O428" t="n">
        <x:v>0.38</x:v>
      </x:c>
      <x:c r="P428" t="n">
        <x:v>0.22</x:v>
      </x:c>
      <x:c r="Q428" t="n">
        <x:v>0.32</x:v>
      </x:c>
      <x:c r="R428" t="n">
        <x:v>1.73</x:v>
      </x:c>
      <x:c r="S428" t="n">
        <x:v>58</x:v>
      </x:c>
      <x:c r="T428" t="n">
        <x:v>58</x:v>
      </x:c>
      <x:c r="U428" t="n">
        <x:v>2.42</x:v>
      </x:c>
      <x:c r="V428" t="n">
        <x:v>0.22</x:v>
      </x:c>
      <x:c r="W428" t="n">
        <x:v>8</x:v>
      </x:c>
      <x:c r="X428" t="n">
        <x:v>89</x:v>
      </x:c>
      <x:c r="Y428" t="n">
        <x:v>301</x:v>
      </x:c>
      <x:c r="Z428" t="n">
        <x:v>208</x:v>
      </x:c>
      <x:c r="AA428" t="n">
        <x:v>21</x:v>
      </x:c>
      <x:c r="AB428" t="n">
        <x:v>22</x:v>
      </x:c>
      <x:c r="AC428" t="n">
        <x:v>2.83</x:v>
      </x:c>
      <x:c r="AD428" t="n">
        <x:v>76.3</x:v>
      </x:c>
      <x:c r="AE428" t="n">
        <x:v>0.06</x:v>
      </x:c>
      <x:c r="AF428"/>
      <x:c r="AG428"/>
      <x:c r="AH428"/>
      <x:c r="AI428"/>
      <x:c r="AJ428"/>
      <x:c r="AK428" t="n">
        <x:v>240</x:v>
      </x:c>
      <x:c r="AL428"/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1</x:v>
      </x:c>
      <x:c r="AR428" t="n">
        <x:v>1</x:v>
      </x:c>
      <x:c r="AS428" t="n">
        <x:v>1</x:v>
      </x:c>
      <x:c r="AT428" t="n">
        <x:v>1</x:v>
      </x:c>
      <x:c r="AU428" t="str">
        <x:v>energiattester_export_2025-08-14.json | PDF vedlegg side 5-7</x:v>
      </x:c>
      <x:c r="AV428" s="12" t="n">
        <x:f>IF(COUNT(O428,P428,Q428,R428,K428,L428,M428,N428)=8,O428*K428+P428*L428+Q428*M428+R428*N428,"")</x:f>
        <x:v>2277.49</x:v>
      </x:c>
      <x:c r="AW428" s="12" t="n">
        <x:f>IF(AND(ISNUMBER(AV428),H428&gt;0),AV428/H428,"")</x:f>
        <x:v>0.5679526184538652</x:v>
      </x:c>
      <x:c r="AX428" s="12" t="n">
        <x:f>IF(AND(ISNUMBER(AD428),H428&gt;0),AD428*H428*3600,"")</x:f>
        <x:v>1101466800</x:v>
      </x:c>
      <x:c r="AY428" s="12" t="n">
        <x:f>IF(AND(ISNUMBER(Y428),H428&gt;0),Y428*H428,"")</x:f>
        <x:v>1207010</x:v>
      </x:c>
      <x:c r="AZ428" t="str">
        <x:v>Høy</x:v>
      </x:c>
    </x:row>
    <x:row r="429" ht="22" customHeight="1">
      <x:c r="A429" t="str">
        <x:v>OT-3a1453c2208a</x:v>
      </x:c>
      <x:c r="B429" t="n">
        <x:v>2015</x:v>
      </x:c>
      <x:c r="C429" t="str">
        <x:v>Forretningsbygg</x:v>
      </x:c>
      <x:c r="D429" t="str">
        <x:v>BUTIKK MED KJØLE- / FRYSEROM</x:v>
      </x:c>
      <x:c r="E429" t="str">
        <x:v>C</x:v>
      </x:c>
      <x:c r="F429" t="str">
        <x:v>RED</x:v>
      </x:c>
      <x:c r="G429" t="n">
        <x:v>2011</x:v>
      </x:c>
      <x:c r="H429" t="n">
        <x:v>1338</x:v>
      </x:c>
      <x:c r="I429" t="n">
        <x:v>194</x:v>
      </x:c>
      <x:c r="J429" t="str">
        <x:v>PDF/avansert</x:v>
      </x:c>
      <x:c r="K429" t="n">
        <x:v>474</x:v>
      </x:c>
      <x:c r="L429" t="n">
        <x:v>1323</x:v>
      </x:c>
      <x:c r="M429" t="n">
        <x:v>1323</x:v>
      </x:c>
      <x:c r="N429" t="n">
        <x:v>67</x:v>
      </x:c>
      <x:c r="O429" t="n">
        <x:v>0.15</x:v>
      </x:c>
      <x:c r="P429" t="n">
        <x:v>0.21</x:v>
      </x:c>
      <x:c r="Q429" t="n">
        <x:v>0.12</x:v>
      </x:c>
      <x:c r="R429" t="n">
        <x:v>1.7</x:v>
      </x:c>
      <x:c r="S429" t="n">
        <x:v>70</x:v>
      </x:c>
      <x:c r="T429" t="n">
        <x:v>70</x:v>
      </x:c>
      <x:c r="U429" t="n">
        <x:v>2</x:v>
      </x:c>
      <x:c r="V429" t="n">
        <x:v>0.49</x:v>
      </x:c>
      <x:c r="W429" t="n">
        <x:v>10.1</x:v>
      </x:c>
      <x:c r="X429" t="n">
        <x:v>90</x:v>
      </x:c>
      <x:c r="Y429" t="n">
        <x:v>80</x:v>
      </x:c>
      <x:c r="Z429" t="n">
        <x:v>70</x:v>
      </x:c>
      <x:c r="AA429" t="n">
        <x:v>21</x:v>
      </x:c>
      <x:c r="AB429" t="n">
        <x:v>22</x:v>
      </x:c>
      <x:c r="AC429" t="n">
        <x:v>1.5</x:v>
      </x:c>
      <x:c r="AD429" t="n">
        <x:v>128.9</x:v>
      </x:c>
      <x:c r="AE429" t="n">
        <x:v>0.06</x:v>
      </x:c>
      <x:c r="AF429" t="n">
        <x:v>12</x:v>
      </x:c>
      <x:c r="AG429" t="n">
        <x:v>12</x:v>
      </x:c>
      <x:c r="AH429" t="n">
        <x:v>24</x:v>
      </x:c>
      <x:c r="AI429" t="n">
        <x:v>15</x:v>
      </x:c>
      <x:c r="AJ429" t="n">
        <x:v>1</x:v>
      </x:c>
      <x:c r="AK429" t="n">
        <x:v>250</x:v>
      </x:c>
      <x:c r="AL429" t="str">
        <x:v>Direkte elektrisk;</x:v>
      </x:c>
      <x:c r="AM429"/>
      <x:c r="AN429"/>
      <x:c r="AO429"/>
      <x:c r="AP429"/>
      <x:c r="AQ429"/>
      <x:c r="AR429"/>
      <x:c r="AS429"/>
      <x:c r="AT429"/>
      <x:c r="AU429" t="str">
        <x:v>energiattester_export_2025-08-14.json | PDF vedlegg side 5-7</x:v>
      </x:c>
      <x:c r="AV429" s="12" t="n">
        <x:f>IF(COUNT(O429,P429,Q429,R429,K429,L429,M429,N429)=8,O429*K429+P429*L429+Q429*M429+R429*N429,"")</x:f>
        <x:v>621.5899999999999</x:v>
      </x:c>
      <x:c r="AW429" s="12" t="n">
        <x:f>IF(AND(ISNUMBER(AV429),H429&gt;0),AV429/H429,"")</x:f>
        <x:v>0.4645665171898355</x:v>
      </x:c>
      <x:c r="AX429" s="12" t="n">
        <x:f>IF(AND(ISNUMBER(AD429),H429&gt;0),AD429*H429*3600,"")</x:f>
        <x:v>620885520</x:v>
      </x:c>
      <x:c r="AY429" s="12" t="n">
        <x:f>IF(AND(ISNUMBER(Y429),H429&gt;0),Y429*H429,"")</x:f>
        <x:v>107040</x:v>
      </x:c>
      <x:c r="AZ429" t="str">
        <x:v>Høy</x:v>
      </x:c>
    </x:row>
    <x:row r="430" ht="22" customHeight="1">
      <x:c r="A430" t="str">
        <x:v>OT-5a31fa6cb538</x:v>
      </x:c>
      <x:c r="B430" t="n">
        <x:v>2015</x:v>
      </x:c>
      <x:c r="C430" t="str">
        <x:v>Forretningsbygg</x:v>
      </x:c>
      <x:c r="D430" t="str">
        <x:v>BUTIKK MED KJØLE- / FRYSEROM</x:v>
      </x:c>
      <x:c r="E430" t="str">
        <x:v>D</x:v>
      </x:c>
      <x:c r="F430" t="str">
        <x:v>RED</x:v>
      </x:c>
      <x:c r="G430" t="n">
        <x:v>2005</x:v>
      </x:c>
      <x:c r="H430" t="n">
        <x:v>1253</x:v>
      </x:c>
      <x:c r="I430" t="n">
        <x:v>211</x:v>
      </x:c>
      <x:c r="J430" t="str">
        <x:v>PDF/avansert</x:v>
      </x:c>
      <x:c r="K430" t="n">
        <x:v>959</x:v>
      </x:c>
      <x:c r="L430" t="n">
        <x:v>1238</x:v>
      </x:c>
      <x:c r="M430" t="n">
        <x:v>1238</x:v>
      </x:c>
      <x:c r="N430" t="n">
        <x:v>62</x:v>
      </x:c>
      <x:c r="O430" t="n">
        <x:v>0.21</x:v>
      </x:c>
      <x:c r="P430" t="n">
        <x:v>0.17</x:v>
      </x:c>
      <x:c r="Q430" t="n">
        <x:v>0.13</x:v>
      </x:c>
      <x:c r="R430" t="n">
        <x:v>1.22</x:v>
      </x:c>
      <x:c r="S430" t="n">
        <x:v>70</x:v>
      </x:c>
      <x:c r="T430" t="n">
        <x:v>70</x:v>
      </x:c>
      <x:c r="U430" t="n">
        <x:v>2</x:v>
      </x:c>
      <x:c r="V430" t="n">
        <x:v>0.43</x:v>
      </x:c>
      <x:c r="W430" t="n">
        <x:v>11</x:v>
      </x:c>
      <x:c r="X430" t="n">
        <x:v>90</x:v>
      </x:c>
      <x:c r="Y430" t="n">
        <x:v>80</x:v>
      </x:c>
      <x:c r="Z430" t="n">
        <x:v>70</x:v>
      </x:c>
      <x:c r="AA430" t="n">
        <x:v>21</x:v>
      </x:c>
      <x:c r="AB430" t="n">
        <x:v>22</x:v>
      </x:c>
      <x:c r="AC430" t="n">
        <x:v>1.5</x:v>
      </x:c>
      <x:c r="AD430" t="n">
        <x:v>69.3</x:v>
      </x:c>
      <x:c r="AE430" t="n">
        <x:v>0.09</x:v>
      </x:c>
      <x:c r="AF430" t="n">
        <x:v>12</x:v>
      </x:c>
      <x:c r="AG430" t="n">
        <x:v>12</x:v>
      </x:c>
      <x:c r="AH430" t="n">
        <x:v>24</x:v>
      </x:c>
      <x:c r="AI430" t="n">
        <x:v>15</x:v>
      </x:c>
      <x:c r="AJ430" t="n">
        <x:v>1</x:v>
      </x:c>
      <x:c r="AK430" t="n">
        <x:v>250</x:v>
      </x:c>
      <x:c r="AL430" t="str">
        <x:v>Direkte elektrisk;</x:v>
      </x:c>
      <x:c r="AM430"/>
      <x:c r="AN430"/>
      <x:c r="AO430"/>
      <x:c r="AP430"/>
      <x:c r="AQ430"/>
      <x:c r="AR430"/>
      <x:c r="AS430"/>
      <x:c r="AT430"/>
      <x:c r="AU430" t="str">
        <x:v>energiattester_export_2025-08-14.json | PDF vedlegg side 5-7</x:v>
      </x:c>
      <x:c r="AV430" s="12" t="n">
        <x:f>IF(COUNT(O430,P430,Q430,R430,K430,L430,M430,N430)=8,O430*K430+P430*L430+Q430*M430+R430*N430,"")</x:f>
        <x:v>648.43</x:v>
      </x:c>
      <x:c r="AW430" s="12" t="n">
        <x:f>IF(AND(ISNUMBER(AV430),H430&gt;0),AV430/H430,"")</x:f>
        <x:v>0.5175019952114924</x:v>
      </x:c>
      <x:c r="AX430" s="12" t="n">
        <x:f>IF(AND(ISNUMBER(AD430),H430&gt;0),AD430*H430*3600,"")</x:f>
        <x:v>312598440</x:v>
      </x:c>
      <x:c r="AY430" s="12" t="n">
        <x:f>IF(AND(ISNUMBER(Y430),H430&gt;0),Y430*H430,"")</x:f>
        <x:v>100240</x:v>
      </x:c>
      <x:c r="AZ430" t="str">
        <x:v>Høy</x:v>
      </x:c>
    </x:row>
    <x:row r="431" ht="22" customHeight="1">
      <x:c r="A431" t="str">
        <x:v>OT-5f8447a5a748</x:v>
      </x:c>
      <x:c r="B431" t="n">
        <x:v>2015</x:v>
      </x:c>
      <x:c r="C431" t="str">
        <x:v>Kontorbygg</x:v>
      </x:c>
      <x:c r="D431" t="str">
        <x:v>KONTORER, ENKLE</x:v>
      </x:c>
      <x:c r="E431" t="str">
        <x:v>G</x:v>
      </x:c>
      <x:c r="F431" t="str">
        <x:v>RED</x:v>
      </x:c>
      <x:c r="G431" t="n">
        <x:v>1985</x:v>
      </x:c>
      <x:c r="H431" t="n">
        <x:v>600</x:v>
      </x:c>
      <x:c r="I431" t="n">
        <x:v>298.6</x:v>
      </x:c>
      <x:c r="J431" t="str">
        <x:v>PDF/avansert</x:v>
      </x:c>
      <x:c r="K431" t="n">
        <x:v>241</x:v>
      </x:c>
      <x:c r="L431" t="n">
        <x:v>600</x:v>
      </x:c>
      <x:c r="M431" t="n">
        <x:v>600</x:v>
      </x:c>
      <x:c r="N431" t="n">
        <x:v>81</x:v>
      </x:c>
      <x:c r="O431" t="n">
        <x:v>0.25</x:v>
      </x:c>
      <x:c r="P431" t="n">
        <x:v>0.2</x:v>
      </x:c>
      <x:c r="Q431" t="n">
        <x:v>0.27</x:v>
      </x:c>
      <x:c r="R431" t="n">
        <x:v>2.4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7</x:v>
      </x:c>
      <x:c r="X431" t="n">
        <x:v>104</x:v>
      </x:c>
      <x:c r="Y431" t="n">
        <x:v>180</x:v>
      </x:c>
      <x:c r="Z431" t="n">
        <x:v>0</x:v>
      </x:c>
      <x:c r="AA431" t="n">
        <x:v>21</x:v>
      </x:c>
      <x:c r="AB431" t="n">
        <x:v>22</x:v>
      </x:c>
      <x:c r="AC431" t="n">
        <x:v>3</x:v>
      </x:c>
      <x:c r="AD431" t="n">
        <x:v>80.1</x:v>
      </x:c>
      <x:c r="AE431" t="n">
        <x:v>0.12</x:v>
      </x:c>
      <x:c r="AF431" t="n">
        <x:v>12</x:v>
      </x:c>
      <x:c r="AG431" t="n">
        <x:v>12</x:v>
      </x:c>
      <x:c r="AH431" t="n">
        <x:v>24</x:v>
      </x:c>
      <x:c r="AI431" t="n">
        <x:v>8</x:v>
      </x:c>
      <x:c r="AJ431" t="n">
        <x:v>11</x:v>
      </x:c>
      <x:c r="AK431" t="n">
        <x:v>250</x:v>
      </x:c>
      <x:c r="AL431" t="str">
        <x:v>Direkte elektrisk; Varmepumpe;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str">
        <x:v>energiattester_export_2025-08-14.json | PDF vedlegg side 5-7</x:v>
      </x:c>
      <x:c r="AV431" s="12" t="n">
        <x:f>IF(COUNT(O431,P431,Q431,R431,K431,L431,M431,N431)=8,O431*K431+P431*L431+Q431*M431+R431*N431,"")</x:f>
        <x:v>536.65</x:v>
      </x:c>
      <x:c r="AW431" s="12" t="n">
        <x:f>IF(AND(ISNUMBER(AV431),H431&gt;0),AV431/H431,"")</x:f>
        <x:v>0.8944166666666666</x:v>
      </x:c>
      <x:c r="AX431" s="12" t="n">
        <x:f>IF(AND(ISNUMBER(AD431),H431&gt;0),AD431*H431*3600,"")</x:f>
        <x:v>173016000</x:v>
      </x:c>
      <x:c r="AY431" s="12" t="n">
        <x:f>IF(AND(ISNUMBER(Y431),H431&gt;0),Y431*H431,"")</x:f>
        <x:v>108000</x:v>
      </x:c>
      <x:c r="AZ431" t="str">
        <x:v>Høy</x:v>
      </x:c>
    </x:row>
    <x:row r="432" ht="22" customHeight="1">
      <x:c r="A432" t="str">
        <x:v>OT-87bb519306d7</x:v>
      </x:c>
      <x:c r="B432" t="n">
        <x:v>2015</x:v>
      </x:c>
      <x:c r="C432" t="str">
        <x:v>Kontorbygg</x:v>
      </x:c>
      <x:c r="D432" t="str">
        <x:v>KONTORER, ENKLE</x:v>
      </x:c>
      <x:c r="E432" t="str">
        <x:v>G</x:v>
      </x:c>
      <x:c r="F432" t="str">
        <x:v>RED</x:v>
      </x:c>
      <x:c r="G432" t="n">
        <x:v>1982</x:v>
      </x:c>
      <x:c r="H432" t="n">
        <x:v>233</x:v>
      </x:c>
      <x:c r="I432" t="n">
        <x:v>323</x:v>
      </x:c>
      <x:c r="J432" t="str">
        <x:v>PDF/avansert</x:v>
      </x:c>
      <x:c r="K432" t="n">
        <x:v>156</x:v>
      </x:c>
      <x:c r="L432" t="n">
        <x:v>234</x:v>
      </x:c>
      <x:c r="M432" t="n">
        <x:v>233</x:v>
      </x:c>
      <x:c r="N432" t="n">
        <x:v>30</x:v>
      </x:c>
      <x:c r="O432" t="n">
        <x:v>0.29</x:v>
      </x:c>
      <x:c r="P432" t="n">
        <x:v>0.23</x:v>
      </x:c>
      <x:c r="Q432" t="n">
        <x:v>0.21</x:v>
      </x:c>
      <x:c r="R432" t="n">
        <x:v>2</x:v>
      </x:c>
      <x:c r="S432" t="n">
        <x:v>0</x:v>
      </x:c>
      <x:c r="T432" t="n">
        <x:v>0</x:v>
      </x:c>
      <x:c r="U432" t="n">
        <x:v>2</x:v>
      </x:c>
      <x:c r="V432" t="n">
        <x:v>0.18</x:v>
      </x:c>
      <x:c r="W432" t="n">
        <x:v>10.6</x:v>
      </x:c>
      <x:c r="X432" t="n">
        <x:v>88</x:v>
      </x:c>
      <x:c r="Y432" t="n">
        <x:v>50</x:v>
      </x:c>
      <x:c r="Z432" t="n">
        <x:v>0</x:v>
      </x:c>
      <x:c r="AA432" t="n">
        <x:v>21</x:v>
      </x:c>
      <x:c r="AB432" t="n">
        <x:v>22</x:v>
      </x:c>
      <x:c r="AC432" t="n">
        <x:v>3.5</x:v>
      </x:c>
      <x:c r="AD432" t="n">
        <x:v>17.6</x:v>
      </x:c>
      <x:c r="AE432" t="n">
        <x:v>0.05</x:v>
      </x:c>
      <x:c r="AF432" t="n">
        <x:v>12</x:v>
      </x:c>
      <x:c r="AG432" t="n">
        <x:v>12</x:v>
      </x:c>
      <x:c r="AH432" t="n">
        <x:v>24</x:v>
      </x:c>
      <x:c r="AI432" t="n">
        <x:v>8</x:v>
      </x:c>
      <x:c r="AJ432" t="n">
        <x:v>11</x:v>
      </x:c>
      <x:c r="AK432" t="n">
        <x:v>250</x:v>
      </x:c>
      <x:c r="AL432" t="str">
        <x:v>Direkte elektrisk;</x:v>
      </x:c>
      <x:c r="AM432"/>
      <x:c r="AN432"/>
      <x:c r="AO432"/>
      <x:c r="AP432"/>
      <x:c r="AQ432"/>
      <x:c r="AR432"/>
      <x:c r="AS432"/>
      <x:c r="AT432"/>
      <x:c r="AU432" t="str">
        <x:v>energiattester_export_2025-08-14.json | PDF vedlegg side 5-7</x:v>
      </x:c>
      <x:c r="AV432" s="12" t="n">
        <x:f>IF(COUNT(O432,P432,Q432,R432,K432,L432,M432,N432)=8,O432*K432+P432*L432+Q432*M432+R432*N432,"")</x:f>
        <x:v>207.99</x:v>
      </x:c>
      <x:c r="AW432" s="12" t="n">
        <x:f>IF(AND(ISNUMBER(AV432),H432&gt;0),AV432/H432,"")</x:f>
        <x:v>0.8926609442060086</x:v>
      </x:c>
      <x:c r="AX432" s="12" t="n">
        <x:f>IF(AND(ISNUMBER(AD432),H432&gt;0),AD432*H432*3600,"")</x:f>
        <x:v>14762880</x:v>
      </x:c>
      <x:c r="AY432" s="12" t="n">
        <x:f>IF(AND(ISNUMBER(Y432),H432&gt;0),Y432*H432,"")</x:f>
        <x:v>11650</x:v>
      </x:c>
      <x:c r="AZ432" t="str">
        <x:v>Høy</x:v>
      </x:c>
    </x:row>
    <x:row r="433" ht="22" customHeight="1">
      <x:c r="A433" t="str">
        <x:v>OT-1bf0d7a0af1d</x:v>
      </x:c>
      <x:c r="B433" t="n">
        <x:v>2015</x:v>
      </x:c>
      <x:c r="C433" t="str">
        <x:v>Kontorbygg</x:v>
      </x:c>
      <x:c r="D433" t="str">
        <x:v>ANNET KONTORBYGG</x:v>
      </x:c>
      <x:c r="E433" t="str">
        <x:v>F</x:v>
      </x:c>
      <x:c r="F433" t="str">
        <x:v>RED</x:v>
      </x:c>
      <x:c r="G433" t="n">
        <x:v>1982</x:v>
      </x:c>
      <x:c r="H433" t="n">
        <x:v>838</x:v>
      </x:c>
      <x:c r="I433" t="n">
        <x:v>229</x:v>
      </x:c>
      <x:c r="J433" t="str">
        <x:v>PDF/avansert</x:v>
      </x:c>
      <x:c r="K433" t="n">
        <x:v>511</x:v>
      </x:c>
      <x:c r="L433" t="n">
        <x:v>657</x:v>
      </x:c>
      <x:c r="M433" t="n">
        <x:v>651</x:v>
      </x:c>
      <x:c r="N433" t="n">
        <x:v>81</x:v>
      </x:c>
      <x:c r="O433" t="n">
        <x:v>0.34</x:v>
      </x:c>
      <x:c r="P433" t="n">
        <x:v>0.23</x:v>
      </x:c>
      <x:c r="Q433" t="n">
        <x:v>0.18</x:v>
      </x:c>
      <x:c r="R433" t="n">
        <x:v>2.54</x:v>
      </x:c>
      <x:c r="S433" t="n">
        <x:v>70</x:v>
      </x:c>
      <x:c r="T433" t="n">
        <x:v>70</x:v>
      </x:c>
      <x:c r="U433" t="n">
        <x:v>4</x:v>
      </x:c>
      <x:c r="V433" t="n">
        <x:v>0.51</x:v>
      </x:c>
      <x:c r="W433" t="n">
        <x:v>7</x:v>
      </x:c>
      <x:c r="X433" t="n">
        <x:v>90</x:v>
      </x:c>
      <x:c r="Y433" t="n">
        <x:v>82</x:v>
      </x:c>
      <x:c r="Z433" t="n">
        <x:v>0</x:v>
      </x:c>
      <x:c r="AA433" t="n">
        <x:v>21</x:v>
      </x:c>
      <x:c r="AB433" t="n">
        <x:v>22</x:v>
      </x:c>
      <x:c r="AC433" t="n">
        <x:v>7</x:v>
      </x:c>
      <x:c r="AD433" t="n">
        <x:v>73.5</x:v>
      </x:c>
      <x:c r="AE433" t="n">
        <x:v>0.08</x:v>
      </x:c>
      <x:c r="AF433" t="n">
        <x:v>12</x:v>
      </x:c>
      <x:c r="AG433" t="n">
        <x:v>12</x:v>
      </x:c>
      <x:c r="AH433" t="n">
        <x:v>24</x:v>
      </x:c>
      <x:c r="AI433" t="n">
        <x:v>8</x:v>
      </x:c>
      <x:c r="AJ433" t="n">
        <x:v>11</x:v>
      </x:c>
      <x:c r="AK433" t="n">
        <x:v>250</x:v>
      </x:c>
      <x:c r="AL433" t="str">
        <x:v>Direkte elektrisk;</x:v>
      </x:c>
      <x:c r="AM433"/>
      <x:c r="AN433"/>
      <x:c r="AO433"/>
      <x:c r="AP433"/>
      <x:c r="AQ433"/>
      <x:c r="AR433"/>
      <x:c r="AS433"/>
      <x:c r="AT433"/>
      <x:c r="AU433" t="str">
        <x:v>energiattester_export_2025-08-14.json | PDF vedlegg side 5-7</x:v>
      </x:c>
      <x:c r="AV433" s="12" t="n">
        <x:f>IF(COUNT(O433,P433,Q433,R433,K433,L433,M433,N433)=8,O433*K433+P433*L433+Q433*M433+R433*N433,"")</x:f>
        <x:v>647.77</x:v>
      </x:c>
      <x:c r="AW433" s="12" t="n">
        <x:f>IF(AND(ISNUMBER(AV433),H433&gt;0),AV433/H433,"")</x:f>
        <x:v>0.7729952267303103</x:v>
      </x:c>
      <x:c r="AX433" s="12" t="n">
        <x:f>IF(AND(ISNUMBER(AD433),H433&gt;0),AD433*H433*3600,"")</x:f>
        <x:v>221734800</x:v>
      </x:c>
      <x:c r="AY433" s="12" t="n">
        <x:f>IF(AND(ISNUMBER(Y433),H433&gt;0),Y433*H433,"")</x:f>
        <x:v>68716</x:v>
      </x:c>
      <x:c r="AZ433" t="str">
        <x:v>Høy</x:v>
      </x:c>
    </x:row>
    <x:row r="434" ht="22" customHeight="1">
      <x:c r="A434" t="str">
        <x:v>OT-fde9b88c5d42</x:v>
      </x:c>
      <x:c r="B434" t="n">
        <x:v>2015</x:v>
      </x:c>
      <x:c r="C434" t="str">
        <x:v>Kontorbygg</x:v>
      </x:c>
      <x:c r="D434" t="str">
        <x:v>KONTORER, ENKLE</x:v>
      </x:c>
      <x:c r="E434" t="str">
        <x:v>G</x:v>
      </x:c>
      <x:c r="F434" t="str">
        <x:v>RED</x:v>
      </x:c>
      <x:c r="G434" t="n">
        <x:v>1975</x:v>
      </x:c>
      <x:c r="H434" t="n">
        <x:v>403</x:v>
      </x:c>
      <x:c r="I434" t="n">
        <x:v>318.7</x:v>
      </x:c>
      <x:c r="J434" t="str">
        <x:v>PDF/avansert</x:v>
      </x:c>
      <x:c r="K434" t="n">
        <x:v>176</x:v>
      </x:c>
      <x:c r="L434" t="n">
        <x:v>403</x:v>
      </x:c>
      <x:c r="M434" t="n">
        <x:v>403</x:v>
      </x:c>
      <x:c r="N434" t="n">
        <x:v>80</x:v>
      </x:c>
      <x:c r="O434" t="n">
        <x:v>0.35</x:v>
      </x:c>
      <x:c r="P434" t="n">
        <x:v>0.25</x:v>
      </x:c>
      <x:c r="Q434" t="n">
        <x:v>0.19</x:v>
      </x:c>
      <x:c r="R434" t="n">
        <x:v>2.7</x:v>
      </x:c>
      <x:c r="S434" t="n">
        <x:v>0</x:v>
      </x:c>
      <x:c r="T434" t="n">
        <x:v>0</x:v>
      </x:c>
      <x:c r="U434" t="n">
        <x:v>2</x:v>
      </x:c>
      <x:c r="V434" t="n">
        <x:v>0.43</x:v>
      </x:c>
      <x:c r="W434" t="n">
        <x:v>7</x:v>
      </x:c>
      <x:c r="X434" t="n">
        <x:v>89</x:v>
      </x:c>
      <x:c r="Y434" t="n">
        <x:v>185</x:v>
      </x:c>
      <x:c r="Z434" t="n">
        <x:v>0</x:v>
      </x:c>
      <x:c r="AA434" t="n">
        <x:v>21</x:v>
      </x:c>
      <x:c r="AB434" t="n">
        <x:v>22</x:v>
      </x:c>
      <x:c r="AC434" t="n">
        <x:v>3.6</x:v>
      </x:c>
      <x:c r="AD434" t="n">
        <x:v>69.3</x:v>
      </x:c>
      <x:c r="AE434" t="n">
        <x:v>0.06</x:v>
      </x:c>
      <x:c r="AF434" t="n">
        <x:v>12</x:v>
      </x:c>
      <x:c r="AG434" t="n">
        <x:v>12</x:v>
      </x:c>
      <x:c r="AH434" t="n">
        <x:v>24</x:v>
      </x:c>
      <x:c r="AI434" t="n">
        <x:v>8</x:v>
      </x:c>
      <x:c r="AJ434" t="n">
        <x:v>11</x:v>
      </x:c>
      <x:c r="AK434" t="n">
        <x:v>250</x:v>
      </x:c>
      <x:c r="AL434" t="str">
        <x:v>Direkte elektrisk;</x:v>
      </x:c>
      <x:c r="AM434" t="n">
        <x:v>1</x:v>
      </x:c>
      <x:c r="AN434" t="n">
        <x:v>0</x:v>
      </x:c>
      <x:c r="AO434" t="n">
        <x:v>1</x:v>
      </x:c>
      <x:c r="AP434" t="n">
        <x:v>1</x:v>
      </x:c>
      <x:c r="AQ434" t="n">
        <x:v>0</x:v>
      </x:c>
      <x:c r="AR434" t="n">
        <x:v>1</x:v>
      </x:c>
      <x:c r="AS434" t="n">
        <x:v>0</x:v>
      </x:c>
      <x:c r="AT434" t="n">
        <x:v>0</x:v>
      </x:c>
      <x:c r="AU434" t="str">
        <x:v>energiattester_export_2025-08-14.json | PDF vedlegg side 5-7</x:v>
      </x:c>
      <x:c r="AV434" s="12" t="n">
        <x:f>IF(COUNT(O434,P434,Q434,R434,K434,L434,M434,N434)=8,O434*K434+P434*L434+Q434*M434+R434*N434,"")</x:f>
        <x:v>454.92</x:v>
      </x:c>
      <x:c r="AW434" s="12" t="n">
        <x:f>IF(AND(ISNUMBER(AV434),H434&gt;0),AV434/H434,"")</x:f>
        <x:v>1.128833746898263</x:v>
      </x:c>
      <x:c r="AX434" s="12" t="n">
        <x:f>IF(AND(ISNUMBER(AD434),H434&gt;0),AD434*H434*3600,"")</x:f>
        <x:v>100540439.99999999</x:v>
      </x:c>
      <x:c r="AY434" s="12" t="n">
        <x:f>IF(AND(ISNUMBER(Y434),H434&gt;0),Y434*H434,"")</x:f>
        <x:v>74555</x:v>
      </x:c>
      <x:c r="AZ434" t="str">
        <x:v>Høy</x:v>
      </x:c>
    </x:row>
    <x:row r="435" ht="22" customHeight="1">
      <x:c r="A435" t="str">
        <x:v>OT-5698da949648</x:v>
      </x:c>
      <x:c r="B435" t="n">
        <x:v>2015</x:v>
      </x:c>
      <x:c r="C435" t="str">
        <x:v>Kontorbygg</x:v>
      </x:c>
      <x:c r="D435" t="str">
        <x:v>KONTORER, MED VENTILASJON OG KJØLEANLEGG</x:v>
      </x:c>
      <x:c r="E435" t="str">
        <x:v>D</x:v>
      </x:c>
      <x:c r="F435" t="str">
        <x:v>RED</x:v>
      </x:c>
      <x:c r="G435" t="n">
        <x:v>1988</x:v>
      </x:c>
      <x:c r="H435" t="n">
        <x:v>321</x:v>
      </x:c>
      <x:c r="I435" t="n">
        <x:v>169</x:v>
      </x:c>
      <x:c r="J435" t="str">
        <x:v>PDF/avansert</x:v>
      </x:c>
      <x:c r="K435" t="n">
        <x:v>206</x:v>
      </x:c>
      <x:c r="L435" t="n">
        <x:v>236</x:v>
      </x:c>
      <x:c r="M435" t="n">
        <x:v>94</x:v>
      </x:c>
      <x:c r="N435" t="n">
        <x:v>52</x:v>
      </x:c>
      <x:c r="O435" t="n">
        <x:v>0.24</x:v>
      </x:c>
      <x:c r="P435" t="n">
        <x:v>0.2</x:v>
      </x:c>
      <x:c r="Q435" t="n">
        <x:v>0.3</x:v>
      </x:c>
      <x:c r="R435" t="n">
        <x:v>1.69</x:v>
      </x:c>
      <x:c r="S435" t="n">
        <x:v>80</x:v>
      </x:c>
      <x:c r="T435" t="n">
        <x:v>80</x:v>
      </x:c>
      <x:c r="U435" t="n">
        <x:v>2.5</x:v>
      </x:c>
      <x:c r="V435" t="n">
        <x:v>0.2</x:v>
      </x:c>
      <x:c r="W435" t="n">
        <x:v>12.1</x:v>
      </x:c>
      <x:c r="X435" t="n">
        <x:v>98</x:v>
      </x:c>
      <x:c r="Y435" t="n">
        <x:v>71</x:v>
      </x:c>
      <x:c r="Z435" t="n">
        <x:v>55</x:v>
      </x:c>
      <x:c r="AA435" t="n">
        <x:v>21</x:v>
      </x:c>
      <x:c r="AB435" t="n">
        <x:v>22</x:v>
      </x:c>
      <x:c r="AC435" t="n">
        <x:v>2.5</x:v>
      </x:c>
      <x:c r="AD435" t="n">
        <x:v>119.1</x:v>
      </x:c>
      <x:c r="AE435" t="n">
        <x:v>0.08</x:v>
      </x:c>
      <x:c r="AF435" t="n">
        <x:v>12</x:v>
      </x:c>
      <x:c r="AG435" t="n">
        <x:v>12</x:v>
      </x:c>
      <x:c r="AH435" t="n">
        <x:v>24</x:v>
      </x:c>
      <x:c r="AI435" t="n">
        <x:v>8</x:v>
      </x:c>
      <x:c r="AJ435" t="n">
        <x:v>11</x:v>
      </x:c>
      <x:c r="AK435" t="n">
        <x:v>240</x:v>
      </x:c>
      <x:c r="AL435" t="str">
        <x:v>Direkte elektrisk;</x:v>
      </x:c>
      <x:c r="AM435" t="n">
        <x:v>0</x:v>
      </x:c>
      <x:c r="AN435" t="n">
        <x:v>0</x:v>
      </x:c>
      <x:c r="AO435" t="n">
        <x:v>0</x:v>
      </x:c>
      <x:c r="AP435" t="n">
        <x:v>1</x:v>
      </x:c>
      <x:c r="AQ435" t="n">
        <x:v>0</x:v>
      </x:c>
      <x:c r="AR435" t="n">
        <x:v>0</x:v>
      </x:c>
      <x:c r="AS435" t="n">
        <x:v>0</x:v>
      </x:c>
      <x:c r="AT435" t="n">
        <x:v>1</x:v>
      </x:c>
      <x:c r="AU435" t="str">
        <x:v>energiattester_export_2025-08-14.json | PDF vedlegg side 5-7</x:v>
      </x:c>
      <x:c r="AV435" s="12" t="n">
        <x:f>IF(COUNT(O435,P435,Q435,R435,K435,L435,M435,N435)=8,O435*K435+P435*L435+Q435*M435+R435*N435,"")</x:f>
        <x:v>212.72</x:v>
      </x:c>
      <x:c r="AW435" s="12" t="n">
        <x:f>IF(AND(ISNUMBER(AV435),H435&gt;0),AV435/H435,"")</x:f>
        <x:v>0.6626791277258567</x:v>
      </x:c>
      <x:c r="AX435" s="12" t="n">
        <x:f>IF(AND(ISNUMBER(AD435),H435&gt;0),AD435*H435*3600,"")</x:f>
        <x:v>137631960</x:v>
      </x:c>
      <x:c r="AY435" s="12" t="n">
        <x:f>IF(AND(ISNUMBER(Y435),H435&gt;0),Y435*H435,"")</x:f>
        <x:v>22791</x:v>
      </x:c>
      <x:c r="AZ435" t="str">
        <x:v>Høy</x:v>
      </x:c>
    </x:row>
    <x:row r="436" ht="22" customHeight="1">
      <x:c r="A436" t="str">
        <x:v>OT-b6010bc6b5fd</x:v>
      </x:c>
      <x:c r="B436" t="n">
        <x:v>2015</x:v>
      </x:c>
      <x:c r="C436" t="str">
        <x:v>Kontorbygg</x:v>
      </x:c>
      <x:c r="D436" t="str">
        <x:v>Kontorer, enkle</x:v>
      </x:c>
      <x:c r="E436" t="str">
        <x:v>E</x:v>
      </x:c>
      <x:c r="F436" t="str">
        <x:v>RED</x:v>
      </x:c>
      <x:c r="G436" t="n">
        <x:v>2014</x:v>
      </x:c>
      <x:c r="H436" t="n">
        <x:v>160</x:v>
      </x:c>
      <x:c r="I436" t="n">
        <x:v>199.47</x:v>
      </x:c>
      <x:c r="J436" t="str">
        <x:v>PDF/avansert</x:v>
      </x:c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1</x:v>
      </x:c>
      <x:c r="AS436" t="n">
        <x:v>1</x:v>
      </x:c>
      <x:c r="AT436" t="n">
        <x:v>1</x:v>
      </x:c>
      <x:c r="AU436" t="str">
        <x:v>energiattester_export_2025-08-14.json | PDF vedlegg side 5-7</x:v>
      </x:c>
      <x:c r="AV436" s="12" t="str">
        <x:f>IF(COUNT(O436,P436,Q436,R436,K436,L436,M436,N436)=8,O436*K436+P436*L436+Q436*M436+R436*N436,"")</x:f>
      </x:c>
      <x:c r="AW436" s="12" t="str">
        <x:f>IF(AND(ISNUMBER(AV436),H436&gt;0),AV436/H436,"")</x:f>
      </x:c>
      <x:c r="AX436" s="12" t="str">
        <x:f>IF(AND(ISNUMBER(AD436),H436&gt;0),AD436*H436*3600,"")</x:f>
      </x:c>
      <x:c r="AY436" s="12" t="str">
        <x:f>IF(AND(ISNUMBER(Y436),H436&gt;0),Y436*H436,"")</x:f>
      </x:c>
      <x:c r="AZ436" t="str">
        <x:v>Mangler data</x:v>
      </x:c>
    </x:row>
    <x:row r="437" ht="22" customHeight="1">
      <x:c r="A437" t="str">
        <x:v>OT-d4fd235199b7</x:v>
      </x:c>
      <x:c r="B437" t="n">
        <x:v>2015</x:v>
      </x:c>
      <x:c r="C437" t="str">
        <x:v>Kontorbygg</x:v>
      </x:c>
      <x:c r="D437" t="str">
        <x:v>KONTORER, MED VENTILASJON OG KJØLEANLEGG</x:v>
      </x:c>
      <x:c r="E437" t="str">
        <x:v>E</x:v>
      </x:c>
      <x:c r="F437" t="str">
        <x:v>RED</x:v>
      </x:c>
      <x:c r="G437" t="n">
        <x:v>1984</x:v>
      </x:c>
      <x:c r="H437" t="n">
        <x:v>4143</x:v>
      </x:c>
      <x:c r="I437" t="n">
        <x:v>197.9</x:v>
      </x:c>
      <x:c r="J437" t="str">
        <x:v>PDF/avansert</x:v>
      </x:c>
      <x:c r="K437" t="n">
        <x:v>2092</x:v>
      </x:c>
      <x:c r="L437" t="n">
        <x:v>925</x:v>
      </x:c>
      <x:c r="M437" t="n">
        <x:v>1069</x:v>
      </x:c>
      <x:c r="N437" t="n">
        <x:v>494</x:v>
      </x:c>
      <x:c r="O437" t="n">
        <x:v>0.32</x:v>
      </x:c>
      <x:c r="P437" t="n">
        <x:v>0.41</x:v>
      </x:c>
      <x:c r="Q437" t="n">
        <x:v>0.71</x:v>
      </x:c>
      <x:c r="R437" t="n">
        <x:v>2.31</x:v>
      </x:c>
      <x:c r="S437" t="n">
        <x:v>69</x:v>
      </x:c>
      <x:c r="T437" t="n">
        <x:v>69</x:v>
      </x:c>
      <x:c r="U437" t="n">
        <x:v>3.18</x:v>
      </x:c>
      <x:c r="V437" t="n">
        <x:v>0.83</x:v>
      </x:c>
      <x:c r="W437" t="n">
        <x:v>7.8</x:v>
      </x:c>
      <x:c r="X437" t="n">
        <x:v>89</x:v>
      </x:c>
      <x:c r="Y437" t="n">
        <x:v>133</x:v>
      </x:c>
      <x:c r="Z437" t="n">
        <x:v>79</x:v>
      </x:c>
      <x:c r="AA437" t="n">
        <x:v>21</x:v>
      </x:c>
      <x:c r="AB437" t="n">
        <x:v>22</x:v>
      </x:c>
      <x:c r="AC437" t="n">
        <x:v>1.5</x:v>
      </x:c>
      <x:c r="AD437" t="n">
        <x:v>53.7</x:v>
      </x:c>
      <x:c r="AE437" t="n">
        <x:v>0.12</x:v>
      </x:c>
      <x:c r="AF437" t="n">
        <x:v>12</x:v>
      </x:c>
      <x:c r="AG437" t="n">
        <x:v>12</x:v>
      </x:c>
      <x:c r="AH437" t="n">
        <x:v>24</x:v>
      </x:c>
      <x:c r="AI437" t="n">
        <x:v>8</x:v>
      </x:c>
      <x:c r="AJ437" t="n">
        <x:v>11</x:v>
      </x:c>
      <x:c r="AK437" t="n">
        <x:v>250</x:v>
      </x:c>
      <x:c r="AL437" t="str">
        <x:v>Direkte elektrisk;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1</x:v>
      </x:c>
      <x:c r="AS437" t="n">
        <x:v>1</x:v>
      </x:c>
      <x:c r="AT437" t="n">
        <x:v>1</x:v>
      </x:c>
      <x:c r="AU437" t="str">
        <x:v>energiattester_export_2025-08-14.json | PDF vedlegg side 5-7</x:v>
      </x:c>
      <x:c r="AV437" s="12" t="n">
        <x:f>IF(COUNT(O437,P437,Q437,R437,K437,L437,M437,N437)=8,O437*K437+P437*L437+Q437*M437+R437*N437,"")</x:f>
        <x:v>2948.82</x:v>
      </x:c>
      <x:c r="AW437" s="12" t="n">
        <x:f>IF(AND(ISNUMBER(AV437),H437&gt;0),AV437/H437,"")</x:f>
        <x:v>0.7117595944967415</x:v>
      </x:c>
      <x:c r="AX437" s="12" t="n">
        <x:f>IF(AND(ISNUMBER(AD437),H437&gt;0),AD437*H437*3600,"")</x:f>
        <x:v>800924760</x:v>
      </x:c>
      <x:c r="AY437" s="12" t="n">
        <x:f>IF(AND(ISNUMBER(Y437),H437&gt;0),Y437*H437,"")</x:f>
        <x:v>551019</x:v>
      </x:c>
      <x:c r="AZ437" t="str">
        <x:v>Høy</x:v>
      </x:c>
    </x:row>
    <x:row r="438" ht="22" customHeight="1">
      <x:c r="A438" t="str">
        <x:v>OT-bf1a7368f682</x:v>
      </x:c>
      <x:c r="B438" t="n">
        <x:v>2015</x:v>
      </x:c>
      <x:c r="C438" t="str">
        <x:v>Kontorbygg</x:v>
      </x:c>
      <x:c r="D438" t="str">
        <x:v>KONTORER, ENKLE</x:v>
      </x:c>
      <x:c r="E438" t="str">
        <x:v>D</x:v>
      </x:c>
      <x:c r="F438" t="str">
        <x:v>RED</x:v>
      </x:c>
      <x:c r="G438" t="n">
        <x:v>2007</x:v>
      </x:c>
      <x:c r="H438" t="n">
        <x:v>637</x:v>
      </x:c>
      <x:c r="I438" t="n">
        <x:v>151.1</x:v>
      </x:c>
      <x:c r="J438" t="str">
        <x:v>PDF/avansert</x:v>
      </x:c>
      <x:c r="K438" t="n">
        <x:v>216</x:v>
      </x:c>
      <x:c r="L438" t="n">
        <x:v>304</x:v>
      </x:c>
      <x:c r="M438" t="n">
        <x:v>304</x:v>
      </x:c>
      <x:c r="N438" t="n">
        <x:v>117</x:v>
      </x:c>
      <x:c r="O438" t="n">
        <x:v>0.22</x:v>
      </x:c>
      <x:c r="P438" t="n">
        <x:v>0.18</x:v>
      </x:c>
      <x:c r="Q438" t="n">
        <x:v>0.11</x:v>
      </x:c>
      <x:c r="R438" t="n">
        <x:v>1.21</x:v>
      </x:c>
      <x:c r="S438" t="n">
        <x:v>80</x:v>
      </x:c>
      <x:c r="T438" t="n">
        <x:v>80</x:v>
      </x:c>
      <x:c r="U438" t="n">
        <x:v>1.91</x:v>
      </x:c>
      <x:c r="V438" t="n">
        <x:v>0.31</x:v>
      </x:c>
      <x:c r="W438" t="n">
        <x:v>12.14</x:v>
      </x:c>
      <x:c r="X438" t="n">
        <x:v>95</x:v>
      </x:c>
      <x:c r="Y438" t="n">
        <x:v>128</x:v>
      </x:c>
      <x:c r="Z438" t="n">
        <x:v>55</x:v>
      </x:c>
      <x:c r="AA438" t="n">
        <x:v>21</x:v>
      </x:c>
      <x:c r="AB438" t="n">
        <x:v>22</x:v>
      </x:c>
      <x:c r="AC438" t="n">
        <x:v>1.5</x:v>
      </x:c>
      <x:c r="AD438" t="n">
        <x:v>33.8</x:v>
      </x:c>
      <x:c r="AE438" t="n">
        <x:v>0.09</x:v>
      </x:c>
      <x:c r="AF438" t="n">
        <x:v>12</x:v>
      </x:c>
      <x:c r="AG438" t="n">
        <x:v>12</x:v>
      </x:c>
      <x:c r="AH438" t="n">
        <x:v>24</x:v>
      </x:c>
      <x:c r="AI438" t="n">
        <x:v>8</x:v>
      </x:c>
      <x:c r="AJ438" t="n">
        <x:v>11</x:v>
      </x:c>
      <x:c r="AK438" t="n">
        <x:v>250</x:v>
      </x:c>
      <x:c r="AL438" t="str">
        <x:v>Direkte elektrisk;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1</x:v>
      </x:c>
      <x:c r="AS438" t="n">
        <x:v>1</x:v>
      </x:c>
      <x:c r="AT438" t="n">
        <x:v>1</x:v>
      </x:c>
      <x:c r="AU438" t="str">
        <x:v>energiattester_export_2025-08-14.json | PDF vedlegg side 5-7</x:v>
      </x:c>
      <x:c r="AV438" s="12" t="n">
        <x:f>IF(COUNT(O438,P438,Q438,R438,K438,L438,M438,N438)=8,O438*K438+P438*L438+Q438*M438+R438*N438,"")</x:f>
        <x:v>277.25</x:v>
      </x:c>
      <x:c r="AW438" s="12" t="n">
        <x:f>IF(AND(ISNUMBER(AV438),H438&gt;0),AV438/H438,"")</x:f>
        <x:v>0.43524332810047095</x:v>
      </x:c>
      <x:c r="AX438" s="12" t="n">
        <x:f>IF(AND(ISNUMBER(AD438),H438&gt;0),AD438*H438*3600,"")</x:f>
        <x:v>77510160</x:v>
      </x:c>
      <x:c r="AY438" s="12" t="n">
        <x:f>IF(AND(ISNUMBER(Y438),H438&gt;0),Y438*H438,"")</x:f>
        <x:v>81536</x:v>
      </x:c>
      <x:c r="AZ438" t="str">
        <x:v>Høy</x:v>
      </x:c>
    </x:row>
    <x:row r="439" ht="22" customHeight="1">
      <x:c r="A439" t="str">
        <x:v>OT-1e8e6807f189</x:v>
      </x:c>
      <x:c r="B439" t="n">
        <x:v>2015</x:v>
      </x:c>
      <x:c r="C439" t="str">
        <x:v>Kontorbygg</x:v>
      </x:c>
      <x:c r="D439" t="str">
        <x:v>KONTORER, ENKLE</x:v>
      </x:c>
      <x:c r="E439" t="str">
        <x:v>E</x:v>
      </x:c>
      <x:c r="F439" t="str">
        <x:v>RED</x:v>
      </x:c>
      <x:c r="G439" t="n">
        <x:v>2007</x:v>
      </x:c>
      <x:c r="H439" t="n">
        <x:v>1545</x:v>
      </x:c>
      <x:c r="I439" t="n">
        <x:v>184.5</x:v>
      </x:c>
      <x:c r="J439" t="str">
        <x:v>PDF/avansert</x:v>
      </x:c>
      <x:c r="K439" t="n">
        <x:v>516</x:v>
      </x:c>
      <x:c r="L439" t="n">
        <x:v>512</x:v>
      </x:c>
      <x:c r="M439" t="n">
        <x:v>515</x:v>
      </x:c>
      <x:c r="N439" t="n">
        <x:v>335</x:v>
      </x:c>
      <x:c r="O439" t="n">
        <x:v>0.22</x:v>
      </x:c>
      <x:c r="P439" t="n">
        <x:v>0.18</x:v>
      </x:c>
      <x:c r="Q439" t="n">
        <x:v>0.11</x:v>
      </x:c>
      <x:c r="R439" t="n">
        <x:v>1.6</x:v>
      </x:c>
      <x:c r="S439" t="n">
        <x:v>66</x:v>
      </x:c>
      <x:c r="T439" t="n">
        <x:v>66</x:v>
      </x:c>
      <x:c r="U439" t="n">
        <x:v>1.87</x:v>
      </x:c>
      <x:c r="V439" t="n">
        <x:v>0.27</x:v>
      </x:c>
      <x:c r="W439" t="n">
        <x:v>13.17</x:v>
      </x:c>
      <x:c r="X439" t="n">
        <x:v>90</x:v>
      </x:c>
      <x:c r="Y439" t="n">
        <x:v>98</x:v>
      </x:c>
      <x:c r="Z439" t="n">
        <x:v>26</x:v>
      </x:c>
      <x:c r="AA439" t="n">
        <x:v>21</x:v>
      </x:c>
      <x:c r="AB439" t="n">
        <x:v>22</x:v>
      </x:c>
      <x:c r="AC439" t="n">
        <x:v>1.5</x:v>
      </x:c>
      <x:c r="AD439" t="n">
        <x:v>44</x:v>
      </x:c>
      <x:c r="AE439" t="n">
        <x:v>0.09</x:v>
      </x:c>
      <x:c r="AF439" t="n">
        <x:v>12</x:v>
      </x:c>
      <x:c r="AG439" t="n">
        <x:v>12</x:v>
      </x:c>
      <x:c r="AH439" t="n">
        <x:v>24</x:v>
      </x:c>
      <x:c r="AI439" t="n">
        <x:v>8</x:v>
      </x:c>
      <x:c r="AJ439" t="n">
        <x:v>11</x:v>
      </x:c>
      <x:c r="AK439" t="n">
        <x:v>250</x:v>
      </x:c>
      <x:c r="AL439" t="str">
        <x:v>Direkte elektrisk;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1</x:v>
      </x:c>
      <x:c r="AS439" t="n">
        <x:v>1</x:v>
      </x:c>
      <x:c r="AT439" t="n">
        <x:v>1</x:v>
      </x:c>
      <x:c r="AU439" t="str">
        <x:v>energiattester_export_2025-08-14.json | PDF vedlegg side 5-7</x:v>
      </x:c>
      <x:c r="AV439" s="12" t="n">
        <x:f>IF(COUNT(O439,P439,Q439,R439,K439,L439,M439,N439)=8,O439*K439+P439*L439+Q439*M439+R439*N439,"")</x:f>
        <x:v>798.3299999999999</x:v>
      </x:c>
      <x:c r="AW439" s="12" t="n">
        <x:f>IF(AND(ISNUMBER(AV439),H439&gt;0),AV439/H439,"")</x:f>
        <x:v>0.5167184466019417</x:v>
      </x:c>
      <x:c r="AX439" s="12" t="n">
        <x:f>IF(AND(ISNUMBER(AD439),H439&gt;0),AD439*H439*3600,"")</x:f>
        <x:v>244728000</x:v>
      </x:c>
      <x:c r="AY439" s="12" t="n">
        <x:f>IF(AND(ISNUMBER(Y439),H439&gt;0),Y439*H439,"")</x:f>
        <x:v>151410</x:v>
      </x:c>
      <x:c r="AZ439" t="str">
        <x:v>Høy</x:v>
      </x:c>
    </x:row>
    <x:row r="440" ht="22" customHeight="1">
      <x:c r="A440" t="str">
        <x:v>OT-516454d8c8c8</x:v>
      </x:c>
      <x:c r="B440" t="n">
        <x:v>2015</x:v>
      </x:c>
      <x:c r="C440" t="str">
        <x:v>Kontorbygg</x:v>
      </x:c>
      <x:c r="D440" t="str">
        <x:v>KONTORER, ENKLE</x:v>
      </x:c>
      <x:c r="E440" t="str">
        <x:v>E</x:v>
      </x:c>
      <x:c r="F440" t="str">
        <x:v>RED</x:v>
      </x:c>
      <x:c r="G440" t="n">
        <x:v>1983</x:v>
      </x:c>
      <x:c r="H440" t="n">
        <x:v>876</x:v>
      </x:c>
      <x:c r="I440" t="n">
        <x:v>198.5</x:v>
      </x:c>
      <x:c r="J440" t="str">
        <x:v>PDF/avansert</x:v>
      </x:c>
      <x:c r="K440" t="n">
        <x:v>217</x:v>
      </x:c>
      <x:c r="L440" t="n">
        <x:v>439</x:v>
      </x:c>
      <x:c r="M440" t="n">
        <x:v>439</x:v>
      </x:c>
      <x:c r="N440" t="n">
        <x:v>137</x:v>
      </x:c>
      <x:c r="O440" t="n">
        <x:v>0.46</x:v>
      </x:c>
      <x:c r="P440" t="n">
        <x:v>0.46</x:v>
      </x:c>
      <x:c r="Q440" t="n">
        <x:v>0.19</x:v>
      </x:c>
      <x:c r="R440" t="n">
        <x:v>2.81</x:v>
      </x:c>
      <x:c r="S440" t="n">
        <x:v>80</x:v>
      </x:c>
      <x:c r="T440" t="n">
        <x:v>80</x:v>
      </x:c>
      <x:c r="U440" t="n">
        <x:v>5.26</x:v>
      </x:c>
      <x:c r="V440" t="n">
        <x:v>0.67</x:v>
      </x:c>
      <x:c r="W440" t="n">
        <x:v>7</x:v>
      </x:c>
      <x:c r="X440" t="n">
        <x:v>98</x:v>
      </x:c>
      <x:c r="Y440" t="n">
        <x:v>80</x:v>
      </x:c>
      <x:c r="Z440" t="n">
        <x:v>30</x:v>
      </x:c>
      <x:c r="AA440" t="n">
        <x:v>21</x:v>
      </x:c>
      <x:c r="AB440" t="n">
        <x:v>22</x:v>
      </x:c>
      <x:c r="AC440" t="n">
        <x:v>3</x:v>
      </x:c>
      <x:c r="AD440" t="n">
        <x:v>51</x:v>
      </x:c>
      <x:c r="AE440" t="n">
        <x:v>0.09</x:v>
      </x:c>
      <x:c r="AF440" t="n">
        <x:v>12</x:v>
      </x:c>
      <x:c r="AG440" t="n">
        <x:v>12</x:v>
      </x:c>
      <x:c r="AH440" t="n">
        <x:v>24</x:v>
      </x:c>
      <x:c r="AI440" t="n">
        <x:v>5</x:v>
      </x:c>
      <x:c r="AJ440" t="n">
        <x:v>11</x:v>
      </x:c>
      <x:c r="AK440" t="n">
        <x:v>250</x:v>
      </x:c>
      <x:c r="AL440" t="str">
        <x:v>Direkte elektrisk;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1</x:v>
      </x:c>
      <x:c r="AS440" t="n">
        <x:v>1</x:v>
      </x:c>
      <x:c r="AT440" t="n">
        <x:v>1</x:v>
      </x:c>
      <x:c r="AU440" t="str">
        <x:v>energiattester_export_2025-08-14.json | PDF vedlegg side 5-7</x:v>
      </x:c>
      <x:c r="AV440" s="12" t="n">
        <x:f>IF(COUNT(O440,P440,Q440,R440,K440,L440,M440,N440)=8,O440*K440+P440*L440+Q440*M440+R440*N440,"")</x:f>
        <x:v>770.14</x:v>
      </x:c>
      <x:c r="AW440" s="12" t="n">
        <x:f>IF(AND(ISNUMBER(AV440),H440&gt;0),AV440/H440,"")</x:f>
        <x:v>0.8791552511415525</x:v>
      </x:c>
      <x:c r="AX440" s="12" t="n">
        <x:f>IF(AND(ISNUMBER(AD440),H440&gt;0),AD440*H440*3600,"")</x:f>
        <x:v>160833600</x:v>
      </x:c>
      <x:c r="AY440" s="12" t="n">
        <x:f>IF(AND(ISNUMBER(Y440),H440&gt;0),Y440*H440,"")</x:f>
        <x:v>70080</x:v>
      </x:c>
      <x:c r="AZ440" t="str">
        <x:v>Høy</x:v>
      </x:c>
    </x:row>
    <x:row r="441" ht="22" customHeight="1">
      <x:c r="A441" t="str">
        <x:v>OT-324c4baa7345</x:v>
      </x:c>
      <x:c r="B441" t="n">
        <x:v>2015</x:v>
      </x:c>
      <x:c r="C441" t="str">
        <x:v>Kontorbygg</x:v>
      </x:c>
      <x:c r="D441" t="str">
        <x:v>KONTORER, MED VENTILASJON OG KJØLEANLEGG</x:v>
      </x:c>
      <x:c r="E441" t="str">
        <x:v>G</x:v>
      </x:c>
      <x:c r="F441" t="str">
        <x:v>RED</x:v>
      </x:c>
      <x:c r="G441" t="n">
        <x:v>1995</x:v>
      </x:c>
      <x:c r="H441" t="n">
        <x:v>916</x:v>
      </x:c>
      <x:c r="I441" t="n">
        <x:v>330</x:v>
      </x:c>
      <x:c r="J441" t="str">
        <x:v>PDF/avansert</x:v>
      </x:c>
      <x:c r="K441" t="n">
        <x:v>376</x:v>
      </x:c>
      <x:c r="L441" t="n">
        <x:v>409</x:v>
      </x:c>
      <x:c r="M441" t="n">
        <x:v>409</x:v>
      </x:c>
      <x:c r="N441" t="n">
        <x:v>163</x:v>
      </x:c>
      <x:c r="O441" t="n">
        <x:v>0.25</x:v>
      </x:c>
      <x:c r="P441" t="n">
        <x:v>0.2</x:v>
      </x:c>
      <x:c r="Q441" t="n">
        <x:v>0.17</x:v>
      </x:c>
      <x:c r="R441" t="n">
        <x:v>1.43</x:v>
      </x:c>
      <x:c r="S441" t="n">
        <x:v>45</x:v>
      </x:c>
      <x:c r="T441" t="n">
        <x:v>45</x:v>
      </x:c>
      <x:c r="U441" t="n">
        <x:v>6.97</x:v>
      </x:c>
      <x:c r="V441" t="n">
        <x:v>0.97</x:v>
      </x:c>
      <x:c r="W441" t="n">
        <x:v>15.02</x:v>
      </x:c>
      <x:c r="X441" t="n">
        <x:v>90</x:v>
      </x:c>
      <x:c r="Y441" t="n">
        <x:v>104</x:v>
      </x:c>
      <x:c r="Z441" t="n">
        <x:v>30</x:v>
      </x:c>
      <x:c r="AA441" t="n">
        <x:v>21</x:v>
      </x:c>
      <x:c r="AB441" t="n">
        <x:v>22</x:v>
      </x:c>
      <x:c r="AC441" t="n">
        <x:v>1.5</x:v>
      </x:c>
      <x:c r="AD441" t="n">
        <x:v>90.9</x:v>
      </x:c>
      <x:c r="AE441" t="n">
        <x:v>0.06</x:v>
      </x:c>
      <x:c r="AF441" t="n">
        <x:v>12</x:v>
      </x:c>
      <x:c r="AG441" t="n">
        <x:v>12</x:v>
      </x:c>
      <x:c r="AH441" t="n">
        <x:v>24</x:v>
      </x:c>
      <x:c r="AI441" t="n">
        <x:v>8</x:v>
      </x:c>
      <x:c r="AJ441" t="n">
        <x:v>11</x:v>
      </x:c>
      <x:c r="AK441" t="n">
        <x:v>250</x:v>
      </x:c>
      <x:c r="AL441" t="str">
        <x:v>Direkte elektrisk;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1</x:v>
      </x:c>
      <x:c r="AS441" t="n">
        <x:v>1</x:v>
      </x:c>
      <x:c r="AT441" t="n">
        <x:v>1</x:v>
      </x:c>
      <x:c r="AU441" t="str">
        <x:v>energiattester_export_2025-08-14.json | PDF vedlegg side 5-7</x:v>
      </x:c>
      <x:c r="AV441" s="12" t="n">
        <x:f>IF(COUNT(O441,P441,Q441,R441,K441,L441,M441,N441)=8,O441*K441+P441*L441+Q441*M441+R441*N441,"")</x:f>
        <x:v>478.42</x:v>
      </x:c>
      <x:c r="AW441" s="12" t="n">
        <x:f>IF(AND(ISNUMBER(AV441),H441&gt;0),AV441/H441,"")</x:f>
        <x:v>0.522292576419214</x:v>
      </x:c>
      <x:c r="AX441" s="12" t="n">
        <x:f>IF(AND(ISNUMBER(AD441),H441&gt;0),AD441*H441*3600,"")</x:f>
        <x:v>299751840.00000006</x:v>
      </x:c>
      <x:c r="AY441" s="12" t="n">
        <x:f>IF(AND(ISNUMBER(Y441),H441&gt;0),Y441*H441,"")</x:f>
        <x:v>95264</x:v>
      </x:c>
      <x:c r="AZ441" t="str">
        <x:v>Høy</x:v>
      </x:c>
    </x:row>
    <x:row r="442" ht="22" customHeight="1">
      <x:c r="A442" t="str">
        <x:v>OT-64fe41b03776</x:v>
      </x:c>
      <x:c r="B442" t="n">
        <x:v>2015</x:v>
      </x:c>
      <x:c r="C442" t="str">
        <x:v>Kontorbygg</x:v>
      </x:c>
      <x:c r="D442" t="str">
        <x:v>KONTORER, MED VENTILASJON OG KJØLEANLEGG</x:v>
      </x:c>
      <x:c r="E442" t="str">
        <x:v>C</x:v>
      </x:c>
      <x:c r="F442" t="str">
        <x:v>RED</x:v>
      </x:c>
      <x:c r="G442" t="n">
        <x:v>2001</x:v>
      </x:c>
      <x:c r="H442" t="n">
        <x:v>3446</x:v>
      </x:c>
      <x:c r="I442" t="n">
        <x:v>144.3</x:v>
      </x:c>
      <x:c r="J442" t="str">
        <x:v>PDF/avansert</x:v>
      </x:c>
      <x:c r="K442" t="n">
        <x:v>1065</x:v>
      </x:c>
      <x:c r="L442" t="n">
        <x:v>1547</x:v>
      </x:c>
      <x:c r="M442" t="n">
        <x:v>546</x:v>
      </x:c>
      <x:c r="N442" t="n">
        <x:v>348</x:v>
      </x:c>
      <x:c r="O442" t="n">
        <x:v>0.22</x:v>
      </x:c>
      <x:c r="P442" t="n">
        <x:v>0.18</x:v>
      </x:c>
      <x:c r="Q442" t="n">
        <x:v>0.18</x:v>
      </x:c>
      <x:c r="R442" t="n">
        <x:v>1.6</x:v>
      </x:c>
      <x:c r="S442" t="n">
        <x:v>80</x:v>
      </x:c>
      <x:c r="T442" t="n">
        <x:v>80</x:v>
      </x:c>
      <x:c r="U442" t="n">
        <x:v>2.5</x:v>
      </x:c>
      <x:c r="V442" t="n">
        <x:v>0.3</x:v>
      </x:c>
      <x:c r="W442" t="n">
        <x:v>10.16</x:v>
      </x:c>
      <x:c r="X442" t="n">
        <x:v>92</x:v>
      </x:c>
      <x:c r="Y442" t="n">
        <x:v>80</x:v>
      </x:c>
      <x:c r="Z442" t="n">
        <x:v>30</x:v>
      </x:c>
      <x:c r="AA442" t="n">
        <x:v>21</x:v>
      </x:c>
      <x:c r="AB442" t="n">
        <x:v>22</x:v>
      </x:c>
      <x:c r="AC442" t="n">
        <x:v>3</x:v>
      </x:c>
      <x:c r="AD442" t="n">
        <x:v>58.6</x:v>
      </x:c>
      <x:c r="AE442" t="n">
        <x:v>0.05</x:v>
      </x:c>
      <x:c r="AF442" t="n">
        <x:v>12</x:v>
      </x:c>
      <x:c r="AG442" t="n">
        <x:v>12</x:v>
      </x:c>
      <x:c r="AH442" t="n">
        <x:v>24</x:v>
      </x:c>
      <x:c r="AI442" t="n">
        <x:v>8</x:v>
      </x:c>
      <x:c r="AJ442" t="n">
        <x:v>11</x:v>
      </x:c>
      <x:c r="AK442" t="n">
        <x:v>250</x:v>
      </x:c>
      <x:c r="AL442" t="str">
        <x:v>Direkte elektrisk;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str">
        <x:v>energiattester_export_2025-08-14.json | PDF vedlegg side 5-7</x:v>
      </x:c>
      <x:c r="AV442" s="12" t="n">
        <x:f>IF(COUNT(O442,P442,Q442,R442,K442,L442,M442,N442)=8,O442*K442+P442*L442+Q442*M442+R442*N442,"")</x:f>
        <x:v>1167.8400000000001</x:v>
      </x:c>
      <x:c r="AW442" s="12" t="n">
        <x:f>IF(AND(ISNUMBER(AV442),H442&gt;0),AV442/H442,"")</x:f>
        <x:v>0.3388972721996518</x:v>
      </x:c>
      <x:c r="AX442" s="12" t="n">
        <x:f>IF(AND(ISNUMBER(AD442),H442&gt;0),AD442*H442*3600,"")</x:f>
        <x:v>726968160</x:v>
      </x:c>
      <x:c r="AY442" s="12" t="n">
        <x:f>IF(AND(ISNUMBER(Y442),H442&gt;0),Y442*H442,"")</x:f>
        <x:v>275680</x:v>
      </x:c>
      <x:c r="AZ442" t="str">
        <x:v>Høy</x:v>
      </x:c>
    </x:row>
    <x:row r="443" ht="22" customHeight="1">
      <x:c r="A443" t="str">
        <x:v>OT-8d949f47fad5</x:v>
      </x:c>
      <x:c r="B443" t="n">
        <x:v>2015</x:v>
      </x:c>
      <x:c r="C443" t="str">
        <x:v>Kontorbygg</x:v>
      </x:c>
      <x:c r="D443" t="str">
        <x:v>KONTORER, MED VENTILASJON OG KJØLEANLEGG</x:v>
      </x:c>
      <x:c r="E443" t="str">
        <x:v>G</x:v>
      </x:c>
      <x:c r="F443" t="str">
        <x:v>RED</x:v>
      </x:c>
      <x:c r="G443" t="n">
        <x:v>1995</x:v>
      </x:c>
      <x:c r="H443" t="n">
        <x:v>916</x:v>
      </x:c>
      <x:c r="I443" t="n">
        <x:v>330</x:v>
      </x:c>
      <x:c r="J443" t="str">
        <x:v>PDF/avansert</x:v>
      </x:c>
      <x:c r="K443" t="n">
        <x:v>376</x:v>
      </x:c>
      <x:c r="L443" t="n">
        <x:v>409</x:v>
      </x:c>
      <x:c r="M443" t="n">
        <x:v>409</x:v>
      </x:c>
      <x:c r="N443" t="n">
        <x:v>163</x:v>
      </x:c>
      <x:c r="O443" t="n">
        <x:v>0.25</x:v>
      </x:c>
      <x:c r="P443" t="n">
        <x:v>0.2</x:v>
      </x:c>
      <x:c r="Q443" t="n">
        <x:v>0.17</x:v>
      </x:c>
      <x:c r="R443" t="n">
        <x:v>1.43</x:v>
      </x:c>
      <x:c r="S443" t="n">
        <x:v>45</x:v>
      </x:c>
      <x:c r="T443" t="n">
        <x:v>45</x:v>
      </x:c>
      <x:c r="U443" t="n">
        <x:v>6.97</x:v>
      </x:c>
      <x:c r="V443" t="n">
        <x:v>0.97</x:v>
      </x:c>
      <x:c r="W443" t="n">
        <x:v>15.02</x:v>
      </x:c>
      <x:c r="X443" t="n">
        <x:v>90</x:v>
      </x:c>
      <x:c r="Y443" t="n">
        <x:v>104</x:v>
      </x:c>
      <x:c r="Z443" t="n">
        <x:v>30</x:v>
      </x:c>
      <x:c r="AA443" t="n">
        <x:v>21</x:v>
      </x:c>
      <x:c r="AB443" t="n">
        <x:v>22</x:v>
      </x:c>
      <x:c r="AC443" t="n">
        <x:v>1.5</x:v>
      </x:c>
      <x:c r="AD443" t="n">
        <x:v>90.9</x:v>
      </x:c>
      <x:c r="AE443" t="n">
        <x:v>0.06</x:v>
      </x:c>
      <x:c r="AF443" t="n">
        <x:v>12</x:v>
      </x:c>
      <x:c r="AG443" t="n">
        <x:v>12</x:v>
      </x:c>
      <x:c r="AH443" t="n">
        <x:v>24</x:v>
      </x:c>
      <x:c r="AI443" t="n">
        <x:v>8</x:v>
      </x:c>
      <x:c r="AJ443" t="n">
        <x:v>11</x:v>
      </x:c>
      <x:c r="AK443" t="n">
        <x:v>250</x:v>
      </x:c>
      <x:c r="AL443" t="str">
        <x:v>Direkte elektrisk;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1</x:v>
      </x:c>
      <x:c r="AS443" t="n">
        <x:v>1</x:v>
      </x:c>
      <x:c r="AT443" t="n">
        <x:v>0</x:v>
      </x:c>
      <x:c r="AU443" t="str">
        <x:v>energiattester_export_2025-08-14.json | PDF vedlegg side 5-7</x:v>
      </x:c>
      <x:c r="AV443" s="12" t="n">
        <x:f>IF(COUNT(O443,P443,Q443,R443,K443,L443,M443,N443)=8,O443*K443+P443*L443+Q443*M443+R443*N443,"")</x:f>
        <x:v>478.42</x:v>
      </x:c>
      <x:c r="AW443" s="12" t="n">
        <x:f>IF(AND(ISNUMBER(AV443),H443&gt;0),AV443/H443,"")</x:f>
        <x:v>0.522292576419214</x:v>
      </x:c>
      <x:c r="AX443" s="12" t="n">
        <x:f>IF(AND(ISNUMBER(AD443),H443&gt;0),AD443*H443*3600,"")</x:f>
        <x:v>299751840.00000006</x:v>
      </x:c>
      <x:c r="AY443" s="12" t="n">
        <x:f>IF(AND(ISNUMBER(Y443),H443&gt;0),Y443*H443,"")</x:f>
        <x:v>95264</x:v>
      </x:c>
      <x:c r="AZ443" t="str">
        <x:v>Høy</x:v>
      </x:c>
    </x:row>
    <x:row r="444" ht="22" customHeight="1">
      <x:c r="A444" t="str">
        <x:v>OT-beef161714d2</x:v>
      </x:c>
      <x:c r="B444" t="n">
        <x:v>2015</x:v>
      </x:c>
      <x:c r="C444" t="str">
        <x:v>Kontorbygg</x:v>
      </x:c>
      <x:c r="D444" t="str">
        <x:v>KONTORER, ENKLE</x:v>
      </x:c>
      <x:c r="E444" t="str">
        <x:v>D</x:v>
      </x:c>
      <x:c r="F444" t="str">
        <x:v>GREEN</x:v>
      </x:c>
      <x:c r="G444" t="n">
        <x:v>2008</x:v>
      </x:c>
      <x:c r="H444" t="n">
        <x:v>7554</x:v>
      </x:c>
      <x:c r="I444" t="n">
        <x:v>177.9</x:v>
      </x:c>
      <x:c r="J444" t="str">
        <x:v>PDF/avansert</x:v>
      </x:c>
      <x:c r="K444" t="n">
        <x:v>2950</x:v>
      </x:c>
      <x:c r="L444" t="n">
        <x:v>2263</x:v>
      </x:c>
      <x:c r="M444" t="n">
        <x:v>2914</x:v>
      </x:c>
      <x:c r="N444" t="n">
        <x:v>1333</x:v>
      </x:c>
      <x:c r="O444" t="n">
        <x:v>0.23</x:v>
      </x:c>
      <x:c r="P444" t="n">
        <x:v>0.19</x:v>
      </x:c>
      <x:c r="Q444" t="n">
        <x:v>0.17</x:v>
      </x:c>
      <x:c r="R444" t="n">
        <x:v>1.21</x:v>
      </x:c>
      <x:c r="S444" t="n">
        <x:v>70</x:v>
      </x:c>
      <x:c r="T444" t="n">
        <x:v>70</x:v>
      </x:c>
      <x:c r="U444" t="n">
        <x:v>2</x:v>
      </x:c>
      <x:c r="V444" t="n">
        <x:v>0.27</x:v>
      </x:c>
      <x:c r="W444" t="n">
        <x:v>10</x:v>
      </x:c>
      <x:c r="X444" t="n">
        <x:v>288</x:v>
      </x:c>
      <x:c r="Y444" t="n">
        <x:v>240</x:v>
      </x:c>
      <x:c r="Z444" t="n">
        <x:v>519</x:v>
      </x:c>
      <x:c r="AA444" t="n">
        <x:v>21</x:v>
      </x:c>
      <x:c r="AB444" t="n">
        <x:v>22</x:v>
      </x:c>
      <x:c r="AC444" t="n">
        <x:v>1.5</x:v>
      </x:c>
      <x:c r="AD444" t="n">
        <x:v>88.5</x:v>
      </x:c>
      <x:c r="AE444" t="n">
        <x:v>0.06</x:v>
      </x:c>
      <x:c r="AF444" t="n">
        <x:v>12</x:v>
      </x:c>
      <x:c r="AG444" t="n">
        <x:v>12</x:v>
      </x:c>
      <x:c r="AH444" t="n">
        <x:v>24</x:v>
      </x:c>
      <x:c r="AI444" t="n">
        <x:v>8</x:v>
      </x:c>
      <x:c r="AJ444" t="n">
        <x:v>11</x:v>
      </x:c>
      <x:c r="AK444" t="n">
        <x:v>250</x:v>
      </x:c>
      <x:c r="AL444" t="str">
        <x:v>Fjernvarme; Solfanger;</x:v>
      </x:c>
      <x:c r="AM444"/>
      <x:c r="AN444"/>
      <x:c r="AO444"/>
      <x:c r="AP444"/>
      <x:c r="AQ444"/>
      <x:c r="AR444"/>
      <x:c r="AS444"/>
      <x:c r="AT444"/>
      <x:c r="AU444" t="str">
        <x:v>energiattester_export_2025-08-14.json | PDF vedlegg side 5-7</x:v>
      </x:c>
      <x:c r="AV444" s="12" t="n">
        <x:f>IF(COUNT(O444,P444,Q444,R444,K444,L444,M444,N444)=8,O444*K444+P444*L444+Q444*M444+R444*N444,"")</x:f>
        <x:v>3216.78</x:v>
      </x:c>
      <x:c r="AW444" s="12" t="n">
        <x:f>IF(AND(ISNUMBER(AV444),H444&gt;0),AV444/H444,"")</x:f>
        <x:v>0.42583796664019063</x:v>
      </x:c>
      <x:c r="AX444" s="12" t="n">
        <x:f>IF(AND(ISNUMBER(AD444),H444&gt;0),AD444*H444*3600,"")</x:f>
        <x:v>2406704400</x:v>
      </x:c>
      <x:c r="AY444" s="12" t="n">
        <x:f>IF(AND(ISNUMBER(Y444),H444&gt;0),Y444*H444,"")</x:f>
        <x:v>1812960</x:v>
      </x:c>
      <x:c r="AZ444" t="str">
        <x:v>Høy</x:v>
      </x:c>
    </x:row>
    <x:row r="445" ht="22" customHeight="1">
      <x:c r="A445" t="str">
        <x:v>OT-c8b96e9f5353</x:v>
      </x:c>
      <x:c r="B445" t="n">
        <x:v>2015</x:v>
      </x:c>
      <x:c r="C445" t="str">
        <x:v>Kontorbygg</x:v>
      </x:c>
      <x:c r="D445" t="str">
        <x:v>KONTORER, ENKLE</x:v>
      </x:c>
      <x:c r="E445" t="str">
        <x:v>D</x:v>
      </x:c>
      <x:c r="F445" t="str">
        <x:v>GREEN</x:v>
      </x:c>
      <x:c r="G445" t="n">
        <x:v>2008</x:v>
      </x:c>
      <x:c r="H445" t="n">
        <x:v>7554</x:v>
      </x:c>
      <x:c r="I445" t="n">
        <x:v>177.9</x:v>
      </x:c>
      <x:c r="J445" t="str">
        <x:v>PDF/avansert</x:v>
      </x:c>
      <x:c r="K445" t="n">
        <x:v>2950</x:v>
      </x:c>
      <x:c r="L445" t="n">
        <x:v>2263</x:v>
      </x:c>
      <x:c r="M445" t="n">
        <x:v>2914</x:v>
      </x:c>
      <x:c r="N445" t="n">
        <x:v>1333</x:v>
      </x:c>
      <x:c r="O445" t="n">
        <x:v>0.23</x:v>
      </x:c>
      <x:c r="P445" t="n">
        <x:v>0.19</x:v>
      </x:c>
      <x:c r="Q445" t="n">
        <x:v>0.17</x:v>
      </x:c>
      <x:c r="R445" t="n">
        <x:v>1.21</x:v>
      </x:c>
      <x:c r="S445" t="n">
        <x:v>70</x:v>
      </x:c>
      <x:c r="T445" t="n">
        <x:v>70</x:v>
      </x:c>
      <x:c r="U445" t="n">
        <x:v>2</x:v>
      </x:c>
      <x:c r="V445" t="n">
        <x:v>0.27</x:v>
      </x:c>
      <x:c r="W445" t="n">
        <x:v>10</x:v>
      </x:c>
      <x:c r="X445" t="n">
        <x:v>288</x:v>
      </x:c>
      <x:c r="Y445" t="n">
        <x:v>240</x:v>
      </x:c>
      <x:c r="Z445" t="n">
        <x:v>519</x:v>
      </x:c>
      <x:c r="AA445" t="n">
        <x:v>21</x:v>
      </x:c>
      <x:c r="AB445" t="n">
        <x:v>22</x:v>
      </x:c>
      <x:c r="AC445" t="n">
        <x:v>1.5</x:v>
      </x:c>
      <x:c r="AD445" t="n">
        <x:v>88.5</x:v>
      </x:c>
      <x:c r="AE445" t="n">
        <x:v>0.06</x:v>
      </x:c>
      <x:c r="AF445" t="n">
        <x:v>12</x:v>
      </x:c>
      <x:c r="AG445" t="n">
        <x:v>12</x:v>
      </x:c>
      <x:c r="AH445" t="n">
        <x:v>24</x:v>
      </x:c>
      <x:c r="AI445" t="n">
        <x:v>8</x:v>
      </x:c>
      <x:c r="AJ445" t="n">
        <x:v>11</x:v>
      </x:c>
      <x:c r="AK445" t="n">
        <x:v>250</x:v>
      </x:c>
      <x:c r="AL445" t="str">
        <x:v>Fjernvarme; Solfanger;</x:v>
      </x:c>
      <x:c r="AM445"/>
      <x:c r="AN445"/>
      <x:c r="AO445"/>
      <x:c r="AP445"/>
      <x:c r="AQ445"/>
      <x:c r="AR445"/>
      <x:c r="AS445"/>
      <x:c r="AT445"/>
      <x:c r="AU445" t="str">
        <x:v>energiattester_export_2025-08-14.json | PDF vedlegg side 5-7</x:v>
      </x:c>
      <x:c r="AV445" s="12" t="n">
        <x:f>IF(COUNT(O445,P445,Q445,R445,K445,L445,M445,N445)=8,O445*K445+P445*L445+Q445*M445+R445*N445,"")</x:f>
        <x:v>3216.78</x:v>
      </x:c>
      <x:c r="AW445" s="12" t="n">
        <x:f>IF(AND(ISNUMBER(AV445),H445&gt;0),AV445/H445,"")</x:f>
        <x:v>0.42583796664019063</x:v>
      </x:c>
      <x:c r="AX445" s="12" t="n">
        <x:f>IF(AND(ISNUMBER(AD445),H445&gt;0),AD445*H445*3600,"")</x:f>
        <x:v>2406704400</x:v>
      </x:c>
      <x:c r="AY445" s="12" t="n">
        <x:f>IF(AND(ISNUMBER(Y445),H445&gt;0),Y445*H445,"")</x:f>
        <x:v>1812960</x:v>
      </x:c>
      <x:c r="AZ445" t="str">
        <x:v>Høy</x:v>
      </x:c>
    </x:row>
    <x:row r="446" ht="22" customHeight="1">
      <x:c r="A446" t="str">
        <x:v>OT-168e73bece3d</x:v>
      </x:c>
      <x:c r="B446" t="n">
        <x:v>2015</x:v>
      </x:c>
      <x:c r="C446" t="str">
        <x:v>Kontorbygg</x:v>
      </x:c>
      <x:c r="D446" t="str">
        <x:v>KONTORER, ENKLE</x:v>
      </x:c>
      <x:c r="E446" t="str">
        <x:v>D</x:v>
      </x:c>
      <x:c r="F446" t="str">
        <x:v>GREEN</x:v>
      </x:c>
      <x:c r="G446" t="n">
        <x:v>2008</x:v>
      </x:c>
      <x:c r="H446" t="n">
        <x:v>7554</x:v>
      </x:c>
      <x:c r="I446" t="n">
        <x:v>177.9</x:v>
      </x:c>
      <x:c r="J446" t="str">
        <x:v>PDF/avansert</x:v>
      </x:c>
      <x:c r="K446" t="n">
        <x:v>2950</x:v>
      </x:c>
      <x:c r="L446" t="n">
        <x:v>2263</x:v>
      </x:c>
      <x:c r="M446" t="n">
        <x:v>2914</x:v>
      </x:c>
      <x:c r="N446" t="n">
        <x:v>1333</x:v>
      </x:c>
      <x:c r="O446" t="n">
        <x:v>0.23</x:v>
      </x:c>
      <x:c r="P446" t="n">
        <x:v>0.19</x:v>
      </x:c>
      <x:c r="Q446" t="n">
        <x:v>0.17</x:v>
      </x:c>
      <x:c r="R446" t="n">
        <x:v>1.21</x:v>
      </x:c>
      <x:c r="S446" t="n">
        <x:v>70</x:v>
      </x:c>
      <x:c r="T446" t="n">
        <x:v>70</x:v>
      </x:c>
      <x:c r="U446" t="n">
        <x:v>2</x:v>
      </x:c>
      <x:c r="V446" t="n">
        <x:v>0.27</x:v>
      </x:c>
      <x:c r="W446" t="n">
        <x:v>10</x:v>
      </x:c>
      <x:c r="X446" t="n">
        <x:v>288</x:v>
      </x:c>
      <x:c r="Y446" t="n">
        <x:v>240</x:v>
      </x:c>
      <x:c r="Z446" t="n">
        <x:v>519</x:v>
      </x:c>
      <x:c r="AA446" t="n">
        <x:v>21</x:v>
      </x:c>
      <x:c r="AB446" t="n">
        <x:v>22</x:v>
      </x:c>
      <x:c r="AC446" t="n">
        <x:v>1.5</x:v>
      </x:c>
      <x:c r="AD446" t="n">
        <x:v>88.5</x:v>
      </x:c>
      <x:c r="AE446" t="n">
        <x:v>0.06</x:v>
      </x:c>
      <x:c r="AF446" t="n">
        <x:v>12</x:v>
      </x:c>
      <x:c r="AG446" t="n">
        <x:v>12</x:v>
      </x:c>
      <x:c r="AH446" t="n">
        <x:v>24</x:v>
      </x:c>
      <x:c r="AI446" t="n">
        <x:v>8</x:v>
      </x:c>
      <x:c r="AJ446" t="n">
        <x:v>11</x:v>
      </x:c>
      <x:c r="AK446" t="n">
        <x:v>250</x:v>
      </x:c>
      <x:c r="AL446" t="str">
        <x:v>Fjernvarme; Solfanger;</x:v>
      </x:c>
      <x:c r="AM446"/>
      <x:c r="AN446"/>
      <x:c r="AO446"/>
      <x:c r="AP446"/>
      <x:c r="AQ446"/>
      <x:c r="AR446"/>
      <x:c r="AS446"/>
      <x:c r="AT446"/>
      <x:c r="AU446" t="str">
        <x:v>energiattester_export_2025-08-14.json | PDF vedlegg side 5-7</x:v>
      </x:c>
      <x:c r="AV446" s="12" t="n">
        <x:f>IF(COUNT(O446,P446,Q446,R446,K446,L446,M446,N446)=8,O446*K446+P446*L446+Q446*M446+R446*N446,"")</x:f>
        <x:v>3216.78</x:v>
      </x:c>
      <x:c r="AW446" s="12" t="n">
        <x:f>IF(AND(ISNUMBER(AV446),H446&gt;0),AV446/H446,"")</x:f>
        <x:v>0.42583796664019063</x:v>
      </x:c>
      <x:c r="AX446" s="12" t="n">
        <x:f>IF(AND(ISNUMBER(AD446),H446&gt;0),AD446*H446*3600,"")</x:f>
        <x:v>2406704400</x:v>
      </x:c>
      <x:c r="AY446" s="12" t="n">
        <x:f>IF(AND(ISNUMBER(Y446),H446&gt;0),Y446*H446,"")</x:f>
        <x:v>1812960</x:v>
      </x:c>
      <x:c r="AZ446" t="str">
        <x:v>Høy</x:v>
      </x:c>
    </x:row>
    <x:row r="447" ht="22" customHeight="1">
      <x:c r="A447" t="str">
        <x:v>OT-0e8509a761a3</x:v>
      </x:c>
      <x:c r="B447" t="n">
        <x:v>2015</x:v>
      </x:c>
      <x:c r="C447" t="str">
        <x:v>Kontorbygg</x:v>
      </x:c>
      <x:c r="D447" t="str">
        <x:v>KONTORER, ENKLE</x:v>
      </x:c>
      <x:c r="E447" t="str">
        <x:v>D</x:v>
      </x:c>
      <x:c r="F447" t="str">
        <x:v>GREEN</x:v>
      </x:c>
      <x:c r="G447" t="n">
        <x:v>2008</x:v>
      </x:c>
      <x:c r="H447" t="n">
        <x:v>7554</x:v>
      </x:c>
      <x:c r="I447" t="n">
        <x:v>177.9</x:v>
      </x:c>
      <x:c r="J447" t="str">
        <x:v>PDF/avansert</x:v>
      </x:c>
      <x:c r="K447" t="n">
        <x:v>2950</x:v>
      </x:c>
      <x:c r="L447" t="n">
        <x:v>2263</x:v>
      </x:c>
      <x:c r="M447" t="n">
        <x:v>2914</x:v>
      </x:c>
      <x:c r="N447" t="n">
        <x:v>1333</x:v>
      </x:c>
      <x:c r="O447" t="n">
        <x:v>0.23</x:v>
      </x:c>
      <x:c r="P447" t="n">
        <x:v>0.19</x:v>
      </x:c>
      <x:c r="Q447" t="n">
        <x:v>0.17</x:v>
      </x:c>
      <x:c r="R447" t="n">
        <x:v>1.21</x:v>
      </x:c>
      <x:c r="S447" t="n">
        <x:v>70</x:v>
      </x:c>
      <x:c r="T447" t="n">
        <x:v>70</x:v>
      </x:c>
      <x:c r="U447" t="n">
        <x:v>2</x:v>
      </x:c>
      <x:c r="V447" t="n">
        <x:v>0.27</x:v>
      </x:c>
      <x:c r="W447" t="n">
        <x:v>10</x:v>
      </x:c>
      <x:c r="X447" t="n">
        <x:v>288</x:v>
      </x:c>
      <x:c r="Y447" t="n">
        <x:v>240</x:v>
      </x:c>
      <x:c r="Z447" t="n">
        <x:v>519</x:v>
      </x:c>
      <x:c r="AA447" t="n">
        <x:v>21</x:v>
      </x:c>
      <x:c r="AB447" t="n">
        <x:v>22</x:v>
      </x:c>
      <x:c r="AC447" t="n">
        <x:v>1.5</x:v>
      </x:c>
      <x:c r="AD447" t="n">
        <x:v>88.5</x:v>
      </x:c>
      <x:c r="AE447" t="n">
        <x:v>0.06</x:v>
      </x:c>
      <x:c r="AF447" t="n">
        <x:v>12</x:v>
      </x:c>
      <x:c r="AG447" t="n">
        <x:v>12</x:v>
      </x:c>
      <x:c r="AH447" t="n">
        <x:v>24</x:v>
      </x:c>
      <x:c r="AI447" t="n">
        <x:v>8</x:v>
      </x:c>
      <x:c r="AJ447" t="n">
        <x:v>11</x:v>
      </x:c>
      <x:c r="AK447" t="n">
        <x:v>250</x:v>
      </x:c>
      <x:c r="AL447" t="str">
        <x:v>Fjernvarme; Solfanger;</x:v>
      </x:c>
      <x:c r="AM447"/>
      <x:c r="AN447"/>
      <x:c r="AO447"/>
      <x:c r="AP447"/>
      <x:c r="AQ447"/>
      <x:c r="AR447"/>
      <x:c r="AS447"/>
      <x:c r="AT447"/>
      <x:c r="AU447" t="str">
        <x:v>energiattester_export_2025-08-14.json | PDF vedlegg side 5-7</x:v>
      </x:c>
      <x:c r="AV447" s="12" t="n">
        <x:f>IF(COUNT(O447,P447,Q447,R447,K447,L447,M447,N447)=8,O447*K447+P447*L447+Q447*M447+R447*N447,"")</x:f>
        <x:v>3216.78</x:v>
      </x:c>
      <x:c r="AW447" s="12" t="n">
        <x:f>IF(AND(ISNUMBER(AV447),H447&gt;0),AV447/H447,"")</x:f>
        <x:v>0.42583796664019063</x:v>
      </x:c>
      <x:c r="AX447" s="12" t="n">
        <x:f>IF(AND(ISNUMBER(AD447),H447&gt;0),AD447*H447*3600,"")</x:f>
        <x:v>2406704400</x:v>
      </x:c>
      <x:c r="AY447" s="12" t="n">
        <x:f>IF(AND(ISNUMBER(Y447),H447&gt;0),Y447*H447,"")</x:f>
        <x:v>1812960</x:v>
      </x:c>
      <x:c r="AZ447" t="str">
        <x:v>Høy</x:v>
      </x:c>
    </x:row>
    <x:row r="448" ht="22" customHeight="1">
      <x:c r="A448" t="str">
        <x:v>OT-0b9165d54cd3</x:v>
      </x:c>
      <x:c r="B448" t="n">
        <x:v>2015</x:v>
      </x:c>
      <x:c r="C448" t="str">
        <x:v>Kontorbygg</x:v>
      </x:c>
      <x:c r="D448" t="str">
        <x:v>KONTORER, ENKLE</x:v>
      </x:c>
      <x:c r="E448" t="str">
        <x:v>D</x:v>
      </x:c>
      <x:c r="F448" t="str">
        <x:v>GREEN</x:v>
      </x:c>
      <x:c r="G448" t="n">
        <x:v>2008</x:v>
      </x:c>
      <x:c r="H448" t="n">
        <x:v>7554</x:v>
      </x:c>
      <x:c r="I448" t="n">
        <x:v>177.9</x:v>
      </x:c>
      <x:c r="J448" t="str">
        <x:v>PDF/avansert</x:v>
      </x:c>
      <x:c r="K448" t="n">
        <x:v>2950</x:v>
      </x:c>
      <x:c r="L448" t="n">
        <x:v>2263</x:v>
      </x:c>
      <x:c r="M448" t="n">
        <x:v>2914</x:v>
      </x:c>
      <x:c r="N448" t="n">
        <x:v>1333</x:v>
      </x:c>
      <x:c r="O448" t="n">
        <x:v>0.23</x:v>
      </x:c>
      <x:c r="P448" t="n">
        <x:v>0.19</x:v>
      </x:c>
      <x:c r="Q448" t="n">
        <x:v>0.17</x:v>
      </x:c>
      <x:c r="R448" t="n">
        <x:v>1.21</x:v>
      </x:c>
      <x:c r="S448" t="n">
        <x:v>70</x:v>
      </x:c>
      <x:c r="T448" t="n">
        <x:v>70</x:v>
      </x:c>
      <x:c r="U448" t="n">
        <x:v>2</x:v>
      </x:c>
      <x:c r="V448" t="n">
        <x:v>0.27</x:v>
      </x:c>
      <x:c r="W448" t="n">
        <x:v>10</x:v>
      </x:c>
      <x:c r="X448" t="n">
        <x:v>288</x:v>
      </x:c>
      <x:c r="Y448" t="n">
        <x:v>240</x:v>
      </x:c>
      <x:c r="Z448" t="n">
        <x:v>519</x:v>
      </x:c>
      <x:c r="AA448" t="n">
        <x:v>21</x:v>
      </x:c>
      <x:c r="AB448" t="n">
        <x:v>22</x:v>
      </x:c>
      <x:c r="AC448" t="n">
        <x:v>1.5</x:v>
      </x:c>
      <x:c r="AD448" t="n">
        <x:v>88.5</x:v>
      </x:c>
      <x:c r="AE448" t="n">
        <x:v>0.06</x:v>
      </x:c>
      <x:c r="AF448" t="n">
        <x:v>12</x:v>
      </x:c>
      <x:c r="AG448" t="n">
        <x:v>12</x:v>
      </x:c>
      <x:c r="AH448" t="n">
        <x:v>24</x:v>
      </x:c>
      <x:c r="AI448" t="n">
        <x:v>8</x:v>
      </x:c>
      <x:c r="AJ448" t="n">
        <x:v>11</x:v>
      </x:c>
      <x:c r="AK448" t="n">
        <x:v>250</x:v>
      </x:c>
      <x:c r="AL448" t="str">
        <x:v>Fjernvarme; Solfanger;</x:v>
      </x:c>
      <x:c r="AM448"/>
      <x:c r="AN448"/>
      <x:c r="AO448"/>
      <x:c r="AP448"/>
      <x:c r="AQ448"/>
      <x:c r="AR448"/>
      <x:c r="AS448"/>
      <x:c r="AT448"/>
      <x:c r="AU448" t="str">
        <x:v>energiattester_export_2025-08-14.json | PDF vedlegg side 5-7</x:v>
      </x:c>
      <x:c r="AV448" s="12" t="n">
        <x:f>IF(COUNT(O448,P448,Q448,R448,K448,L448,M448,N448)=8,O448*K448+P448*L448+Q448*M448+R448*N448,"")</x:f>
        <x:v>3216.78</x:v>
      </x:c>
      <x:c r="AW448" s="12" t="n">
        <x:f>IF(AND(ISNUMBER(AV448),H448&gt;0),AV448/H448,"")</x:f>
        <x:v>0.42583796664019063</x:v>
      </x:c>
      <x:c r="AX448" s="12" t="n">
        <x:f>IF(AND(ISNUMBER(AD448),H448&gt;0),AD448*H448*3600,"")</x:f>
        <x:v>2406704400</x:v>
      </x:c>
      <x:c r="AY448" s="12" t="n">
        <x:f>IF(AND(ISNUMBER(Y448),H448&gt;0),Y448*H448,"")</x:f>
        <x:v>1812960</x:v>
      </x:c>
      <x:c r="AZ448" t="str">
        <x:v>Høy</x:v>
      </x:c>
    </x:row>
    <x:row r="449" ht="22" customHeight="1">
      <x:c r="A449" t="str">
        <x:v>OT-a04138295c54</x:v>
      </x:c>
      <x:c r="B449" t="n">
        <x:v>2015</x:v>
      </x:c>
      <x:c r="C449" t="str">
        <x:v>Kontorbygg</x:v>
      </x:c>
      <x:c r="D449" t="str">
        <x:v>KONTORER, ENKLE</x:v>
      </x:c>
      <x:c r="E449" t="str">
        <x:v>D</x:v>
      </x:c>
      <x:c r="F449" t="str">
        <x:v>GREEN</x:v>
      </x:c>
      <x:c r="G449" t="n">
        <x:v>2008</x:v>
      </x:c>
      <x:c r="H449" t="n">
        <x:v>7554</x:v>
      </x:c>
      <x:c r="I449" t="n">
        <x:v>177.9</x:v>
      </x:c>
      <x:c r="J449" t="str">
        <x:v>PDF/avansert</x:v>
      </x:c>
      <x:c r="K449" t="n">
        <x:v>2950</x:v>
      </x:c>
      <x:c r="L449" t="n">
        <x:v>2263</x:v>
      </x:c>
      <x:c r="M449" t="n">
        <x:v>2914</x:v>
      </x:c>
      <x:c r="N449" t="n">
        <x:v>1333</x:v>
      </x:c>
      <x:c r="O449" t="n">
        <x:v>0.23</x:v>
      </x:c>
      <x:c r="P449" t="n">
        <x:v>0.19</x:v>
      </x:c>
      <x:c r="Q449" t="n">
        <x:v>0.17</x:v>
      </x:c>
      <x:c r="R449" t="n">
        <x:v>1.21</x:v>
      </x:c>
      <x:c r="S449" t="n">
        <x:v>70</x:v>
      </x:c>
      <x:c r="T449" t="n">
        <x:v>70</x:v>
      </x:c>
      <x:c r="U449" t="n">
        <x:v>2</x:v>
      </x:c>
      <x:c r="V449" t="n">
        <x:v>0.27</x:v>
      </x:c>
      <x:c r="W449" t="n">
        <x:v>10</x:v>
      </x:c>
      <x:c r="X449" t="n">
        <x:v>288</x:v>
      </x:c>
      <x:c r="Y449" t="n">
        <x:v>240</x:v>
      </x:c>
      <x:c r="Z449" t="n">
        <x:v>519</x:v>
      </x:c>
      <x:c r="AA449" t="n">
        <x:v>21</x:v>
      </x:c>
      <x:c r="AB449" t="n">
        <x:v>22</x:v>
      </x:c>
      <x:c r="AC449" t="n">
        <x:v>1.5</x:v>
      </x:c>
      <x:c r="AD449" t="n">
        <x:v>88.5</x:v>
      </x:c>
      <x:c r="AE449" t="n">
        <x:v>0.06</x:v>
      </x:c>
      <x:c r="AF449" t="n">
        <x:v>12</x:v>
      </x:c>
      <x:c r="AG449" t="n">
        <x:v>12</x:v>
      </x:c>
      <x:c r="AH449" t="n">
        <x:v>24</x:v>
      </x:c>
      <x:c r="AI449" t="n">
        <x:v>8</x:v>
      </x:c>
      <x:c r="AJ449" t="n">
        <x:v>11</x:v>
      </x:c>
      <x:c r="AK449" t="n">
        <x:v>250</x:v>
      </x:c>
      <x:c r="AL449" t="str">
        <x:v>Fjernvarme; Solfanger;</x:v>
      </x:c>
      <x:c r="AM449"/>
      <x:c r="AN449"/>
      <x:c r="AO449"/>
      <x:c r="AP449"/>
      <x:c r="AQ449"/>
      <x:c r="AR449"/>
      <x:c r="AS449"/>
      <x:c r="AT449"/>
      <x:c r="AU449" t="str">
        <x:v>energiattester_export_2025-08-14.json | PDF vedlegg side 5-7</x:v>
      </x:c>
      <x:c r="AV449" s="12" t="n">
        <x:f>IF(COUNT(O449,P449,Q449,R449,K449,L449,M449,N449)=8,O449*K449+P449*L449+Q449*M449+R449*N449,"")</x:f>
        <x:v>3216.78</x:v>
      </x:c>
      <x:c r="AW449" s="12" t="n">
        <x:f>IF(AND(ISNUMBER(AV449),H449&gt;0),AV449/H449,"")</x:f>
        <x:v>0.42583796664019063</x:v>
      </x:c>
      <x:c r="AX449" s="12" t="n">
        <x:f>IF(AND(ISNUMBER(AD449),H449&gt;0),AD449*H449*3600,"")</x:f>
        <x:v>2406704400</x:v>
      </x:c>
      <x:c r="AY449" s="12" t="n">
        <x:f>IF(AND(ISNUMBER(Y449),H449&gt;0),Y449*H449,"")</x:f>
        <x:v>1812960</x:v>
      </x:c>
      <x:c r="AZ449" t="str">
        <x:v>Høy</x:v>
      </x:c>
    </x:row>
    <x:row r="450" ht="22" customHeight="1">
      <x:c r="A450" t="str">
        <x:v>OT-91ca8795b44e</x:v>
      </x:c>
      <x:c r="B450" t="n">
        <x:v>2015</x:v>
      </x:c>
      <x:c r="C450" t="str">
        <x:v>Kontorbygg</x:v>
      </x:c>
      <x:c r="D450" t="str">
        <x:v>KONTORER, ENKLE</x:v>
      </x:c>
      <x:c r="E450" t="str">
        <x:v>G</x:v>
      </x:c>
      <x:c r="F450" t="str">
        <x:v>RED</x:v>
      </x:c>
      <x:c r="G450" t="n">
        <x:v>1906</x:v>
      </x:c>
      <x:c r="H450" t="n">
        <x:v>340</x:v>
      </x:c>
      <x:c r="I450" t="n">
        <x:v>298.3</x:v>
      </x:c>
      <x:c r="J450" t="str">
        <x:v>PDF/avansert</x:v>
      </x:c>
      <x:c r="K450" t="n">
        <x:v>178</x:v>
      </x:c>
      <x:c r="L450" t="n">
        <x:v>0</x:v>
      </x:c>
      <x:c r="M450" t="n">
        <x:v>0</x:v>
      </x:c>
      <x:c r="N450" t="n">
        <x:v>53</x:v>
      </x:c>
      <x:c r="O450" t="n">
        <x:v>1.56</x:v>
      </x:c>
      <x:c r="P450" t="n">
        <x:v>0</x:v>
      </x:c>
      <x:c r="Q450" t="n">
        <x:v>0</x:v>
      </x:c>
      <x:c r="R450" t="n">
        <x:v>2.5</x:v>
      </x:c>
      <x:c r="S450" t="n">
        <x:v>0</x:v>
      </x:c>
      <x:c r="T450" t="n">
        <x:v>0</x:v>
      </x:c>
      <x:c r="U450" t="n">
        <x:v>2.5</x:v>
      </x:c>
      <x:c r="V450" t="n">
        <x:v>1.5</x:v>
      </x:c>
      <x:c r="W450" t="n">
        <x:v>1.2</x:v>
      </x:c>
      <x:c r="X450" t="n">
        <x:v>95</x:v>
      </x:c>
      <x:c r="Y450" t="n">
        <x:v>250</x:v>
      </x:c>
      <x:c r="Z450" t="n">
        <x:v>40</x:v>
      </x:c>
      <x:c r="AA450" t="n">
        <x:v>21</x:v>
      </x:c>
      <x:c r="AB450" t="n">
        <x:v>22</x:v>
      </x:c>
      <x:c r="AC450" t="n">
        <x:v>6</x:v>
      </x:c>
      <x:c r="AD450" t="n">
        <x:v>79</x:v>
      </x:c>
      <x:c r="AE450" t="n">
        <x:v>0.09</x:v>
      </x:c>
      <x:c r="AF450" t="n">
        <x:v>12</x:v>
      </x:c>
      <x:c r="AG450" t="n">
        <x:v>12</x:v>
      </x:c>
      <x:c r="AH450" t="n">
        <x:v>24</x:v>
      </x:c>
      <x:c r="AI450" t="n">
        <x:v>8</x:v>
      </x:c>
      <x:c r="AJ450" t="n">
        <x:v>11</x:v>
      </x:c>
      <x:c r="AK450" t="n">
        <x:v>250</x:v>
      </x:c>
      <x:c r="AL450" t="str">
        <x:v>Direkte elektrisk;</x:v>
      </x:c>
      <x:c r="AM450" t="n">
        <x:v>1</x:v>
      </x:c>
      <x:c r="AN450" t="n">
        <x:v>0</x:v>
      </x:c>
      <x:c r="AO450" t="n">
        <x:v>1</x:v>
      </x:c>
      <x:c r="AP450" t="n">
        <x:v>0</x:v>
      </x:c>
      <x:c r="AQ450" t="n">
        <x:v>1</x:v>
      </x:c>
      <x:c r="AR450" t="n">
        <x:v>0</x:v>
      </x:c>
      <x:c r="AS450" t="n">
        <x:v>0</x:v>
      </x:c>
      <x:c r="AT450" t="n">
        <x:v>0</x:v>
      </x:c>
      <x:c r="AU450" t="str">
        <x:v>energiattester_export_2025-08-14.json | PDF vedlegg side 5-7</x:v>
      </x:c>
      <x:c r="AV450" s="12" t="n">
        <x:f>IF(COUNT(O450,P450,Q450,R450,K450,L450,M450,N450)=8,O450*K450+P450*L450+Q450*M450+R450*N450,"")</x:f>
        <x:v>410.18</x:v>
      </x:c>
      <x:c r="AW450" s="12" t="n">
        <x:f>IF(AND(ISNUMBER(AV450),H450&gt;0),AV450/H450,"")</x:f>
        <x:v>1.2064117647058823</x:v>
      </x:c>
      <x:c r="AX450" s="12" t="n">
        <x:f>IF(AND(ISNUMBER(AD450),H450&gt;0),AD450*H450*3600,"")</x:f>
        <x:v>96696000</x:v>
      </x:c>
      <x:c r="AY450" s="12" t="n">
        <x:f>IF(AND(ISNUMBER(Y450),H450&gt;0),Y450*H450,"")</x:f>
        <x:v>85000</x:v>
      </x:c>
      <x:c r="AZ450" t="str">
        <x:v>Høy</x:v>
      </x:c>
    </x:row>
    <x:row r="451" ht="22" customHeight="1">
      <x:c r="A451" t="str">
        <x:v>OT-4edd56f6ac04</x:v>
      </x:c>
      <x:c r="B451" t="n">
        <x:v>2015</x:v>
      </x:c>
      <x:c r="C451" t="str">
        <x:v>Forretningsbygg</x:v>
      </x:c>
      <x:c r="D451" t="str">
        <x:v>BUTIKK</x:v>
      </x:c>
      <x:c r="E451" t="str">
        <x:v>G</x:v>
      </x:c>
      <x:c r="F451" t="str">
        <x:v>RED</x:v>
      </x:c>
      <x:c r="G451" t="n">
        <x:v>1906</x:v>
      </x:c>
      <x:c r="H451" t="n">
        <x:v>340</x:v>
      </x:c>
      <x:c r="I451" t="n">
        <x:v>491.7</x:v>
      </x:c>
      <x:c r="J451" t="str">
        <x:v>PDF/avansert</x:v>
      </x:c>
      <x:c r="K451" t="n">
        <x:v>218</x:v>
      </x:c>
      <x:c r="L451" t="n">
        <x:v>0</x:v>
      </x:c>
      <x:c r="M451" t="n">
        <x:v>0</x:v>
      </x:c>
      <x:c r="N451" t="n">
        <x:v>75</x:v>
      </x:c>
      <x:c r="O451" t="n">
        <x:v>1.56</x:v>
      </x:c>
      <x:c r="P451" t="n">
        <x:v>0</x:v>
      </x:c>
      <x:c r="Q451" t="n">
        <x:v>0</x:v>
      </x:c>
      <x:c r="R451" t="n">
        <x:v>2.44</x:v>
      </x:c>
      <x:c r="S451" t="n">
        <x:v>27</x:v>
      </x:c>
      <x:c r="T451" t="n">
        <x:v>27</x:v>
      </x:c>
      <x:c r="U451" t="n">
        <x:v>2.5</x:v>
      </x:c>
      <x:c r="V451" t="n">
        <x:v>0.25</x:v>
      </x:c>
      <x:c r="W451" t="n">
        <x:v>12</x:v>
      </x:c>
      <x:c r="X451" t="n">
        <x:v>95</x:v>
      </x:c>
      <x:c r="Y451" t="n">
        <x:v>450</x:v>
      </x:c>
      <x:c r="Z451" t="n">
        <x:v>100</x:v>
      </x:c>
      <x:c r="AA451" t="n">
        <x:v>21</x:v>
      </x:c>
      <x:c r="AB451" t="n">
        <x:v>22</x:v>
      </x:c>
      <x:c r="AC451" t="n">
        <x:v>6</x:v>
      </x:c>
      <x:c r="AD451" t="n">
        <x:v>74.8</x:v>
      </x:c>
      <x:c r="AE451" t="n">
        <x:v>0.09</x:v>
      </x:c>
      <x:c r="AF451" t="n">
        <x:v>12</x:v>
      </x:c>
      <x:c r="AG451" t="n">
        <x:v>12</x:v>
      </x:c>
      <x:c r="AH451" t="n">
        <x:v>24</x:v>
      </x:c>
      <x:c r="AI451" t="n">
        <x:v>15</x:v>
      </x:c>
      <x:c r="AJ451" t="n">
        <x:v>1</x:v>
      </x:c>
      <x:c r="AK451" t="n">
        <x:v>250</x:v>
      </x:c>
      <x:c r="AL451" t="str">
        <x:v>Direkte elektrisk;</x:v>
      </x:c>
      <x:c r="AM451" t="n">
        <x:v>1</x:v>
      </x:c>
      <x:c r="AN451" t="n">
        <x:v>0</x:v>
      </x:c>
      <x:c r="AO451" t="n">
        <x:v>1</x:v>
      </x:c>
      <x:c r="AP451" t="n">
        <x:v>0</x:v>
      </x:c>
      <x:c r="AQ451" t="n">
        <x:v>1</x:v>
      </x:c>
      <x:c r="AR451" t="n">
        <x:v>0</x:v>
      </x:c>
      <x:c r="AS451" t="n">
        <x:v>0</x:v>
      </x:c>
      <x:c r="AT451" t="n">
        <x:v>0</x:v>
      </x:c>
      <x:c r="AU451" t="str">
        <x:v>energiattester_export_2025-08-14.json | PDF vedlegg side 5-7</x:v>
      </x:c>
      <x:c r="AV451" s="12" t="n">
        <x:f>IF(COUNT(O451,P451,Q451,R451,K451,L451,M451,N451)=8,O451*K451+P451*L451+Q451*M451+R451*N451,"")</x:f>
        <x:v>523.0799999999999</x:v>
      </x:c>
      <x:c r="AW451" s="12" t="n">
        <x:f>IF(AND(ISNUMBER(AV451),H451&gt;0),AV451/H451,"")</x:f>
        <x:v>1.5384705882352938</x:v>
      </x:c>
      <x:c r="AX451" s="12" t="n">
        <x:f>IF(AND(ISNUMBER(AD451),H451&gt;0),AD451*H451*3600,"")</x:f>
        <x:v>91555200</x:v>
      </x:c>
      <x:c r="AY451" s="12" t="n">
        <x:f>IF(AND(ISNUMBER(Y451),H451&gt;0),Y451*H451,"")</x:f>
        <x:v>153000</x:v>
      </x:c>
      <x:c r="AZ451" t="str">
        <x:v>Høy</x:v>
      </x:c>
    </x:row>
    <x:row r="452" ht="22" customHeight="1">
      <x:c r="A452" t="str">
        <x:v>OT-1b67ea3c5286</x:v>
      </x:c>
      <x:c r="B452" t="n">
        <x:v>2015</x:v>
      </x:c>
      <x:c r="C452" t="str">
        <x:v>Forretningsbygg</x:v>
      </x:c>
      <x:c r="D452" t="str">
        <x:v>BUTIKK</x:v>
      </x:c>
      <x:c r="E452" t="str">
        <x:v>G</x:v>
      </x:c>
      <x:c r="F452" t="str">
        <x:v>RED</x:v>
      </x:c>
      <x:c r="G452" t="n">
        <x:v>1906</x:v>
      </x:c>
      <x:c r="H452" t="n">
        <x:v>150</x:v>
      </x:c>
      <x:c r="I452" t="n">
        <x:v>703.9</x:v>
      </x:c>
      <x:c r="J452" t="str">
        <x:v>PDF/avansert</x:v>
      </x:c>
      <x:c r="K452" t="n">
        <x:v>218</x:v>
      </x:c>
      <x:c r="L452" t="n">
        <x:v>0</x:v>
      </x:c>
      <x:c r="M452" t="n">
        <x:v>0</x:v>
      </x:c>
      <x:c r="N452" t="n">
        <x:v>75</x:v>
      </x:c>
      <x:c r="O452" t="n">
        <x:v>1.56</x:v>
      </x:c>
      <x:c r="P452" t="n">
        <x:v>0</x:v>
      </x:c>
      <x:c r="Q452" t="n">
        <x:v>0</x:v>
      </x:c>
      <x:c r="R452" t="n">
        <x:v>2.44</x:v>
      </x:c>
      <x:c r="S452" t="n">
        <x:v>37</x:v>
      </x:c>
      <x:c r="T452" t="n">
        <x:v>37</x:v>
      </x:c>
      <x:c r="U452" t="n">
        <x:v>2.5</x:v>
      </x:c>
      <x:c r="V452" t="n">
        <x:v>0.25</x:v>
      </x:c>
      <x:c r="W452" t="n">
        <x:v>12</x:v>
      </x:c>
      <x:c r="X452" t="n">
        <x:v>95</x:v>
      </x:c>
      <x:c r="Y452" t="n">
        <x:v>450</x:v>
      </x:c>
      <x:c r="Z452" t="n">
        <x:v>100</x:v>
      </x:c>
      <x:c r="AA452" t="n">
        <x:v>21</x:v>
      </x:c>
      <x:c r="AB452" t="n">
        <x:v>22</x:v>
      </x:c>
      <x:c r="AC452" t="n">
        <x:v>6</x:v>
      </x:c>
      <x:c r="AD452" t="n">
        <x:v>167</x:v>
      </x:c>
      <x:c r="AE452" t="n">
        <x:v>0.09</x:v>
      </x:c>
      <x:c r="AF452" t="n">
        <x:v>12</x:v>
      </x:c>
      <x:c r="AG452" t="n">
        <x:v>12</x:v>
      </x:c>
      <x:c r="AH452" t="n">
        <x:v>24</x:v>
      </x:c>
      <x:c r="AI452" t="n">
        <x:v>15</x:v>
      </x:c>
      <x:c r="AJ452" t="n">
        <x:v>1</x:v>
      </x:c>
      <x:c r="AK452" t="n">
        <x:v>250</x:v>
      </x:c>
      <x:c r="AL452" t="str">
        <x:v>Direkte elektrisk;</x:v>
      </x:c>
      <x:c r="AM452" t="n">
        <x:v>1</x:v>
      </x:c>
      <x:c r="AN452" t="n">
        <x:v>0</x:v>
      </x:c>
      <x:c r="AO452" t="n">
        <x:v>1</x:v>
      </x:c>
      <x:c r="AP452" t="n">
        <x:v>0</x:v>
      </x:c>
      <x:c r="AQ452" t="n">
        <x:v>1</x:v>
      </x:c>
      <x:c r="AR452" t="n">
        <x:v>0</x:v>
      </x:c>
      <x:c r="AS452" t="n">
        <x:v>0</x:v>
      </x:c>
      <x:c r="AT452" t="n">
        <x:v>0</x:v>
      </x:c>
      <x:c r="AU452" t="str">
        <x:v>energiattester_export_2025-08-14.json | PDF vedlegg side 5-7</x:v>
      </x:c>
      <x:c r="AV452" s="12" t="n">
        <x:f>IF(COUNT(O452,P452,Q452,R452,K452,L452,M452,N452)=8,O452*K452+P452*L452+Q452*M452+R452*N452,"")</x:f>
        <x:v>523.0799999999999</x:v>
      </x:c>
      <x:c r="AW452" s="12" t="n">
        <x:f>IF(AND(ISNUMBER(AV452),H452&gt;0),AV452/H452,"")</x:f>
        <x:v>3.4871999999999996</x:v>
      </x:c>
      <x:c r="AX452" s="12" t="n">
        <x:f>IF(AND(ISNUMBER(AD452),H452&gt;0),AD452*H452*3600,"")</x:f>
        <x:v>90180000</x:v>
      </x:c>
      <x:c r="AY452" s="12" t="n">
        <x:f>IF(AND(ISNUMBER(Y452),H452&gt;0),Y452*H452,"")</x:f>
        <x:v>67500</x:v>
      </x:c>
      <x:c r="AZ452" t="str">
        <x:v>Høy</x:v>
      </x:c>
    </x:row>
    <x:row r="453" ht="22" customHeight="1">
      <x:c r="A453" t="str">
        <x:v>OT-775a4902236e</x:v>
      </x:c>
      <x:c r="B453" t="n">
        <x:v>2015</x:v>
      </x:c>
      <x:c r="C453" t="str">
        <x:v>Forretningsbygg</x:v>
      </x:c>
      <x:c r="D453" t="str">
        <x:v>BUTIKK</x:v>
      </x:c>
      <x:c r="E453" t="str">
        <x:v>B</x:v>
      </x:c>
      <x:c r="F453" t="str">
        <x:v>RED</x:v>
      </x:c>
      <x:c r="G453" t="n">
        <x:v>2011</x:v>
      </x:c>
      <x:c r="H453" t="n">
        <x:v>1326</x:v>
      </x:c>
      <x:c r="I453" t="n">
        <x:v>153</x:v>
      </x:c>
      <x:c r="J453" t="str">
        <x:v>PDF/avansert</x:v>
      </x:c>
      <x:c r="K453" t="n">
        <x:v>698</x:v>
      </x:c>
      <x:c r="L453" t="n">
        <x:v>1326</x:v>
      </x:c>
      <x:c r="M453" t="n">
        <x:v>1326</x:v>
      </x:c>
      <x:c r="N453" t="n">
        <x:v>35</x:v>
      </x:c>
      <x:c r="O453" t="n">
        <x:v>0.13</x:v>
      </x:c>
      <x:c r="P453" t="n">
        <x:v>0.15</x:v>
      </x:c>
      <x:c r="Q453" t="n">
        <x:v>0.1</x:v>
      </x:c>
      <x:c r="R453" t="n">
        <x:v>1.17</x:v>
      </x:c>
      <x:c r="S453" t="n">
        <x:v>80</x:v>
      </x:c>
      <x:c r="T453" t="n">
        <x:v>80</x:v>
      </x:c>
      <x:c r="U453" t="n">
        <x:v>2</x:v>
      </x:c>
      <x:c r="V453" t="n">
        <x:v>0.15</x:v>
      </x:c>
      <x:c r="W453" t="n">
        <x:v>13</x:v>
      </x:c>
      <x:c r="X453" t="n">
        <x:v>90</x:v>
      </x:c>
      <x:c r="Y453" t="n">
        <x:v>80</x:v>
      </x:c>
      <x:c r="Z453" t="n">
        <x:v>45</x:v>
      </x:c>
      <x:c r="AA453" t="n">
        <x:v>21</x:v>
      </x:c>
      <x:c r="AB453" t="n">
        <x:v>22</x:v>
      </x:c>
      <x:c r="AC453" t="n">
        <x:v>1.5</x:v>
      </x:c>
      <x:c r="AD453" t="n">
        <x:v>132.8</x:v>
      </x:c>
      <x:c r="AE453" t="n">
        <x:v>0.06</x:v>
      </x:c>
      <x:c r="AF453" t="n">
        <x:v>12</x:v>
      </x:c>
      <x:c r="AG453" t="n">
        <x:v>12</x:v>
      </x:c>
      <x:c r="AH453" t="n">
        <x:v>24</x:v>
      </x:c>
      <x:c r="AI453" t="n">
        <x:v>15</x:v>
      </x:c>
      <x:c r="AJ453" t="n">
        <x:v>1</x:v>
      </x:c>
      <x:c r="AK453" t="n">
        <x:v>250</x:v>
      </x:c>
      <x:c r="AL453" t="str">
        <x:v>Direkte elektrisk;</x:v>
      </x:c>
      <x:c r="AM453"/>
      <x:c r="AN453"/>
      <x:c r="AO453"/>
      <x:c r="AP453"/>
      <x:c r="AQ453"/>
      <x:c r="AR453"/>
      <x:c r="AS453"/>
      <x:c r="AT453"/>
      <x:c r="AU453" t="str">
        <x:v>energiattester_export_2025-08-14.json | PDF vedlegg side 5-7</x:v>
      </x:c>
      <x:c r="AV453" s="12" t="n">
        <x:f>IF(COUNT(O453,P453,Q453,R453,K453,L453,M453,N453)=8,O453*K453+P453*L453+Q453*M453+R453*N453,"")</x:f>
        <x:v>463.19</x:v>
      </x:c>
      <x:c r="AW453" s="12" t="n">
        <x:f>IF(AND(ISNUMBER(AV453),H453&gt;0),AV453/H453,"")</x:f>
        <x:v>0.34931372549019607</x:v>
      </x:c>
      <x:c r="AX453" s="12" t="n">
        <x:f>IF(AND(ISNUMBER(AD453),H453&gt;0),AD453*H453*3600,"")</x:f>
        <x:v>633934080.0000001</x:v>
      </x:c>
      <x:c r="AY453" s="12" t="n">
        <x:f>IF(AND(ISNUMBER(Y453),H453&gt;0),Y453*H453,"")</x:f>
        <x:v>106080</x:v>
      </x:c>
      <x:c r="AZ453" t="str">
        <x:v>Høy</x:v>
      </x:c>
    </x:row>
    <x:row r="454" ht="22" customHeight="1">
      <x:c r="A454" t="str">
        <x:v>OT-fc72710058b8</x:v>
      </x:c>
      <x:c r="B454" t="n">
        <x:v>2015</x:v>
      </x:c>
      <x:c r="C454" t="str">
        <x:v>Kontorbygg</x:v>
      </x:c>
      <x:c r="D454" t="str">
        <x:v>KONTORER, ENKLE</x:v>
      </x:c>
      <x:c r="E454" t="str">
        <x:v>F</x:v>
      </x:c>
      <x:c r="F454" t="str">
        <x:v>RED</x:v>
      </x:c>
      <x:c r="G454" t="n">
        <x:v>1984</x:v>
      </x:c>
      <x:c r="H454" t="n">
        <x:v>925</x:v>
      </x:c>
      <x:c r="I454" t="n">
        <x:v>273.4</x:v>
      </x:c>
      <x:c r="J454" t="str">
        <x:v>PDF/avansert</x:v>
      </x:c>
      <x:c r="K454" t="n">
        <x:v>528</x:v>
      </x:c>
      <x:c r="L454" t="n">
        <x:v>700</x:v>
      </x:c>
      <x:c r="M454" t="n">
        <x:v>469</x:v>
      </x:c>
      <x:c r="N454" t="n">
        <x:v>133</x:v>
      </x:c>
      <x:c r="O454" t="n">
        <x:v>0.44</x:v>
      </x:c>
      <x:c r="P454" t="n">
        <x:v>0.4</x:v>
      </x:c>
      <x:c r="Q454" t="n">
        <x:v>0.39</x:v>
      </x:c>
      <x:c r="R454" t="n">
        <x:v>1.77</x:v>
      </x:c>
      <x:c r="S454" t="n">
        <x:v>60</x:v>
      </x:c>
      <x:c r="T454" t="n">
        <x:v>60</x:v>
      </x:c>
      <x:c r="U454" t="n">
        <x:v>3.2</x:v>
      </x:c>
      <x:c r="V454" t="n">
        <x:v>0.54</x:v>
      </x:c>
      <x:c r="W454" t="n">
        <x:v>7</x:v>
      </x:c>
      <x:c r="X454" t="n">
        <x:v>89</x:v>
      </x:c>
      <x:c r="Y454" t="n">
        <x:v>180</x:v>
      </x:c>
      <x:c r="Z454" t="n">
        <x:v>70</x:v>
      </x:c>
      <x:c r="AA454" t="n">
        <x:v>21</x:v>
      </x:c>
      <x:c r="AB454" t="n">
        <x:v>22</x:v>
      </x:c>
      <x:c r="AC454" t="n">
        <x:v>4</x:v>
      </x:c>
      <x:c r="AD454" t="n">
        <x:v>100.7</x:v>
      </x:c>
      <x:c r="AE454" t="n">
        <x:v>0.1</x:v>
      </x:c>
      <x:c r="AF454" t="n">
        <x:v>12</x:v>
      </x:c>
      <x:c r="AG454" t="n">
        <x:v>12</x:v>
      </x:c>
      <x:c r="AH454" t="n">
        <x:v>24</x:v>
      </x:c>
      <x:c r="AI454" t="n">
        <x:v>8</x:v>
      </x:c>
      <x:c r="AJ454" t="n">
        <x:v>11</x:v>
      </x:c>
      <x:c r="AK454" t="n">
        <x:v>250</x:v>
      </x:c>
      <x:c r="AL454" t="str">
        <x:v>Direkte elektrisk;</x:v>
      </x:c>
      <x:c r="AM454" t="n">
        <x:v>0</x:v>
      </x:c>
      <x:c r="AN454" t="n">
        <x:v>0</x:v>
      </x:c>
      <x:c r="AO454" t="n">
        <x:v>1</x:v>
      </x:c>
      <x:c r="AP454" t="n">
        <x:v>0</x:v>
      </x:c>
      <x:c r="AQ454" t="n">
        <x:v>1</x:v>
      </x:c>
      <x:c r="AR454" t="n">
        <x:v>1</x:v>
      </x:c>
      <x:c r="AS454" t="n">
        <x:v>1</x:v>
      </x:c>
      <x:c r="AT454" t="n">
        <x:v>0</x:v>
      </x:c>
      <x:c r="AU454" t="str">
        <x:v>energiattester_export_2025-08-14.json | PDF vedlegg side 5-7</x:v>
      </x:c>
      <x:c r="AV454" s="12" t="n">
        <x:f>IF(COUNT(O454,P454,Q454,R454,K454,L454,M454,N454)=8,O454*K454+P454*L454+Q454*M454+R454*N454,"")</x:f>
        <x:v>930.6399999999999</x:v>
      </x:c>
      <x:c r="AW454" s="12" t="n">
        <x:f>IF(AND(ISNUMBER(AV454),H454&gt;0),AV454/H454,"")</x:f>
        <x:v>1.0060972972972972</x:v>
      </x:c>
      <x:c r="AX454" s="12" t="n">
        <x:f>IF(AND(ISNUMBER(AD454),H454&gt;0),AD454*H454*3600,"")</x:f>
        <x:v>335331000</x:v>
      </x:c>
      <x:c r="AY454" s="12" t="n">
        <x:f>IF(AND(ISNUMBER(Y454),H454&gt;0),Y454*H454,"")</x:f>
        <x:v>166500</x:v>
      </x:c>
      <x:c r="AZ454" t="str">
        <x:v>Høy</x:v>
      </x:c>
    </x:row>
    <x:row r="455" ht="22" customHeight="1">
      <x:c r="A455" t="str">
        <x:v>OT-b72157443a7b</x:v>
      </x:c>
      <x:c r="B455" t="n">
        <x:v>2015</x:v>
      </x:c>
      <x:c r="C455" t="str">
        <x:v>Kontorbygg</x:v>
      </x:c>
      <x:c r="D455" t="str">
        <x:v>KONTORER, ENKLE</x:v>
      </x:c>
      <x:c r="E455" t="str">
        <x:v>G</x:v>
      </x:c>
      <x:c r="F455" t="str">
        <x:v>RED</x:v>
      </x:c>
      <x:c r="G455" t="n">
        <x:v>1952</x:v>
      </x:c>
      <x:c r="H455" t="n">
        <x:v>319</x:v>
      </x:c>
      <x:c r="I455" t="n">
        <x:v>339.9</x:v>
      </x:c>
      <x:c r="J455" t="str">
        <x:v>PDF/avansert</x:v>
      </x:c>
      <x:c r="K455" t="n">
        <x:v>197</x:v>
      </x:c>
      <x:c r="L455" t="n">
        <x:v>191</x:v>
      </x:c>
      <x:c r="M455" t="n">
        <x:v>191</x:v>
      </x:c>
      <x:c r="N455" t="n">
        <x:v>36</x:v>
      </x:c>
      <x:c r="O455" t="n">
        <x:v>1.05</x:v>
      </x:c>
      <x:c r="P455" t="n">
        <x:v>0.42</x:v>
      </x:c>
      <x:c r="Q455" t="n">
        <x:v>0.35</x:v>
      </x:c>
      <x:c r="R455" t="n">
        <x:v>0.96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7</x:v>
      </x:c>
      <x:c r="X455" t="n">
        <x:v>89</x:v>
      </x:c>
      <x:c r="Y455" t="n">
        <x:v>150</x:v>
      </x:c>
      <x:c r="Z455" t="n">
        <x:v>0</x:v>
      </x:c>
      <x:c r="AA455" t="n">
        <x:v>21</x:v>
      </x:c>
      <x:c r="AB455" t="n">
        <x:v>22</x:v>
      </x:c>
      <x:c r="AC455" t="n">
        <x:v>4</x:v>
      </x:c>
      <x:c r="AD455" t="n">
        <x:v>50.7</x:v>
      </x:c>
      <x:c r="AE455" t="n">
        <x:v>0.12</x:v>
      </x:c>
      <x:c r="AF455" t="n">
        <x:v>12</x:v>
      </x:c>
      <x:c r="AG455" t="n">
        <x:v>12</x:v>
      </x:c>
      <x:c r="AH455" t="n">
        <x:v>24</x:v>
      </x:c>
      <x:c r="AI455" t="n">
        <x:v>8</x:v>
      </x:c>
      <x:c r="AJ455" t="n">
        <x:v>11</x:v>
      </x:c>
      <x:c r="AK455" t="n">
        <x:v>250</x:v>
      </x:c>
      <x:c r="AL455" t="str">
        <x:v>Direkte elektrisk;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1</x:v>
      </x:c>
      <x:c r="AS455" t="n">
        <x:v>1</x:v>
      </x:c>
      <x:c r="AT455" t="n">
        <x:v>1</x:v>
      </x:c>
      <x:c r="AU455" t="str">
        <x:v>energiattester_export_2025-08-14.json | PDF vedlegg side 5-7</x:v>
      </x:c>
      <x:c r="AV455" s="12" t="n">
        <x:f>IF(COUNT(O455,P455,Q455,R455,K455,L455,M455,N455)=8,O455*K455+P455*L455+Q455*M455+R455*N455,"")</x:f>
        <x:v>388.4800000000001</x:v>
      </x:c>
      <x:c r="AW455" s="12" t="n">
        <x:f>IF(AND(ISNUMBER(AV455),H455&gt;0),AV455/H455,"")</x:f>
        <x:v>1.217805642633229</x:v>
      </x:c>
      <x:c r="AX455" s="12" t="n">
        <x:f>IF(AND(ISNUMBER(AD455),H455&gt;0),AD455*H455*3600,"")</x:f>
        <x:v>58223880.00000001</x:v>
      </x:c>
      <x:c r="AY455" s="12" t="n">
        <x:f>IF(AND(ISNUMBER(Y455),H455&gt;0),Y455*H455,"")</x:f>
        <x:v>47850</x:v>
      </x:c>
      <x:c r="AZ455" t="str">
        <x:v>Høy</x:v>
      </x:c>
    </x:row>
    <x:row r="456" ht="22" customHeight="1">
      <x:c r="A456" t="str">
        <x:v>OT-411b7fc7f171</x:v>
      </x:c>
      <x:c r="B456" t="n">
        <x:v>2015</x:v>
      </x:c>
      <x:c r="C456" t="str">
        <x:v>Hoteller</x:v>
      </x:c>
      <x:c r="D456" t="str">
        <x:v>RESTAURANTBYGNING</x:v>
      </x:c>
      <x:c r="E456" t="str">
        <x:v>F</x:v>
      </x:c>
      <x:c r="F456" t="str">
        <x:v>RED</x:v>
      </x:c>
      <x:c r="G456" t="n">
        <x:v>1952</x:v>
      </x:c>
      <x:c r="H456" t="n">
        <x:v>451</x:v>
      </x:c>
      <x:c r="I456" t="n">
        <x:v>364.2</x:v>
      </x:c>
      <x:c r="J456" t="str">
        <x:v>PDF/avansert</x:v>
      </x:c>
      <x:c r="K456" t="n">
        <x:v>78</x:v>
      </x:c>
      <x:c r="L456" t="n">
        <x:v>402</x:v>
      </x:c>
      <x:c r="M456" t="n">
        <x:v>374</x:v>
      </x:c>
      <x:c r="N456" t="n">
        <x:v>120</x:v>
      </x:c>
      <x:c r="O456" t="n">
        <x:v>1.05</x:v>
      </x:c>
      <x:c r="P456" t="n">
        <x:v>0.44</x:v>
      </x:c>
      <x:c r="Q456" t="n">
        <x:v>0.3</x:v>
      </x:c>
      <x:c r="R456" t="n">
        <x:v>0.76</x:v>
      </x:c>
      <x:c r="S456" t="n">
        <x:v>50</x:v>
      </x:c>
      <x:c r="T456" t="n">
        <x:v>50</x:v>
      </x:c>
      <x:c r="U456" t="n">
        <x:v>2.4</x:v>
      </x:c>
      <x:c r="V456" t="n">
        <x:v>0.34</x:v>
      </x:c>
      <x:c r="W456" t="n">
        <x:v>7</x:v>
      </x:c>
      <x:c r="X456" t="n">
        <x:v>89</x:v>
      </x:c>
      <x:c r="Y456" t="n">
        <x:v>115</x:v>
      </x:c>
      <x:c r="Z456" t="n">
        <x:v>31</x:v>
      </x:c>
      <x:c r="AA456" t="n">
        <x:v>21</x:v>
      </x:c>
      <x:c r="AB456" t="n">
        <x:v>22</x:v>
      </x:c>
      <x:c r="AC456" t="n">
        <x:v>4</x:v>
      </x:c>
      <x:c r="AD456" t="n">
        <x:v>64.7</x:v>
      </x:c>
      <x:c r="AE456" t="n">
        <x:v>0.12</x:v>
      </x:c>
      <x:c r="AF456" t="n">
        <x:v>16</x:v>
      </x:c>
      <x:c r="AG456" t="n">
        <x:v>16</x:v>
      </x:c>
      <x:c r="AH456" t="n">
        <x:v>24</x:v>
      </x:c>
      <x:c r="AI456" t="n">
        <x:v>8</x:v>
      </x:c>
      <x:c r="AJ456" t="n">
        <x:v>1</x:v>
      </x:c>
      <x:c r="AK456" t="n">
        <x:v>250</x:v>
      </x:c>
      <x:c r="AL456" t="str">
        <x:v>Direkte elektrisk;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1</x:v>
      </x:c>
      <x:c r="AS456" t="n">
        <x:v>1</x:v>
      </x:c>
      <x:c r="AT456" t="n">
        <x:v>0</x:v>
      </x:c>
      <x:c r="AU456" t="str">
        <x:v>energiattester_export_2025-08-14.json | PDF vedlegg side 5-7</x:v>
      </x:c>
      <x:c r="AV456" s="12" t="n">
        <x:f>IF(COUNT(O456,P456,Q456,R456,K456,L456,M456,N456)=8,O456*K456+P456*L456+Q456*M456+R456*N456,"")</x:f>
        <x:v>462.17999999999995</x:v>
      </x:c>
      <x:c r="AW456" s="12" t="n">
        <x:f>IF(AND(ISNUMBER(AV456),H456&gt;0),AV456/H456,"")</x:f>
        <x:v>1.0247893569844788</x:v>
      </x:c>
      <x:c r="AX456" s="12" t="n">
        <x:f>IF(AND(ISNUMBER(AD456),H456&gt;0),AD456*H456*3600,"")</x:f>
        <x:v>105046920</x:v>
      </x:c>
      <x:c r="AY456" s="12" t="n">
        <x:f>IF(AND(ISNUMBER(Y456),H456&gt;0),Y456*H456,"")</x:f>
        <x:v>51865</x:v>
      </x:c>
      <x:c r="AZ456" t="str">
        <x:v>Høy</x:v>
      </x:c>
    </x:row>
    <x:row r="457" ht="22" customHeight="1">
      <x:c r="A457" t="str">
        <x:v>OT-32c3860f25b9</x:v>
      </x:c>
      <x:c r="B457" t="n">
        <x:v>2015</x:v>
      </x:c>
      <x:c r="C457" t="str">
        <x:v>Hoteller</x:v>
      </x:c>
      <x:c r="D457" t="str">
        <x:v>RESTAURANTBYGNING</x:v>
      </x:c>
      <x:c r="E457" t="str">
        <x:v>G</x:v>
      </x:c>
      <x:c r="F457" t="str">
        <x:v>RED</x:v>
      </x:c>
      <x:c r="G457" t="n">
        <x:v>1952</x:v>
      </x:c>
      <x:c r="H457" t="n">
        <x:v>451</x:v>
      </x:c>
      <x:c r="I457" t="n">
        <x:v>511.4</x:v>
      </x:c>
      <x:c r="J457" t="str">
        <x:v>PDF/avansert</x:v>
      </x:c>
      <x:c r="K457" t="n">
        <x:v>78</x:v>
      </x:c>
      <x:c r="L457" t="n">
        <x:v>402</x:v>
      </x:c>
      <x:c r="M457" t="n">
        <x:v>374</x:v>
      </x:c>
      <x:c r="N457" t="n">
        <x:v>120</x:v>
      </x:c>
      <x:c r="O457" t="n">
        <x:v>1.05</x:v>
      </x:c>
      <x:c r="P457" t="n">
        <x:v>0.44</x:v>
      </x:c>
      <x:c r="Q457" t="n">
        <x:v>0.3</x:v>
      </x:c>
      <x:c r="R457" t="n">
        <x:v>0.76</x:v>
      </x:c>
      <x:c r="S457" t="n">
        <x:v>45</x:v>
      </x:c>
      <x:c r="T457" t="n">
        <x:v>45</x:v>
      </x:c>
      <x:c r="U457" t="n">
        <x:v>4.64</x:v>
      </x:c>
      <x:c r="V457" t="n">
        <x:v>0.36</x:v>
      </x:c>
      <x:c r="W457" t="n">
        <x:v>12.5</x:v>
      </x:c>
      <x:c r="X457" t="n">
        <x:v>89</x:v>
      </x:c>
      <x:c r="Y457" t="n">
        <x:v>145</x:v>
      </x:c>
      <x:c r="Z457" t="n">
        <x:v>55</x:v>
      </x:c>
      <x:c r="AA457" t="n">
        <x:v>21</x:v>
      </x:c>
      <x:c r="AB457" t="n">
        <x:v>22</x:v>
      </x:c>
      <x:c r="AC457" t="n">
        <x:v>4</x:v>
      </x:c>
      <x:c r="AD457" t="n">
        <x:v>64.7</x:v>
      </x:c>
      <x:c r="AE457" t="n">
        <x:v>0.12</x:v>
      </x:c>
      <x:c r="AF457" t="n">
        <x:v>16</x:v>
      </x:c>
      <x:c r="AG457" t="n">
        <x:v>16</x:v>
      </x:c>
      <x:c r="AH457" t="n">
        <x:v>24</x:v>
      </x:c>
      <x:c r="AI457" t="n">
        <x:v>8</x:v>
      </x:c>
      <x:c r="AJ457" t="n">
        <x:v>1</x:v>
      </x:c>
      <x:c r="AK457" t="n">
        <x:v>250</x:v>
      </x:c>
      <x:c r="AL457" t="str">
        <x:v>Direkte elektrisk;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1</x:v>
      </x:c>
      <x:c r="AS457" t="n">
        <x:v>1</x:v>
      </x:c>
      <x:c r="AT457" t="n">
        <x:v>0</x:v>
      </x:c>
      <x:c r="AU457" t="str">
        <x:v>energiattester_export_2025-08-14.json | PDF vedlegg side 5-7</x:v>
      </x:c>
      <x:c r="AV457" s="12" t="n">
        <x:f>IF(COUNT(O457,P457,Q457,R457,K457,L457,M457,N457)=8,O457*K457+P457*L457+Q457*M457+R457*N457,"")</x:f>
        <x:v>462.17999999999995</x:v>
      </x:c>
      <x:c r="AW457" s="12" t="n">
        <x:f>IF(AND(ISNUMBER(AV457),H457&gt;0),AV457/H457,"")</x:f>
        <x:v>1.0247893569844788</x:v>
      </x:c>
      <x:c r="AX457" s="12" t="n">
        <x:f>IF(AND(ISNUMBER(AD457),H457&gt;0),AD457*H457*3600,"")</x:f>
        <x:v>105046920</x:v>
      </x:c>
      <x:c r="AY457" s="12" t="n">
        <x:f>IF(AND(ISNUMBER(Y457),H457&gt;0),Y457*H457,"")</x:f>
        <x:v>65395</x:v>
      </x:c>
      <x:c r="AZ457" t="str">
        <x:v>Høy</x:v>
      </x:c>
    </x:row>
    <x:row r="458" ht="22" customHeight="1">
      <x:c r="A458" t="str">
        <x:v>OT-ae04173c1bf5</x:v>
      </x:c>
      <x:c r="B458" t="n">
        <x:v>2015</x:v>
      </x:c>
      <x:c r="C458" t="str">
        <x:v>Hoteller</x:v>
      </x:c>
      <x:c r="D458" t="str">
        <x:v>RESTAURANTBYGNING</x:v>
      </x:c>
      <x:c r="E458" t="str">
        <x:v>G</x:v>
      </x:c>
      <x:c r="F458" t="str">
        <x:v>RED</x:v>
      </x:c>
      <x:c r="G458" t="n">
        <x:v>1952</x:v>
      </x:c>
      <x:c r="H458" t="n">
        <x:v>451</x:v>
      </x:c>
      <x:c r="I458" t="n">
        <x:v>511.4</x:v>
      </x:c>
      <x:c r="J458" t="str">
        <x:v>PDF/avansert</x:v>
      </x:c>
      <x:c r="K458" t="n">
        <x:v>78</x:v>
      </x:c>
      <x:c r="L458" t="n">
        <x:v>402</x:v>
      </x:c>
      <x:c r="M458" t="n">
        <x:v>374</x:v>
      </x:c>
      <x:c r="N458" t="n">
        <x:v>120</x:v>
      </x:c>
      <x:c r="O458" t="n">
        <x:v>1.05</x:v>
      </x:c>
      <x:c r="P458" t="n">
        <x:v>0.44</x:v>
      </x:c>
      <x:c r="Q458" t="n">
        <x:v>0.3</x:v>
      </x:c>
      <x:c r="R458" t="n">
        <x:v>0.76</x:v>
      </x:c>
      <x:c r="S458" t="n">
        <x:v>45</x:v>
      </x:c>
      <x:c r="T458" t="n">
        <x:v>45</x:v>
      </x:c>
      <x:c r="U458" t="n">
        <x:v>4.64</x:v>
      </x:c>
      <x:c r="V458" t="n">
        <x:v>0.36</x:v>
      </x:c>
      <x:c r="W458" t="n">
        <x:v>12.5</x:v>
      </x:c>
      <x:c r="X458" t="n">
        <x:v>89</x:v>
      </x:c>
      <x:c r="Y458" t="n">
        <x:v>145</x:v>
      </x:c>
      <x:c r="Z458" t="n">
        <x:v>55</x:v>
      </x:c>
      <x:c r="AA458" t="n">
        <x:v>21</x:v>
      </x:c>
      <x:c r="AB458" t="n">
        <x:v>22</x:v>
      </x:c>
      <x:c r="AC458" t="n">
        <x:v>4</x:v>
      </x:c>
      <x:c r="AD458" t="n">
        <x:v>64.7</x:v>
      </x:c>
      <x:c r="AE458" t="n">
        <x:v>0.12</x:v>
      </x:c>
      <x:c r="AF458" t="n">
        <x:v>16</x:v>
      </x:c>
      <x:c r="AG458" t="n">
        <x:v>16</x:v>
      </x:c>
      <x:c r="AH458" t="n">
        <x:v>24</x:v>
      </x:c>
      <x:c r="AI458" t="n">
        <x:v>8</x:v>
      </x:c>
      <x:c r="AJ458" t="n">
        <x:v>1</x:v>
      </x:c>
      <x:c r="AK458" t="n">
        <x:v>250</x:v>
      </x:c>
      <x:c r="AL458" t="str">
        <x:v>Direkte elektrisk;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1</x:v>
      </x:c>
      <x:c r="AS458" t="n">
        <x:v>1</x:v>
      </x:c>
      <x:c r="AT458" t="n">
        <x:v>0</x:v>
      </x:c>
      <x:c r="AU458" t="str">
        <x:v>energiattester_export_2025-08-14.json | PDF vedlegg side 5-7</x:v>
      </x:c>
      <x:c r="AV458" s="12" t="n">
        <x:f>IF(COUNT(O458,P458,Q458,R458,K458,L458,M458,N458)=8,O458*K458+P458*L458+Q458*M458+R458*N458,"")</x:f>
        <x:v>462.17999999999995</x:v>
      </x:c>
      <x:c r="AW458" s="12" t="n">
        <x:f>IF(AND(ISNUMBER(AV458),H458&gt;0),AV458/H458,"")</x:f>
        <x:v>1.0247893569844788</x:v>
      </x:c>
      <x:c r="AX458" s="12" t="n">
        <x:f>IF(AND(ISNUMBER(AD458),H458&gt;0),AD458*H458*3600,"")</x:f>
        <x:v>105046920</x:v>
      </x:c>
      <x:c r="AY458" s="12" t="n">
        <x:f>IF(AND(ISNUMBER(Y458),H458&gt;0),Y458*H458,"")</x:f>
        <x:v>65395</x:v>
      </x:c>
      <x:c r="AZ458" t="str">
        <x:v>Høy</x:v>
      </x:c>
    </x:row>
    <x:row r="459" ht="22" customHeight="1">
      <x:c r="A459" t="str">
        <x:v>OT-f08986b5b6d5</x:v>
      </x:c>
      <x:c r="B459" t="n">
        <x:v>2015</x:v>
      </x:c>
      <x:c r="C459" t="str">
        <x:v>Kontorbygg</x:v>
      </x:c>
      <x:c r="D459" t="str">
        <x:v>KONTORER, ENKLE</x:v>
      </x:c>
      <x:c r="E459" t="str">
        <x:v>G</x:v>
      </x:c>
      <x:c r="F459" t="str">
        <x:v>RED</x:v>
      </x:c>
      <x:c r="G459" t="n">
        <x:v>1952</x:v>
      </x:c>
      <x:c r="H459" t="n">
        <x:v>319</x:v>
      </x:c>
      <x:c r="I459" t="n">
        <x:v>375.2</x:v>
      </x:c>
      <x:c r="J459" t="str">
        <x:v>PDF/avansert</x:v>
      </x:c>
      <x:c r="K459" t="n">
        <x:v>197</x:v>
      </x:c>
      <x:c r="L459" t="n">
        <x:v>191</x:v>
      </x:c>
      <x:c r="M459" t="n">
        <x:v>191</x:v>
      </x:c>
      <x:c r="N459" t="n">
        <x:v>36</x:v>
      </x:c>
      <x:c r="O459" t="n">
        <x:v>1.05</x:v>
      </x:c>
      <x:c r="P459" t="n">
        <x:v>0.42</x:v>
      </x:c>
      <x:c r="Q459" t="n">
        <x:v>0.35</x:v>
      </x:c>
      <x:c r="R459" t="n">
        <x:v>0.96</x:v>
      </x:c>
      <x:c r="S459" t="n">
        <x:v>0</x:v>
      </x:c>
      <x:c r="T459" t="n">
        <x:v>0</x:v>
      </x:c>
      <x:c r="U459" t="n">
        <x:v>4.64</x:v>
      </x:c>
      <x:c r="V459" t="n">
        <x:v>0.64</x:v>
      </x:c>
      <x:c r="W459" t="n">
        <x:v>7</x:v>
      </x:c>
      <x:c r="X459" t="n">
        <x:v>89</x:v>
      </x:c>
      <x:c r="Y459" t="n">
        <x:v>150</x:v>
      </x:c>
      <x:c r="Z459" t="n">
        <x:v>0</x:v>
      </x:c>
      <x:c r="AA459" t="n">
        <x:v>21</x:v>
      </x:c>
      <x:c r="AB459" t="n">
        <x:v>22</x:v>
      </x:c>
      <x:c r="AC459" t="n">
        <x:v>4</x:v>
      </x:c>
      <x:c r="AD459" t="n">
        <x:v>50.7</x:v>
      </x:c>
      <x:c r="AE459" t="n">
        <x:v>0.12</x:v>
      </x:c>
      <x:c r="AF459" t="n">
        <x:v>12</x:v>
      </x:c>
      <x:c r="AG459" t="n">
        <x:v>12</x:v>
      </x:c>
      <x:c r="AH459" t="n">
        <x:v>24</x:v>
      </x:c>
      <x:c r="AI459" t="n">
        <x:v>8</x:v>
      </x:c>
      <x:c r="AJ459" t="n">
        <x:v>11</x:v>
      </x:c>
      <x:c r="AK459" t="n">
        <x:v>250</x:v>
      </x:c>
      <x:c r="AL459" t="str">
        <x:v>Direkte elektrisk;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1</x:v>
      </x:c>
      <x:c r="AS459" t="n">
        <x:v>1</x:v>
      </x:c>
      <x:c r="AT459" t="n">
        <x:v>1</x:v>
      </x:c>
      <x:c r="AU459" t="str">
        <x:v>energiattester_export_2025-08-14.json | PDF vedlegg side 5-7</x:v>
      </x:c>
      <x:c r="AV459" s="12" t="n">
        <x:f>IF(COUNT(O459,P459,Q459,R459,K459,L459,M459,N459)=8,O459*K459+P459*L459+Q459*M459+R459*N459,"")</x:f>
        <x:v>388.4800000000001</x:v>
      </x:c>
      <x:c r="AW459" s="12" t="n">
        <x:f>IF(AND(ISNUMBER(AV459),H459&gt;0),AV459/H459,"")</x:f>
        <x:v>1.217805642633229</x:v>
      </x:c>
      <x:c r="AX459" s="12" t="n">
        <x:f>IF(AND(ISNUMBER(AD459),H459&gt;0),AD459*H459*3600,"")</x:f>
        <x:v>58223880.00000001</x:v>
      </x:c>
      <x:c r="AY459" s="12" t="n">
        <x:f>IF(AND(ISNUMBER(Y459),H459&gt;0),Y459*H459,"")</x:f>
        <x:v>47850</x:v>
      </x:c>
      <x:c r="AZ459" t="str">
        <x:v>Høy</x:v>
      </x:c>
    </x:row>
    <x:row r="460" ht="22" customHeight="1">
      <x:c r="A460" t="str">
        <x:v>OT-7b2e83935583</x:v>
      </x:c>
      <x:c r="B460" t="n">
        <x:v>2015</x:v>
      </x:c>
      <x:c r="C460" t="str">
        <x:v>Kontorbygg</x:v>
      </x:c>
      <x:c r="D460" t="str">
        <x:v>KONTORER, ENKLE</x:v>
      </x:c>
      <x:c r="E460" t="str">
        <x:v>D</x:v>
      </x:c>
      <x:c r="F460" t="str">
        <x:v>RED</x:v>
      </x:c>
      <x:c r="G460" t="n">
        <x:v>1979</x:v>
      </x:c>
      <x:c r="H460" t="n">
        <x:v>3616</x:v>
      </x:c>
      <x:c r="I460" t="n">
        <x:v>175.8</x:v>
      </x:c>
      <x:c r="J460" t="str">
        <x:v>PDF/avansert</x:v>
      </x:c>
      <x:c r="K460" t="n">
        <x:v>965</x:v>
      </x:c>
      <x:c r="L460" t="n">
        <x:v>1275</x:v>
      </x:c>
      <x:c r="M460" t="n">
        <x:v>1275</x:v>
      </x:c>
      <x:c r="N460" t="n">
        <x:v>340</x:v>
      </x:c>
      <x:c r="O460" t="n">
        <x:v>0.33</x:v>
      </x:c>
      <x:c r="P460" t="n">
        <x:v>0.25</x:v>
      </x:c>
      <x:c r="Q460" t="n">
        <x:v>0.13</x:v>
      </x:c>
      <x:c r="R460" t="n">
        <x:v>2.4</x:v>
      </x:c>
      <x:c r="S460" t="n">
        <x:v>80</x:v>
      </x:c>
      <x:c r="T460" t="n">
        <x:v>80</x:v>
      </x:c>
      <x:c r="U460" t="n">
        <x:v>2</x:v>
      </x:c>
      <x:c r="V460" t="n">
        <x:v>0.27</x:v>
      </x:c>
      <x:c r="W460" t="n">
        <x:v>10</x:v>
      </x:c>
      <x:c r="X460" t="n">
        <x:v>90</x:v>
      </x:c>
      <x:c r="Y460" t="n">
        <x:v>90</x:v>
      </x:c>
      <x:c r="Z460" t="n">
        <x:v>30</x:v>
      </x:c>
      <x:c r="AA460" t="n">
        <x:v>21</x:v>
      </x:c>
      <x:c r="AB460" t="n">
        <x:v>22</x:v>
      </x:c>
      <x:c r="AC460" t="n">
        <x:v>3.5</x:v>
      </x:c>
      <x:c r="AD460" t="n">
        <x:v>63.2</x:v>
      </x:c>
      <x:c r="AE460" t="n">
        <x:v>0.09</x:v>
      </x:c>
      <x:c r="AF460" t="n">
        <x:v>12</x:v>
      </x:c>
      <x:c r="AG460" t="n">
        <x:v>12</x:v>
      </x:c>
      <x:c r="AH460" t="n">
        <x:v>24</x:v>
      </x:c>
      <x:c r="AI460" t="n">
        <x:v>8</x:v>
      </x:c>
      <x:c r="AJ460" t="n">
        <x:v>11</x:v>
      </x:c>
      <x:c r="AK460" t="n">
        <x:v>250</x:v>
      </x:c>
      <x:c r="AL460" t="str">
        <x:v>Direkte elektrisk;</x:v>
      </x:c>
      <x:c r="AM460" t="n">
        <x:v>0</x:v>
      </x:c>
      <x:c r="AN460" t="n">
        <x:v>0</x:v>
      </x:c>
      <x:c r="AO460" t="n">
        <x:v>0</x:v>
      </x:c>
      <x:c r="AP460" t="n">
        <x:v>1</x:v>
      </x:c>
      <x:c r="AQ460" t="n">
        <x:v>1</x:v>
      </x:c>
      <x:c r="AR460" t="n">
        <x:v>0</x:v>
      </x:c>
      <x:c r="AS460" t="n">
        <x:v>0</x:v>
      </x:c>
      <x:c r="AT460" t="n">
        <x:v>0</x:v>
      </x:c>
      <x:c r="AU460" t="str">
        <x:v>energiattester_export_2025-08-14.json | PDF vedlegg side 5-7</x:v>
      </x:c>
      <x:c r="AV460" s="12" t="n">
        <x:f>IF(COUNT(O460,P460,Q460,R460,K460,L460,M460,N460)=8,O460*K460+P460*L460+Q460*M460+R460*N460,"")</x:f>
        <x:v>1618.95</x:v>
      </x:c>
      <x:c r="AW460" s="12" t="n">
        <x:f>IF(AND(ISNUMBER(AV460),H460&gt;0),AV460/H460,"")</x:f>
        <x:v>0.4477184734513274</x:v>
      </x:c>
      <x:c r="AX460" s="12" t="n">
        <x:f>IF(AND(ISNUMBER(AD460),H460&gt;0),AD460*H460*3600,"")</x:f>
        <x:v>822712320</x:v>
      </x:c>
      <x:c r="AY460" s="12" t="n">
        <x:f>IF(AND(ISNUMBER(Y460),H460&gt;0),Y460*H460,"")</x:f>
        <x:v>325440</x:v>
      </x:c>
      <x:c r="AZ460" t="str">
        <x:v>Høy</x:v>
      </x:c>
    </x:row>
    <x:row r="461" ht="22" customHeight="1">
      <x:c r="A461" t="str">
        <x:v>OT-8a735f4f8a71</x:v>
      </x:c>
      <x:c r="B461" t="n">
        <x:v>2015</x:v>
      </x:c>
      <x:c r="C461" t="str">
        <x:v>Kontorbygg</x:v>
      </x:c>
      <x:c r="D461" t="str">
        <x:v>KONTORER, ENKLE</x:v>
      </x:c>
      <x:c r="E461" t="str">
        <x:v>G</x:v>
      </x:c>
      <x:c r="F461" t="str">
        <x:v>RED</x:v>
      </x:c>
      <x:c r="G461" t="n">
        <x:v>1974</x:v>
      </x:c>
      <x:c r="H461" t="n">
        <x:v>91</x:v>
      </x:c>
      <x:c r="I461" t="n">
        <x:v>337.9</x:v>
      </x:c>
      <x:c r="J461" t="str">
        <x:v>PDF/avansert</x:v>
      </x:c>
      <x:c r="K461" t="n">
        <x:v>62</x:v>
      </x:c>
      <x:c r="L461" t="n">
        <x:v>0</x:v>
      </x:c>
      <x:c r="M461" t="n">
        <x:v>91</x:v>
      </x:c>
      <x:c r="N461" t="n">
        <x:v>17</x:v>
      </x:c>
      <x:c r="O461" t="n">
        <x:v>0.33</x:v>
      </x:c>
      <x:c r="P461" t="n">
        <x:v>0</x:v>
      </x:c>
      <x:c r="Q461" t="n">
        <x:v>1.05</x:v>
      </x:c>
      <x:c r="R461" t="n">
        <x:v>1.2</x:v>
      </x:c>
      <x:c r="S461" t="n">
        <x:v>0</x:v>
      </x:c>
      <x:c r="T461" t="n">
        <x:v>0</x:v>
      </x:c>
      <x:c r="U461" t="n">
        <x:v>2</x:v>
      </x:c>
      <x:c r="V461" t="n">
        <x:v>0.25</x:v>
      </x:c>
      <x:c r="W461" t="n">
        <x:v>7</x:v>
      </x:c>
      <x:c r="X461" t="n">
        <x:v>90</x:v>
      </x:c>
      <x:c r="Y461" t="n">
        <x:v>50</x:v>
      </x:c>
      <x:c r="Z461" t="n">
        <x:v>0</x:v>
      </x:c>
      <x:c r="AA461" t="n">
        <x:v>21</x:v>
      </x:c>
      <x:c r="AB461" t="n">
        <x:v>22</x:v>
      </x:c>
      <x:c r="AC461" t="n">
        <x:v>2.5</x:v>
      </x:c>
      <x:c r="AD461" t="n">
        <x:v>185.6</x:v>
      </x:c>
      <x:c r="AE461" t="n">
        <x:v>0.12</x:v>
      </x:c>
      <x:c r="AF461" t="n">
        <x:v>12</x:v>
      </x:c>
      <x:c r="AG461" t="n">
        <x:v>12</x:v>
      </x:c>
      <x:c r="AH461" t="n">
        <x:v>24</x:v>
      </x:c>
      <x:c r="AI461" t="n">
        <x:v>8</x:v>
      </x:c>
      <x:c r="AJ461" t="n">
        <x:v>11</x:v>
      </x:c>
      <x:c r="AK461" t="n">
        <x:v>250</x:v>
      </x:c>
      <x:c r="AL461" t="str">
        <x:v>Direkte elektrisk;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1</x:v>
      </x:c>
      <x:c r="AS461" t="n">
        <x:v>0</x:v>
      </x:c>
      <x:c r="AT461" t="n">
        <x:v>1</x:v>
      </x:c>
      <x:c r="AU461" t="str">
        <x:v>energiattester_export_2025-08-14.json | PDF vedlegg side 5-7</x:v>
      </x:c>
      <x:c r="AV461" s="12" t="n">
        <x:f>IF(COUNT(O461,P461,Q461,R461,K461,L461,M461,N461)=8,O461*K461+P461*L461+Q461*M461+R461*N461,"")</x:f>
        <x:v>136.41</x:v>
      </x:c>
      <x:c r="AW461" s="12" t="n">
        <x:f>IF(AND(ISNUMBER(AV461),H461&gt;0),AV461/H461,"")</x:f>
        <x:v>1.499010989010989</x:v>
      </x:c>
      <x:c r="AX461" s="12" t="n">
        <x:f>IF(AND(ISNUMBER(AD461),H461&gt;0),AD461*H461*3600,"")</x:f>
        <x:v>60802559.99999999</x:v>
      </x:c>
      <x:c r="AY461" s="12" t="n">
        <x:f>IF(AND(ISNUMBER(Y461),H461&gt;0),Y461*H461,"")</x:f>
        <x:v>4550</x:v>
      </x:c>
      <x:c r="AZ461" t="str">
        <x:v>Høy</x:v>
      </x:c>
    </x:row>
    <x:row r="462" ht="22" customHeight="1">
      <x:c r="A462" t="str">
        <x:v>OT-36c9c0206489</x:v>
      </x:c>
      <x:c r="B462" t="n">
        <x:v>2015</x:v>
      </x:c>
      <x:c r="C462" t="str">
        <x:v>Kontorbygg</x:v>
      </x:c>
      <x:c r="D462" t="str">
        <x:v>KONTORER, MED VENTILASJON OG KJØLEANLEGG</x:v>
      </x:c>
      <x:c r="E462" t="str">
        <x:v>F</x:v>
      </x:c>
      <x:c r="F462" t="str">
        <x:v>RED</x:v>
      </x:c>
      <x:c r="G462" t="n">
        <x:v>1987</x:v>
      </x:c>
      <x:c r="H462" t="n">
        <x:v>884</x:v>
      </x:c>
      <x:c r="I462" t="n">
        <x:v>221</x:v>
      </x:c>
      <x:c r="J462" t="str">
        <x:v>PDF/avansert</x:v>
      </x:c>
      <x:c r="K462" t="n">
        <x:v>541</x:v>
      </x:c>
      <x:c r="L462" t="n">
        <x:v>442</x:v>
      </x:c>
      <x:c r="M462" t="n">
        <x:v>442</x:v>
      </x:c>
      <x:c r="N462" t="n">
        <x:v>136</x:v>
      </x:c>
      <x:c r="O462" t="n">
        <x:v>0.3</x:v>
      </x:c>
      <x:c r="P462" t="n">
        <x:v>0.19</x:v>
      </x:c>
      <x:c r="Q462" t="n">
        <x:v>0.27</x:v>
      </x:c>
      <x:c r="R462" t="n">
        <x:v>2.34</x:v>
      </x:c>
      <x:c r="S462" t="n">
        <x:v>79</x:v>
      </x:c>
      <x:c r="T462" t="n">
        <x:v>79</x:v>
      </x:c>
      <x:c r="U462" t="n">
        <x:v>2.1</x:v>
      </x:c>
      <x:c r="V462" t="n">
        <x:v>0.53</x:v>
      </x:c>
      <x:c r="W462" t="n">
        <x:v>12.1</x:v>
      </x:c>
      <x:c r="X462" t="n">
        <x:v>98</x:v>
      </x:c>
      <x:c r="Y462" t="n">
        <x:v>82</x:v>
      </x:c>
      <x:c r="Z462" t="n">
        <x:v>30</x:v>
      </x:c>
      <x:c r="AA462" t="n">
        <x:v>21</x:v>
      </x:c>
      <x:c r="AB462" t="n">
        <x:v>22</x:v>
      </x:c>
      <x:c r="AC462" t="n">
        <x:v>5</x:v>
      </x:c>
      <x:c r="AD462" t="n">
        <x:v>22</x:v>
      </x:c>
      <x:c r="AE462" t="n">
        <x:v>0.05</x:v>
      </x:c>
      <x:c r="AF462" t="n">
        <x:v>12</x:v>
      </x:c>
      <x:c r="AG462" t="n">
        <x:v>12</x:v>
      </x:c>
      <x:c r="AH462" t="n">
        <x:v>24</x:v>
      </x:c>
      <x:c r="AI462" t="n">
        <x:v>8</x:v>
      </x:c>
      <x:c r="AJ462" t="n">
        <x:v>11</x:v>
      </x:c>
      <x:c r="AK462" t="n">
        <x:v>250</x:v>
      </x:c>
      <x:c r="AL462" t="str">
        <x:v>Direkte elektrisk;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1</x:v>
      </x:c>
      <x:c r="AS462" t="n">
        <x:v>1</x:v>
      </x:c>
      <x:c r="AT462" t="n">
        <x:v>1</x:v>
      </x:c>
      <x:c r="AU462" t="str">
        <x:v>energiattester_export_2025-08-14.json | PDF vedlegg side 5-7</x:v>
      </x:c>
      <x:c r="AV462" s="12" t="n">
        <x:f>IF(COUNT(O462,P462,Q462,R462,K462,L462,M462,N462)=8,O462*K462+P462*L462+Q462*M462+R462*N462,"")</x:f>
        <x:v>683.86</x:v>
      </x:c>
      <x:c r="AW462" s="12" t="n">
        <x:f>IF(AND(ISNUMBER(AV462),H462&gt;0),AV462/H462,"")</x:f>
        <x:v>0.7735972850678733</x:v>
      </x:c>
      <x:c r="AX462" s="12" t="n">
        <x:f>IF(AND(ISNUMBER(AD462),H462&gt;0),AD462*H462*3600,"")</x:f>
        <x:v>70012800</x:v>
      </x:c>
      <x:c r="AY462" s="12" t="n">
        <x:f>IF(AND(ISNUMBER(Y462),H462&gt;0),Y462*H462,"")</x:f>
        <x:v>72488</x:v>
      </x:c>
      <x:c r="AZ462" t="str">
        <x:v>Høy</x:v>
      </x:c>
    </x:row>
    <x:row r="463" ht="22" customHeight="1">
      <x:c r="A463" t="str">
        <x:v>OT-9db448c9e84e</x:v>
      </x:c>
      <x:c r="B463" t="n">
        <x:v>2015</x:v>
      </x:c>
      <x:c r="C463" t="str">
        <x:v>Kontorbygg</x:v>
      </x:c>
      <x:c r="D463" t="str">
        <x:v>KONTORER, MED VENTILASJON OG KJØLEANLEGG</x:v>
      </x:c>
      <x:c r="E463" t="str">
        <x:v>D</x:v>
      </x:c>
      <x:c r="F463" t="str">
        <x:v>RED</x:v>
      </x:c>
      <x:c r="G463" t="n">
        <x:v>2005</x:v>
      </x:c>
      <x:c r="H463" t="n">
        <x:v>298</x:v>
      </x:c>
      <x:c r="I463" t="n">
        <x:v>156</x:v>
      </x:c>
      <x:c r="J463" t="str">
        <x:v>PDF/avansert</x:v>
      </x:c>
      <x:c r="K463" t="n">
        <x:v>262</x:v>
      </x:c>
      <x:c r="L463" t="n">
        <x:v>207</x:v>
      </x:c>
      <x:c r="M463" t="n">
        <x:v>207</x:v>
      </x:c>
      <x:c r="N463" t="n">
        <x:v>41</x:v>
      </x:c>
      <x:c r="O463" t="n">
        <x:v>0.16</x:v>
      </x:c>
      <x:c r="P463" t="n">
        <x:v>0.14</x:v>
      </x:c>
      <x:c r="Q463" t="n">
        <x:v>0.12</x:v>
      </x:c>
      <x:c r="R463" t="n">
        <x:v>1.6</x:v>
      </x:c>
      <x:c r="S463" t="n">
        <x:v>70</x:v>
      </x:c>
      <x:c r="T463" t="n">
        <x:v>70</x:v>
      </x:c>
      <x:c r="U463" t="n">
        <x:v>1.6</x:v>
      </x:c>
      <x:c r="V463" t="n">
        <x:v>0.17</x:v>
      </x:c>
      <x:c r="W463" t="n">
        <x:v>8.7</x:v>
      </x:c>
      <x:c r="X463" t="n">
        <x:v>98</x:v>
      </x:c>
      <x:c r="Y463" t="n">
        <x:v>59</x:v>
      </x:c>
      <x:c r="Z463" t="n">
        <x:v>6</x:v>
      </x:c>
      <x:c r="AA463" t="n">
        <x:v>21</x:v>
      </x:c>
      <x:c r="AB463" t="n">
        <x:v>22</x:v>
      </x:c>
      <x:c r="AC463" t="n">
        <x:v>3.5</x:v>
      </x:c>
      <x:c r="AD463" t="n">
        <x:v>63.6</x:v>
      </x:c>
      <x:c r="AE463" t="n">
        <x:v>0.04</x:v>
      </x:c>
      <x:c r="AF463" t="n">
        <x:v>12</x:v>
      </x:c>
      <x:c r="AG463" t="n">
        <x:v>12</x:v>
      </x:c>
      <x:c r="AH463" t="n">
        <x:v>24</x:v>
      </x:c>
      <x:c r="AI463" t="n">
        <x:v>8</x:v>
      </x:c>
      <x:c r="AJ463" t="n">
        <x:v>11</x:v>
      </x:c>
      <x:c r="AK463" t="n">
        <x:v>250</x:v>
      </x:c>
      <x:c r="AL463" t="str">
        <x:v>Direkte elektrisk;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1</x:v>
      </x:c>
      <x:c r="AS463" t="n">
        <x:v>1</x:v>
      </x:c>
      <x:c r="AT463" t="n">
        <x:v>1</x:v>
      </x:c>
      <x:c r="AU463" t="str">
        <x:v>energiattester_export_2025-08-14.json | PDF vedlegg side 5-7</x:v>
      </x:c>
      <x:c r="AV463" s="12" t="n">
        <x:f>IF(COUNT(O463,P463,Q463,R463,K463,L463,M463,N463)=8,O463*K463+P463*L463+Q463*M463+R463*N463,"")</x:f>
        <x:v>161.34000000000003</x:v>
      </x:c>
      <x:c r="AW463" s="12" t="n">
        <x:f>IF(AND(ISNUMBER(AV463),H463&gt;0),AV463/H463,"")</x:f>
        <x:v>0.5414093959731545</x:v>
      </x:c>
      <x:c r="AX463" s="12" t="n">
        <x:f>IF(AND(ISNUMBER(AD463),H463&gt;0),AD463*H463*3600,"")</x:f>
        <x:v>68230080</x:v>
      </x:c>
      <x:c r="AY463" s="12" t="n">
        <x:f>IF(AND(ISNUMBER(Y463),H463&gt;0),Y463*H463,"")</x:f>
        <x:v>17582</x:v>
      </x:c>
      <x:c r="AZ463" t="str">
        <x:v>Høy</x:v>
      </x:c>
    </x:row>
    <x:row r="464" ht="22" customHeight="1">
      <x:c r="A464" t="str">
        <x:v>OT-44414e561904</x:v>
      </x:c>
      <x:c r="B464" t="n">
        <x:v>2015</x:v>
      </x:c>
      <x:c r="C464" t="str">
        <x:v>Kontorbygg</x:v>
      </x:c>
      <x:c r="D464" t="str">
        <x:v>KONTORER, MED VENTILASJON OG KJØLEANLEGG</x:v>
      </x:c>
      <x:c r="E464" t="str">
        <x:v>D</x:v>
      </x:c>
      <x:c r="F464" t="str">
        <x:v>RED</x:v>
      </x:c>
      <x:c r="G464" t="n">
        <x:v>2005</x:v>
      </x:c>
      <x:c r="H464" t="n">
        <x:v>7046</x:v>
      </x:c>
      <x:c r="I464" t="n">
        <x:v>149</x:v>
      </x:c>
      <x:c r="J464" t="str">
        <x:v>PDF/avansert</x:v>
      </x:c>
      <x:c r="K464" t="n">
        <x:v>349</x:v>
      </x:c>
      <x:c r="L464" t="n">
        <x:v>115</x:v>
      </x:c>
      <x:c r="M464" t="n">
        <x:v>305</x:v>
      </x:c>
      <x:c r="N464" t="n">
        <x:v>41</x:v>
      </x:c>
      <x:c r="O464" t="n">
        <x:v>0.16</x:v>
      </x:c>
      <x:c r="P464" t="n">
        <x:v>0.15</x:v>
      </x:c>
      <x:c r="Q464" t="n">
        <x:v>0.11</x:v>
      </x:c>
      <x:c r="R464" t="n">
        <x:v>1.6</x:v>
      </x:c>
      <x:c r="S464" t="n">
        <x:v>70</x:v>
      </x:c>
      <x:c r="T464" t="n">
        <x:v>70</x:v>
      </x:c>
      <x:c r="U464" t="n">
        <x:v>2.08</x:v>
      </x:c>
      <x:c r="V464" t="n">
        <x:v>0.19</x:v>
      </x:c>
      <x:c r="W464" t="n">
        <x:v>10</x:v>
      </x:c>
      <x:c r="X464" t="n">
        <x:v>98</x:v>
      </x:c>
      <x:c r="Y464" t="n">
        <x:v>59</x:v>
      </x:c>
      <x:c r="Z464" t="n">
        <x:v>6</x:v>
      </x:c>
      <x:c r="AA464" t="n">
        <x:v>21</x:v>
      </x:c>
      <x:c r="AB464" t="n">
        <x:v>22</x:v>
      </x:c>
      <x:c r="AC464" t="n">
        <x:v>3.5</x:v>
      </x:c>
      <x:c r="AD464" t="n">
        <x:v>80</x:v>
      </x:c>
      <x:c r="AE464" t="n">
        <x:v>0.04</x:v>
      </x:c>
      <x:c r="AF464" t="n">
        <x:v>12</x:v>
      </x:c>
      <x:c r="AG464" t="n">
        <x:v>12</x:v>
      </x:c>
      <x:c r="AH464" t="n">
        <x:v>24</x:v>
      </x:c>
      <x:c r="AI464" t="n">
        <x:v>8</x:v>
      </x:c>
      <x:c r="AJ464" t="n">
        <x:v>11</x:v>
      </x:c>
      <x:c r="AK464" t="n">
        <x:v>250</x:v>
      </x:c>
      <x:c r="AL464" t="str">
        <x:v>Direkte elektrisk;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1</x:v>
      </x:c>
      <x:c r="AS464" t="n">
        <x:v>1</x:v>
      </x:c>
      <x:c r="AT464" t="n">
        <x:v>1</x:v>
      </x:c>
      <x:c r="AU464" t="str">
        <x:v>energiattester_export_2025-08-14.json | PDF vedlegg side 5-7</x:v>
      </x:c>
      <x:c r="AV464" s="12" t="n">
        <x:f>IF(COUNT(O464,P464,Q464,R464,K464,L464,M464,N464)=8,O464*K464+P464*L464+Q464*M464+R464*N464,"")</x:f>
        <x:v>172.24</x:v>
      </x:c>
      <x:c r="AW464" s="12" t="n">
        <x:f>IF(AND(ISNUMBER(AV464),H464&gt;0),AV464/H464,"")</x:f>
        <x:v>0.02444507521998297</x:v>
      </x:c>
      <x:c r="AX464" s="12" t="n">
        <x:f>IF(AND(ISNUMBER(AD464),H464&gt;0),AD464*H464*3600,"")</x:f>
        <x:v>2029248000</x:v>
      </x:c>
      <x:c r="AY464" s="12" t="n">
        <x:f>IF(AND(ISNUMBER(Y464),H464&gt;0),Y464*H464,"")</x:f>
        <x:v>415714</x:v>
      </x:c>
      <x:c r="AZ464" t="str">
        <x:v>Høy</x:v>
      </x:c>
    </x:row>
    <x:row r="465" ht="22" customHeight="1">
      <x:c r="A465" t="str">
        <x:v>OT-51723877f024</x:v>
      </x:c>
      <x:c r="B465" t="n">
        <x:v>2015</x:v>
      </x:c>
      <x:c r="C465" t="str">
        <x:v>Kontorbygg</x:v>
      </x:c>
      <x:c r="D465" t="str">
        <x:v>KONTORER, MED VENTILASJON OG KJØLEANLEGG</x:v>
      </x:c>
      <x:c r="E465" t="str">
        <x:v>F</x:v>
      </x:c>
      <x:c r="F465" t="str">
        <x:v>RED</x:v>
      </x:c>
      <x:c r="G465" t="n">
        <x:v>1990</x:v>
      </x:c>
      <x:c r="H465" t="n">
        <x:v>4447</x:v>
      </x:c>
      <x:c r="I465" t="n">
        <x:v>248</x:v>
      </x:c>
      <x:c r="J465" t="str">
        <x:v>PDF/avansert</x:v>
      </x:c>
      <x:c r="K465" t="n">
        <x:v>321</x:v>
      </x:c>
      <x:c r="L465" t="n">
        <x:v>287</x:v>
      </x:c>
      <x:c r="M465" t="n">
        <x:v>287</x:v>
      </x:c>
      <x:c r="N465" t="n">
        <x:v>67</x:v>
      </x:c>
      <x:c r="O465" t="n">
        <x:v>0.26</x:v>
      </x:c>
      <x:c r="P465" t="n">
        <x:v>0.2</x:v>
      </x:c>
      <x:c r="Q465" t="n">
        <x:v>0.23</x:v>
      </x:c>
      <x:c r="R465" t="n">
        <x:v>2.34</x:v>
      </x:c>
      <x:c r="S465" t="n">
        <x:v>65</x:v>
      </x:c>
      <x:c r="T465" t="n">
        <x:v>65</x:v>
      </x:c>
      <x:c r="U465" t="n">
        <x:v>7.74</x:v>
      </x:c>
      <x:c r="V465" t="n">
        <x:v>0.98</x:v>
      </x:c>
      <x:c r="W465" t="n">
        <x:v>7</x:v>
      </x:c>
      <x:c r="X465" t="n">
        <x:v>98</x:v>
      </x:c>
      <x:c r="Y465" t="n">
        <x:v>82</x:v>
      </x:c>
      <x:c r="Z465" t="n">
        <x:v>52</x:v>
      </x:c>
      <x:c r="AA465" t="n">
        <x:v>21</x:v>
      </x:c>
      <x:c r="AB465" t="n">
        <x:v>22</x:v>
      </x:c>
      <x:c r="AC465" t="n">
        <x:v>5</x:v>
      </x:c>
      <x:c r="AD465" t="n">
        <x:v>128</x:v>
      </x:c>
      <x:c r="AE465" t="n">
        <x:v>0.12</x:v>
      </x:c>
      <x:c r="AF465" t="n">
        <x:v>12</x:v>
      </x:c>
      <x:c r="AG465" t="n">
        <x:v>12</x:v>
      </x:c>
      <x:c r="AH465" t="n">
        <x:v>24</x:v>
      </x:c>
      <x:c r="AI465" t="n">
        <x:v>8</x:v>
      </x:c>
      <x:c r="AJ465" t="n">
        <x:v>11</x:v>
      </x:c>
      <x:c r="AK465" t="n">
        <x:v>250</x:v>
      </x:c>
      <x:c r="AL465" t="str">
        <x:v>Direkte elektrisk;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1</x:v>
      </x:c>
      <x:c r="AS465" t="n">
        <x:v>1</x:v>
      </x:c>
      <x:c r="AT465" t="n">
        <x:v>1</x:v>
      </x:c>
      <x:c r="AU465" t="str">
        <x:v>energiattester_export_2025-08-14.json | PDF vedlegg side 5-7</x:v>
      </x:c>
      <x:c r="AV465" s="12" t="n">
        <x:f>IF(COUNT(O465,P465,Q465,R465,K465,L465,M465,N465)=8,O465*K465+P465*L465+Q465*M465+R465*N465,"")</x:f>
        <x:v>363.65</x:v>
      </x:c>
      <x:c r="AW465" s="12" t="n">
        <x:f>IF(AND(ISNUMBER(AV465),H465&gt;0),AV465/H465,"")</x:f>
        <x:v>0.08177422981785473</x:v>
      </x:c>
      <x:c r="AX465" s="12" t="n">
        <x:f>IF(AND(ISNUMBER(AD465),H465&gt;0),AD465*H465*3600,"")</x:f>
        <x:v>2049177600</x:v>
      </x:c>
      <x:c r="AY465" s="12" t="n">
        <x:f>IF(AND(ISNUMBER(Y465),H465&gt;0),Y465*H465,"")</x:f>
        <x:v>364654</x:v>
      </x:c>
      <x:c r="AZ465" t="str">
        <x:v>Høy</x:v>
      </x:c>
    </x:row>
    <x:row r="466" ht="22" customHeight="1">
      <x:c r="A466" t="str">
        <x:v>OT-bb037a0899cf</x:v>
      </x:c>
      <x:c r="B466" t="n">
        <x:v>2015</x:v>
      </x:c>
      <x:c r="C466" t="str">
        <x:v>Kontorbygg</x:v>
      </x:c>
      <x:c r="D466" t="str">
        <x:v>KONTORER, ENKLE</x:v>
      </x:c>
      <x:c r="E466" t="str">
        <x:v>F</x:v>
      </x:c>
      <x:c r="F466" t="str">
        <x:v>RED</x:v>
      </x:c>
      <x:c r="G466" t="n">
        <x:v>1968</x:v>
      </x:c>
      <x:c r="H466" t="n">
        <x:v>21062</x:v>
      </x:c>
      <x:c r="I466" t="n">
        <x:v>235</x:v>
      </x:c>
      <x:c r="J466" t="str">
        <x:v>PDF/avansert</x:v>
      </x:c>
      <x:c r="K466" t="n">
        <x:v>252</x:v>
      </x:c>
      <x:c r="L466" t="n">
        <x:v>517</x:v>
      </x:c>
      <x:c r="M466" t="n">
        <x:v>0</x:v>
      </x:c>
      <x:c r="N466" t="n">
        <x:v>49</x:v>
      </x:c>
      <x:c r="O466" t="n">
        <x:v>0.31</x:v>
      </x:c>
      <x:c r="P466" t="n">
        <x:v>0.32</x:v>
      </x:c>
      <x:c r="Q466" t="n">
        <x:v>0</x:v>
      </x:c>
      <x:c r="R466" t="n">
        <x:v>1.6</x:v>
      </x:c>
      <x:c r="S466" t="n">
        <x:v>76</x:v>
      </x:c>
      <x:c r="T466" t="n">
        <x:v>76</x:v>
      </x:c>
      <x:c r="U466" t="n">
        <x:v>4.1</x:v>
      </x:c>
      <x:c r="V466" t="n">
        <x:v>0.36</x:v>
      </x:c>
      <x:c r="W466" t="n">
        <x:v>10.7</x:v>
      </x:c>
      <x:c r="X466" t="n">
        <x:v>98</x:v>
      </x:c>
      <x:c r="Y466" t="n">
        <x:v>97</x:v>
      </x:c>
      <x:c r="Z466" t="n">
        <x:v>46</x:v>
      </x:c>
      <x:c r="AA466" t="n">
        <x:v>21</x:v>
      </x:c>
      <x:c r="AB466" t="n">
        <x:v>22</x:v>
      </x:c>
      <x:c r="AC466" t="n">
        <x:v>7</x:v>
      </x:c>
      <x:c r="AD466" t="n">
        <x:v>144.8</x:v>
      </x:c>
      <x:c r="AE466" t="n">
        <x:v>0.08</x:v>
      </x:c>
      <x:c r="AF466" t="n">
        <x:v>12</x:v>
      </x:c>
      <x:c r="AG466" t="n">
        <x:v>12</x:v>
      </x:c>
      <x:c r="AH466" t="n">
        <x:v>24</x:v>
      </x:c>
      <x:c r="AI466" t="n">
        <x:v>8</x:v>
      </x:c>
      <x:c r="AJ466" t="n">
        <x:v>11</x:v>
      </x:c>
      <x:c r="AK466" t="n">
        <x:v>250</x:v>
      </x:c>
      <x:c r="AL466" t="str">
        <x:v>Direkte elektrisk;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1</x:v>
      </x:c>
      <x:c r="AS466" t="n">
        <x:v>1</x:v>
      </x:c>
      <x:c r="AT466" t="n">
        <x:v>1</x:v>
      </x:c>
      <x:c r="AU466" t="str">
        <x:v>energiattester_export_2025-08-14.json | PDF vedlegg side 5-7</x:v>
      </x:c>
      <x:c r="AV466" s="12" t="n">
        <x:f>IF(COUNT(O466,P466,Q466,R466,K466,L466,M466,N466)=8,O466*K466+P466*L466+Q466*M466+R466*N466,"")</x:f>
        <x:v>321.96000000000004</x:v>
      </x:c>
      <x:c r="AW466" s="12" t="n">
        <x:f>IF(AND(ISNUMBER(AV466),H466&gt;0),AV466/H466,"")</x:f>
        <x:v>0.015286297597569084</x:v>
      </x:c>
      <x:c r="AX466" s="12" t="n">
        <x:f>IF(AND(ISNUMBER(AD466),H466&gt;0),AD466*H466*3600,"")</x:f>
        <x:v>10979199360</x:v>
      </x:c>
      <x:c r="AY466" s="12" t="n">
        <x:f>IF(AND(ISNUMBER(Y466),H466&gt;0),Y466*H466,"")</x:f>
        <x:v>2043014</x:v>
      </x:c>
      <x:c r="AZ466" t="str">
        <x:v>Høy</x:v>
      </x:c>
    </x:row>
    <x:row r="467" ht="22" customHeight="1">
      <x:c r="A467" t="str">
        <x:v>OT-03379d5c3dc3</x:v>
      </x:c>
      <x:c r="B467" t="n">
        <x:v>2015</x:v>
      </x:c>
      <x:c r="C467" t="str">
        <x:v>Kontorbygg</x:v>
      </x:c>
      <x:c r="D467" t="str">
        <x:v>KONTORER, MED VENTILASJON OG KJØLEANLEGG</x:v>
      </x:c>
      <x:c r="E467" t="str">
        <x:v>F</x:v>
      </x:c>
      <x:c r="F467" t="str">
        <x:v>RED</x:v>
      </x:c>
      <x:c r="G467" t="n">
        <x:v>1999</x:v>
      </x:c>
      <x:c r="H467" t="n">
        <x:v>392</x:v>
      </x:c>
      <x:c r="I467" t="n">
        <x:v>230</x:v>
      </x:c>
      <x:c r="J467" t="str">
        <x:v>PDF/avansert</x:v>
      </x:c>
      <x:c r="K467" t="n">
        <x:v>256</x:v>
      </x:c>
      <x:c r="L467" t="n">
        <x:v>216</x:v>
      </x:c>
      <x:c r="M467" t="n">
        <x:v>176</x:v>
      </x:c>
      <x:c r="N467" t="n">
        <x:v>47</x:v>
      </x:c>
      <x:c r="O467" t="n">
        <x:v>0.2</x:v>
      </x:c>
      <x:c r="P467" t="n">
        <x:v>0.3</x:v>
      </x:c>
      <x:c r="Q467" t="n">
        <x:v>0.17</x:v>
      </x:c>
      <x:c r="R467" t="n">
        <x:v>1.55</x:v>
      </x:c>
      <x:c r="S467" t="n">
        <x:v>63</x:v>
      </x:c>
      <x:c r="T467" t="n">
        <x:v>63</x:v>
      </x:c>
      <x:c r="U467" t="n">
        <x:v>5.41</x:v>
      </x:c>
      <x:c r="V467" t="n">
        <x:v>1.25</x:v>
      </x:c>
      <x:c r="W467" t="n">
        <x:v>8</x:v>
      </x:c>
      <x:c r="X467" t="n">
        <x:v>98</x:v>
      </x:c>
      <x:c r="Y467" t="n">
        <x:v>232</x:v>
      </x:c>
      <x:c r="Z467" t="n">
        <x:v>73</x:v>
      </x:c>
      <x:c r="AA467" t="n">
        <x:v>21</x:v>
      </x:c>
      <x:c r="AB467" t="n">
        <x:v>22</x:v>
      </x:c>
      <x:c r="AC467" t="n">
        <x:v>3.5</x:v>
      </x:c>
      <x:c r="AD467" t="n">
        <x:v>127.4</x:v>
      </x:c>
      <x:c r="AE467" t="n">
        <x:v>0.12</x:v>
      </x:c>
      <x:c r="AF467" t="n">
        <x:v>12</x:v>
      </x:c>
      <x:c r="AG467" t="n">
        <x:v>12</x:v>
      </x:c>
      <x:c r="AH467" t="n">
        <x:v>24</x:v>
      </x:c>
      <x:c r="AI467" t="n">
        <x:v>8</x:v>
      </x:c>
      <x:c r="AJ467" t="n">
        <x:v>11</x:v>
      </x:c>
      <x:c r="AK467" t="n">
        <x:v>250</x:v>
      </x:c>
      <x:c r="AL467" t="str">
        <x:v>Direkte elektrisk;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1</x:v>
      </x:c>
      <x:c r="AS467" t="n">
        <x:v>1</x:v>
      </x:c>
      <x:c r="AT467" t="n">
        <x:v>1</x:v>
      </x:c>
      <x:c r="AU467" t="str">
        <x:v>energiattester_export_2025-08-14.json | PDF vedlegg side 5-7</x:v>
      </x:c>
      <x:c r="AV467" s="12" t="n">
        <x:f>IF(COUNT(O467,P467,Q467,R467,K467,L467,M467,N467)=8,O467*K467+P467*L467+Q467*M467+R467*N467,"")</x:f>
        <x:v>218.77000000000004</x:v>
      </x:c>
      <x:c r="AW467" s="12" t="n">
        <x:f>IF(AND(ISNUMBER(AV467),H467&gt;0),AV467/H467,"")</x:f>
        <x:v>0.5580867346938776</x:v>
      </x:c>
      <x:c r="AX467" s="12" t="n">
        <x:f>IF(AND(ISNUMBER(AD467),H467&gt;0),AD467*H467*3600,"")</x:f>
        <x:v>179786880</x:v>
      </x:c>
      <x:c r="AY467" s="12" t="n">
        <x:f>IF(AND(ISNUMBER(Y467),H467&gt;0),Y467*H467,"")</x:f>
        <x:v>90944</x:v>
      </x:c>
      <x:c r="AZ467" t="str">
        <x:v>Høy</x:v>
      </x:c>
    </x:row>
    <x:row r="468" ht="22" customHeight="1">
      <x:c r="A468" t="str">
        <x:v>OT-20ba423f92fd</x:v>
      </x:c>
      <x:c r="B468" t="n">
        <x:v>2015</x:v>
      </x:c>
      <x:c r="C468" t="str">
        <x:v>Kontorbygg</x:v>
      </x:c>
      <x:c r="D468" t="str">
        <x:v>KONTORER, MED VENTILASJON OG KJØLEANLEGG</x:v>
      </x:c>
      <x:c r="E468" t="str">
        <x:v>F</x:v>
      </x:c>
      <x:c r="F468" t="str">
        <x:v>ORANGE</x:v>
      </x:c>
      <x:c r="G468" t="n">
        <x:v>1989</x:v>
      </x:c>
      <x:c r="H468" t="n">
        <x:v>360</x:v>
      </x:c>
      <x:c r="I468" t="n">
        <x:v>247</x:v>
      </x:c>
      <x:c r="J468" t="str">
        <x:v>PDF/avansert</x:v>
      </x:c>
      <x:c r="K468" t="n">
        <x:v>232</x:v>
      </x:c>
      <x:c r="L468" t="n">
        <x:v>158</x:v>
      </x:c>
      <x:c r="M468" t="n">
        <x:v>165</x:v>
      </x:c>
      <x:c r="N468" t="n">
        <x:v>84</x:v>
      </x:c>
      <x:c r="O468" t="n">
        <x:v>0.3</x:v>
      </x:c>
      <x:c r="P468" t="n">
        <x:v>0.16</x:v>
      </x:c>
      <x:c r="Q468" t="n">
        <x:v>0.16</x:v>
      </x:c>
      <x:c r="R468" t="n">
        <x:v>2.37</x:v>
      </x:c>
      <x:c r="S468" t="n">
        <x:v>15</x:v>
      </x:c>
      <x:c r="T468" t="n">
        <x:v>15</x:v>
      </x:c>
      <x:c r="U468" t="n">
        <x:v>2.72</x:v>
      </x:c>
      <x:c r="V468" t="n">
        <x:v>0.24</x:v>
      </x:c>
      <x:c r="W468" t="n">
        <x:v>7.8</x:v>
      </x:c>
      <x:c r="X468" t="n">
        <x:v>146</x:v>
      </x:c>
      <x:c r="Y468" t="n">
        <x:v>164</x:v>
      </x:c>
      <x:c r="Z468" t="n">
        <x:v>58</x:v>
      </x:c>
      <x:c r="AA468" t="n">
        <x:v>21</x:v>
      </x:c>
      <x:c r="AB468" t="n">
        <x:v>22</x:v>
      </x:c>
      <x:c r="AC468" t="n">
        <x:v>4</x:v>
      </x:c>
      <x:c r="AD468" t="n">
        <x:v>21.3</x:v>
      </x:c>
      <x:c r="AE468" t="n">
        <x:v>0.05</x:v>
      </x:c>
      <x:c r="AF468" t="n">
        <x:v>12</x:v>
      </x:c>
      <x:c r="AG468" t="n">
        <x:v>12</x:v>
      </x:c>
      <x:c r="AH468" t="n">
        <x:v>24</x:v>
      </x:c>
      <x:c r="AI468" t="n">
        <x:v>8</x:v>
      </x:c>
      <x:c r="AJ468" t="n">
        <x:v>11</x:v>
      </x:c>
      <x:c r="AK468" t="n">
        <x:v>250</x:v>
      </x:c>
      <x:c r="AL468" t="str">
        <x:v>Direkte elektrisk; Varmepumpe;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1</x:v>
      </x:c>
      <x:c r="AS468" t="n">
        <x:v>1</x:v>
      </x:c>
      <x:c r="AT468" t="n">
        <x:v>1</x:v>
      </x:c>
      <x:c r="AU468" t="str">
        <x:v>energiattester_export_2025-08-14.json | PDF vedlegg side 5-7</x:v>
      </x:c>
      <x:c r="AV468" s="12" t="n">
        <x:f>IF(COUNT(O468,P468,Q468,R468,K468,L468,M468,N468)=8,O468*K468+P468*L468+Q468*M468+R468*N468,"")</x:f>
        <x:v>320.36</x:v>
      </x:c>
      <x:c r="AW468" s="12" t="n">
        <x:f>IF(AND(ISNUMBER(AV468),H468&gt;0),AV468/H468,"")</x:f>
        <x:v>0.889888888888889</x:v>
      </x:c>
      <x:c r="AX468" s="12" t="n">
        <x:f>IF(AND(ISNUMBER(AD468),H468&gt;0),AD468*H468*3600,"")</x:f>
        <x:v>27604800</x:v>
      </x:c>
      <x:c r="AY468" s="12" t="n">
        <x:f>IF(AND(ISNUMBER(Y468),H468&gt;0),Y468*H468,"")</x:f>
        <x:v>59040</x:v>
      </x:c>
      <x:c r="AZ468" t="str">
        <x:v>Høy</x:v>
      </x:c>
    </x:row>
    <x:row r="469" ht="22" customHeight="1">
      <x:c r="A469" t="str">
        <x:v>OT-7f9f82c8d094</x:v>
      </x:c>
      <x:c r="B469" t="n">
        <x:v>2015</x:v>
      </x:c>
      <x:c r="C469" t="str">
        <x:v>Kontorbygg</x:v>
      </x:c>
      <x:c r="D469" t="str">
        <x:v>KONTORER, ENKLE</x:v>
      </x:c>
      <x:c r="E469" t="str">
        <x:v>D</x:v>
      </x:c>
      <x:c r="F469" t="str">
        <x:v>RED</x:v>
      </x:c>
      <x:c r="G469" t="n">
        <x:v>2000</x:v>
      </x:c>
      <x:c r="H469" t="n">
        <x:v>656</x:v>
      </x:c>
      <x:c r="I469" t="n">
        <x:v>178</x:v>
      </x:c>
      <x:c r="J469" t="str">
        <x:v>PDF/avansert</x:v>
      </x:c>
      <x:c r="K469" t="n">
        <x:v>296</x:v>
      </x:c>
      <x:c r="L469" t="n">
        <x:v>562</x:v>
      </x:c>
      <x:c r="M469" t="n">
        <x:v>567</x:v>
      </x:c>
      <x:c r="N469" t="n">
        <x:v>43</x:v>
      </x:c>
      <x:c r="O469" t="n">
        <x:v>0.43</x:v>
      </x:c>
      <x:c r="P469" t="n">
        <x:v>0.23</x:v>
      </x:c>
      <x:c r="Q469" t="n">
        <x:v>0.33</x:v>
      </x:c>
      <x:c r="R469" t="n">
        <x:v>1.3</x:v>
      </x:c>
      <x:c r="S469" t="n">
        <x:v>70</x:v>
      </x:c>
      <x:c r="T469" t="n">
        <x:v>70</x:v>
      </x:c>
      <x:c r="U469" t="n">
        <x:v>1.61</x:v>
      </x:c>
      <x:c r="V469" t="n">
        <x:v>0.2</x:v>
      </x:c>
      <x:c r="W469" t="n">
        <x:v>7</x:v>
      </x:c>
      <x:c r="X469" t="n">
        <x:v>98</x:v>
      </x:c>
      <x:c r="Y469" t="n">
        <x:v>77</x:v>
      </x:c>
      <x:c r="Z469" t="n">
        <x:v>0</x:v>
      </x:c>
      <x:c r="AA469" t="n">
        <x:v>21</x:v>
      </x:c>
      <x:c r="AB469" t="n">
        <x:v>22</x:v>
      </x:c>
      <x:c r="AC469" t="n">
        <x:v>3.5</x:v>
      </x:c>
      <x:c r="AD469" t="n">
        <x:v>203.7</x:v>
      </x:c>
      <x:c r="AE469" t="n">
        <x:v>0.05</x:v>
      </x:c>
      <x:c r="AF469" t="n">
        <x:v>12</x:v>
      </x:c>
      <x:c r="AG469" t="n">
        <x:v>12</x:v>
      </x:c>
      <x:c r="AH469" t="n">
        <x:v>24</x:v>
      </x:c>
      <x:c r="AI469" t="n">
        <x:v>8</x:v>
      </x:c>
      <x:c r="AJ469" t="n">
        <x:v>11</x:v>
      </x:c>
      <x:c r="AK469" t="n">
        <x:v>250</x:v>
      </x:c>
      <x:c r="AL469" t="str">
        <x:v>Direkte elektrisk;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1</x:v>
      </x:c>
      <x:c r="AS469" t="n">
        <x:v>1</x:v>
      </x:c>
      <x:c r="AT469" t="n">
        <x:v>1</x:v>
      </x:c>
      <x:c r="AU469" t="str">
        <x:v>energiattester_export_2025-08-14.json | PDF vedlegg side 5-7</x:v>
      </x:c>
      <x:c r="AV469" s="12" t="n">
        <x:f>IF(COUNT(O469,P469,Q469,R469,K469,L469,M469,N469)=8,O469*K469+P469*L469+Q469*M469+R469*N469,"")</x:f>
        <x:v>499.55</x:v>
      </x:c>
      <x:c r="AW469" s="12" t="n">
        <x:f>IF(AND(ISNUMBER(AV469),H469&gt;0),AV469/H469,"")</x:f>
        <x:v>0.7615091463414634</x:v>
      </x:c>
      <x:c r="AX469" s="12" t="n">
        <x:f>IF(AND(ISNUMBER(AD469),H469&gt;0),AD469*H469*3600,"")</x:f>
        <x:v>481057919.99999994</x:v>
      </x:c>
      <x:c r="AY469" s="12" t="n">
        <x:f>IF(AND(ISNUMBER(Y469),H469&gt;0),Y469*H469,"")</x:f>
        <x:v>50512</x:v>
      </x:c>
      <x:c r="AZ469" t="str">
        <x:v>Høy</x:v>
      </x:c>
    </x:row>
    <x:row r="470" ht="22" customHeight="1">
      <x:c r="A470" t="str">
        <x:v>OT-fae3837a2884</x:v>
      </x:c>
      <x:c r="B470" t="n">
        <x:v>2015</x:v>
      </x:c>
      <x:c r="C470" t="str">
        <x:v>Kontorbygg</x:v>
      </x:c>
      <x:c r="D470" t="str">
        <x:v>KONTORER, ENKLE</x:v>
      </x:c>
      <x:c r="E470" t="str">
        <x:v>F</x:v>
      </x:c>
      <x:c r="F470" t="str">
        <x:v>ORANGE</x:v>
      </x:c>
      <x:c r="G470" t="n">
        <x:v>2000</x:v>
      </x:c>
      <x:c r="H470" t="n">
        <x:v>432</x:v>
      </x:c>
      <x:c r="I470" t="n">
        <x:v>252</x:v>
      </x:c>
      <x:c r="J470" t="str">
        <x:v>PDF/avansert</x:v>
      </x:c>
      <x:c r="K470" t="n">
        <x:v>329</x:v>
      </x:c>
      <x:c r="L470" t="n">
        <x:v>311</x:v>
      </x:c>
      <x:c r="M470" t="n">
        <x:v>311</x:v>
      </x:c>
      <x:c r="N470" t="n">
        <x:v>42</x:v>
      </x:c>
      <x:c r="O470" t="n">
        <x:v>0.26</x:v>
      </x:c>
      <x:c r="P470" t="n">
        <x:v>0.18</x:v>
      </x:c>
      <x:c r="Q470" t="n">
        <x:v>0.22</x:v>
      </x:c>
      <x:c r="R470" t="n">
        <x:v>1.97</x:v>
      </x:c>
      <x:c r="S470" t="n">
        <x:v>38</x:v>
      </x:c>
      <x:c r="T470" t="n">
        <x:v>38</x:v>
      </x:c>
      <x:c r="U470" t="n">
        <x:v>5.37</x:v>
      </x:c>
      <x:c r="V470" t="n">
        <x:v>1.14</x:v>
      </x:c>
      <x:c r="W470" t="n">
        <x:v>7</x:v>
      </x:c>
      <x:c r="X470" t="n">
        <x:v>168</x:v>
      </x:c>
      <x:c r="Y470" t="n">
        <x:v>182</x:v>
      </x:c>
      <x:c r="Z470" t="n">
        <x:v>89</x:v>
      </x:c>
      <x:c r="AA470" t="n">
        <x:v>21</x:v>
      </x:c>
      <x:c r="AB470" t="n">
        <x:v>22</x:v>
      </x:c>
      <x:c r="AC470" t="n">
        <x:v>5</x:v>
      </x:c>
      <x:c r="AD470" t="n">
        <x:v>105.9</x:v>
      </x:c>
      <x:c r="AE470" t="n">
        <x:v>0.12</x:v>
      </x:c>
      <x:c r="AF470" t="n">
        <x:v>12</x:v>
      </x:c>
      <x:c r="AG470" t="n">
        <x:v>12</x:v>
      </x:c>
      <x:c r="AH470" t="n">
        <x:v>24</x:v>
      </x:c>
      <x:c r="AI470" t="n">
        <x:v>8</x:v>
      </x:c>
      <x:c r="AJ470" t="n">
        <x:v>11</x:v>
      </x:c>
      <x:c r="AK470" t="n">
        <x:v>250</x:v>
      </x:c>
      <x:c r="AL470" t="str">
        <x:v>Direkte elektrisk; Varmepumpe;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1</x:v>
      </x:c>
      <x:c r="AS470" t="n">
        <x:v>1</x:v>
      </x:c>
      <x:c r="AT470" t="n">
        <x:v>1</x:v>
      </x:c>
      <x:c r="AU470" t="str">
        <x:v>energiattester_export_2025-08-14.json | PDF vedlegg side 5-7</x:v>
      </x:c>
      <x:c r="AV470" s="12" t="n">
        <x:f>IF(COUNT(O470,P470,Q470,R470,K470,L470,M470,N470)=8,O470*K470+P470*L470+Q470*M470+R470*N470,"")</x:f>
        <x:v>292.68</x:v>
      </x:c>
      <x:c r="AW470" s="12" t="n">
        <x:f>IF(AND(ISNUMBER(AV470),H470&gt;0),AV470/H470,"")</x:f>
        <x:v>0.6775</x:v>
      </x:c>
      <x:c r="AX470" s="12" t="n">
        <x:f>IF(AND(ISNUMBER(AD470),H470&gt;0),AD470*H470*3600,"")</x:f>
        <x:v>164695680</x:v>
      </x:c>
      <x:c r="AY470" s="12" t="n">
        <x:f>IF(AND(ISNUMBER(Y470),H470&gt;0),Y470*H470,"")</x:f>
        <x:v>78624</x:v>
      </x:c>
      <x:c r="AZ470" t="str">
        <x:v>Høy</x:v>
      </x:c>
    </x:row>
    <x:row r="471" ht="22" customHeight="1">
      <x:c r="A471" t="str">
        <x:v>OT-5f0c97cbeec1</x:v>
      </x:c>
      <x:c r="B471" t="n">
        <x:v>2015</x:v>
      </x:c>
      <x:c r="C471" t="str">
        <x:v>Kontorbygg</x:v>
      </x:c>
      <x:c r="D471" t="str">
        <x:v>KONTORER, MED VENTILASJON OG KJØLEANLEGG</x:v>
      </x:c>
      <x:c r="E471" t="str">
        <x:v>D</x:v>
      </x:c>
      <x:c r="F471" t="str">
        <x:v>RED</x:v>
      </x:c>
      <x:c r="G471" t="n">
        <x:v>2006</x:v>
      </x:c>
      <x:c r="H471" t="n">
        <x:v>843</x:v>
      </x:c>
      <x:c r="I471" t="n">
        <x:v>178</x:v>
      </x:c>
      <x:c r="J471" t="str">
        <x:v>PDF/avansert</x:v>
      </x:c>
      <x:c r="K471" t="n">
        <x:v>334</x:v>
      </x:c>
      <x:c r="L471" t="n">
        <x:v>257</x:v>
      </x:c>
      <x:c r="M471" t="n">
        <x:v>257</x:v>
      </x:c>
      <x:c r="N471" t="n">
        <x:v>97</x:v>
      </x:c>
      <x:c r="O471" t="n">
        <x:v>0.3</x:v>
      </x:c>
      <x:c r="P471" t="n">
        <x:v>0.2</x:v>
      </x:c>
      <x:c r="Q471" t="n">
        <x:v>0.18</x:v>
      </x:c>
      <x:c r="R471" t="n">
        <x:v>2.34</x:v>
      </x:c>
      <x:c r="S471" t="n">
        <x:v>75</x:v>
      </x:c>
      <x:c r="T471" t="n">
        <x:v>75</x:v>
      </x:c>
      <x:c r="U471" t="n">
        <x:v>2.03</x:v>
      </x:c>
      <x:c r="V471" t="n">
        <x:v>0.26</x:v>
      </x:c>
      <x:c r="W471" t="n">
        <x:v>7</x:v>
      </x:c>
      <x:c r="X471" t="n">
        <x:v>90</x:v>
      </x:c>
      <x:c r="Y471" t="n">
        <x:v>85</x:v>
      </x:c>
      <x:c r="Z471" t="n">
        <x:v>52</x:v>
      </x:c>
      <x:c r="AA471" t="n">
        <x:v>21</x:v>
      </x:c>
      <x:c r="AB471" t="n">
        <x:v>22</x:v>
      </x:c>
      <x:c r="AC471" t="n">
        <x:v>3</x:v>
      </x:c>
      <x:c r="AD471" t="n">
        <x:v>149.8</x:v>
      </x:c>
      <x:c r="AE471" t="n">
        <x:v>0.06</x:v>
      </x:c>
      <x:c r="AF471" t="n">
        <x:v>12</x:v>
      </x:c>
      <x:c r="AG471" t="n">
        <x:v>12</x:v>
      </x:c>
      <x:c r="AH471" t="n">
        <x:v>24</x:v>
      </x:c>
      <x:c r="AI471" t="n">
        <x:v>8</x:v>
      </x:c>
      <x:c r="AJ471" t="n">
        <x:v>11</x:v>
      </x:c>
      <x:c r="AK471" t="n">
        <x:v>250</x:v>
      </x:c>
      <x:c r="AL471" t="str">
        <x:v>Direkte elektrisk;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1</x:v>
      </x:c>
      <x:c r="AS471" t="n">
        <x:v>1</x:v>
      </x:c>
      <x:c r="AT471" t="n">
        <x:v>1</x:v>
      </x:c>
      <x:c r="AU471" t="str">
        <x:v>energiattester_export_2025-08-14.json | PDF vedlegg side 5-7</x:v>
      </x:c>
      <x:c r="AV471" s="12" t="n">
        <x:f>IF(COUNT(O471,P471,Q471,R471,K471,L471,M471,N471)=8,O471*K471+P471*L471+Q471*M471+R471*N471,"")</x:f>
        <x:v>424.84000000000003</x:v>
      </x:c>
      <x:c r="AW471" s="12" t="n">
        <x:f>IF(AND(ISNUMBER(AV471),H471&gt;0),AV471/H471,"")</x:f>
        <x:v>0.5039620403321471</x:v>
      </x:c>
      <x:c r="AX471" s="12" t="n">
        <x:f>IF(AND(ISNUMBER(AD471),H471&gt;0),AD471*H471*3600,"")</x:f>
        <x:v>454613040.00000006</x:v>
      </x:c>
      <x:c r="AY471" s="12" t="n">
        <x:f>IF(AND(ISNUMBER(Y471),H471&gt;0),Y471*H471,"")</x:f>
        <x:v>71655</x:v>
      </x:c>
      <x:c r="AZ471" t="str">
        <x:v>Høy</x:v>
      </x:c>
    </x:row>
    <x:row r="472" ht="22" customHeight="1">
      <x:c r="A472" t="str">
        <x:v>OT-882531bd84ea</x:v>
      </x:c>
      <x:c r="B472" t="n">
        <x:v>2015</x:v>
      </x:c>
      <x:c r="C472" t="str">
        <x:v>Kontorbygg</x:v>
      </x:c>
      <x:c r="D472" t="str">
        <x:v>KONTORER, MED VENTILASJON OG KJØLEANLEGG</x:v>
      </x:c>
      <x:c r="E472" t="str">
        <x:v>G</x:v>
      </x:c>
      <x:c r="F472" t="str">
        <x:v>RED</x:v>
      </x:c>
      <x:c r="G472" t="n">
        <x:v>1969</x:v>
      </x:c>
      <x:c r="H472" t="n">
        <x:v>1190</x:v>
      </x:c>
      <x:c r="I472" t="n">
        <x:v>296</x:v>
      </x:c>
      <x:c r="J472" t="str">
        <x:v>PDF/avansert</x:v>
      </x:c>
      <x:c r="K472" t="n">
        <x:v>652</x:v>
      </x:c>
      <x:c r="L472" t="n">
        <x:v>595</x:v>
      </x:c>
      <x:c r="M472" t="n">
        <x:v>595</x:v>
      </x:c>
      <x:c r="N472" t="n">
        <x:v>166</x:v>
      </x:c>
      <x:c r="O472" t="n">
        <x:v>0.85</x:v>
      </x:c>
      <x:c r="P472" t="n">
        <x:v>0.45</x:v>
      </x:c>
      <x:c r="Q472" t="n">
        <x:v>0.26</x:v>
      </x:c>
      <x:c r="R472" t="n">
        <x:v>2.45</x:v>
      </x:c>
      <x:c r="S472" t="n">
        <x:v>45</x:v>
      </x:c>
      <x:c r="T472" t="n">
        <x:v>45</x:v>
      </x:c>
      <x:c r="U472" t="n">
        <x:v>3.5</x:v>
      </x:c>
      <x:c r="V472" t="n">
        <x:v>0.44</x:v>
      </x:c>
      <x:c r="W472" t="n">
        <x:v>7</x:v>
      </x:c>
      <x:c r="X472" t="n">
        <x:v>98</x:v>
      </x:c>
      <x:c r="Y472" t="n">
        <x:v>115</x:v>
      </x:c>
      <x:c r="Z472" t="n">
        <x:v>30</x:v>
      </x:c>
      <x:c r="AA472" t="n">
        <x:v>21</x:v>
      </x:c>
      <x:c r="AB472" t="n">
        <x:v>22</x:v>
      </x:c>
      <x:c r="AC472" t="n">
        <x:v>4</x:v>
      </x:c>
      <x:c r="AD472" t="n">
        <x:v>113.5</x:v>
      </x:c>
      <x:c r="AE472" t="n">
        <x:v>0.12</x:v>
      </x:c>
      <x:c r="AF472" t="n">
        <x:v>12</x:v>
      </x:c>
      <x:c r="AG472" t="n">
        <x:v>12</x:v>
      </x:c>
      <x:c r="AH472" t="n">
        <x:v>24</x:v>
      </x:c>
      <x:c r="AI472" t="n">
        <x:v>8</x:v>
      </x:c>
      <x:c r="AJ472" t="n">
        <x:v>11</x:v>
      </x:c>
      <x:c r="AK472" t="n">
        <x:v>250</x:v>
      </x:c>
      <x:c r="AL472" t="str">
        <x:v>Direkte elektrisk;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1</x:v>
      </x:c>
      <x:c r="AS472" t="n">
        <x:v>1</x:v>
      </x:c>
      <x:c r="AT472" t="n">
        <x:v>1</x:v>
      </x:c>
      <x:c r="AU472" t="str">
        <x:v>energiattester_export_2025-08-14.json | PDF vedlegg side 5-7</x:v>
      </x:c>
      <x:c r="AV472" s="12" t="n">
        <x:f>IF(COUNT(O472,P472,Q472,R472,K472,L472,M472,N472)=8,O472*K472+P472*L472+Q472*M472+R472*N472,"")</x:f>
        <x:v>1383.35</x:v>
      </x:c>
      <x:c r="AW472" s="12" t="n">
        <x:f>IF(AND(ISNUMBER(AV472),H472&gt;0),AV472/H472,"")</x:f>
        <x:v>1.1624789915966385</x:v>
      </x:c>
      <x:c r="AX472" s="12" t="n">
        <x:f>IF(AND(ISNUMBER(AD472),H472&gt;0),AD472*H472*3600,"")</x:f>
        <x:v>486234000</x:v>
      </x:c>
      <x:c r="AY472" s="12" t="n">
        <x:f>IF(AND(ISNUMBER(Y472),H472&gt;0),Y472*H472,"")</x:f>
        <x:v>136850</x:v>
      </x:c>
      <x:c r="AZ472" t="str">
        <x:v>Høy</x:v>
      </x:c>
    </x:row>
    <x:row r="473" ht="22" customHeight="1">
      <x:c r="A473" t="str">
        <x:v>OT-4fce766caaa9</x:v>
      </x:c>
      <x:c r="B473" t="n">
        <x:v>2015</x:v>
      </x:c>
      <x:c r="C473" t="str">
        <x:v>Kontorbygg</x:v>
      </x:c>
      <x:c r="D473" t="str">
        <x:v>KONTORER, ENKLE</x:v>
      </x:c>
      <x:c r="E473" t="str">
        <x:v>G</x:v>
      </x:c>
      <x:c r="F473" t="str">
        <x:v>RED</x:v>
      </x:c>
      <x:c r="G473" t="n">
        <x:v>1974</x:v>
      </x:c>
      <x:c r="H473" t="n">
        <x:v>119</x:v>
      </x:c>
      <x:c r="I473" t="n">
        <x:v>511</x:v>
      </x:c>
      <x:c r="J473" t="str">
        <x:v>PDF/avansert</x:v>
      </x:c>
      <x:c r="K473" t="n">
        <x:v>74</x:v>
      </x:c>
      <x:c r="L473" t="n">
        <x:v>107</x:v>
      </x:c>
      <x:c r="M473" t="n">
        <x:v>107</x:v>
      </x:c>
      <x:c r="N473" t="n">
        <x:v>16</x:v>
      </x:c>
      <x:c r="O473" t="n">
        <x:v>1.44</x:v>
      </x:c>
      <x:c r="P473" t="n">
        <x:v>0.5</x:v>
      </x:c>
      <x:c r="Q473" t="n">
        <x:v>2.04</x:v>
      </x:c>
      <x:c r="R473" t="n">
        <x:v>1.99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7</x:v>
      </x:c>
      <x:c r="X473" t="n">
        <x:v>98</x:v>
      </x:c>
      <x:c r="Y473" t="n">
        <x:v>80</x:v>
      </x:c>
      <x:c r="Z473" t="n">
        <x:v>0</x:v>
      </x:c>
      <x:c r="AA473" t="n">
        <x:v>21</x:v>
      </x:c>
      <x:c r="AB473" t="n">
        <x:v>22</x:v>
      </x:c>
      <x:c r="AC473" t="n">
        <x:v>4</x:v>
      </x:c>
      <x:c r="AD473" t="n">
        <x:v>159.7</x:v>
      </x:c>
      <x:c r="AE473" t="n">
        <x:v>0.11</x:v>
      </x:c>
      <x:c r="AF473" t="n">
        <x:v>12</x:v>
      </x:c>
      <x:c r="AG473" t="n">
        <x:v>12</x:v>
      </x:c>
      <x:c r="AH473" t="n">
        <x:v>24</x:v>
      </x:c>
      <x:c r="AI473" t="n">
        <x:v>8</x:v>
      </x:c>
      <x:c r="AJ473" t="n">
        <x:v>11</x:v>
      </x:c>
      <x:c r="AK473" t="n">
        <x:v>250</x:v>
      </x:c>
      <x:c r="AL473" t="str">
        <x:v>Direkte elektrisk;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1</x:v>
      </x:c>
      <x:c r="AS473" t="n">
        <x:v>1</x:v>
      </x:c>
      <x:c r="AT473" t="n">
        <x:v>1</x:v>
      </x:c>
      <x:c r="AU473" t="str">
        <x:v>energiattester_export_2025-08-14.json | PDF vedlegg side 5-7</x:v>
      </x:c>
      <x:c r="AV473" s="12" t="n">
        <x:f>IF(COUNT(O473,P473,Q473,R473,K473,L473,M473,N473)=8,O473*K473+P473*L473+Q473*M473+R473*N473,"")</x:f>
        <x:v>410.18</x:v>
      </x:c>
      <x:c r="AW473" s="12" t="n">
        <x:f>IF(AND(ISNUMBER(AV473),H473&gt;0),AV473/H473,"")</x:f>
        <x:v>3.4468907563025213</x:v>
      </x:c>
      <x:c r="AX473" s="12" t="n">
        <x:f>IF(AND(ISNUMBER(AD473),H473&gt;0),AD473*H473*3600,"")</x:f>
        <x:v>68415480</x:v>
      </x:c>
      <x:c r="AY473" s="12" t="n">
        <x:f>IF(AND(ISNUMBER(Y473),H473&gt;0),Y473*H473,"")</x:f>
        <x:v>9520</x:v>
      </x:c>
      <x:c r="AZ473" t="str">
        <x:v>Høy</x:v>
      </x:c>
    </x:row>
    <x:row r="474" ht="22" customHeight="1">
      <x:c r="A474" t="str">
        <x:v>OT-ecb4ff7d6577</x:v>
      </x:c>
      <x:c r="B474" t="n">
        <x:v>2015</x:v>
      </x:c>
      <x:c r="C474" t="str">
        <x:v>Kontorbygg</x:v>
      </x:c>
      <x:c r="D474" t="str">
        <x:v>KONTORER, MED VENTILASJON OG KJØLEANLEGG</x:v>
      </x:c>
      <x:c r="E474" t="str">
        <x:v>E</x:v>
      </x:c>
      <x:c r="F474" t="str">
        <x:v>RED</x:v>
      </x:c>
      <x:c r="G474" t="n">
        <x:v>1952</x:v>
      </x:c>
      <x:c r="H474" t="n">
        <x:v>4955</x:v>
      </x:c>
      <x:c r="I474" t="n">
        <x:v>219</x:v>
      </x:c>
      <x:c r="J474" t="str">
        <x:v>PDF/avansert</x:v>
      </x:c>
      <x:c r="K474" t="n">
        <x:v>1518</x:v>
      </x:c>
      <x:c r="L474" t="n">
        <x:v>2289</x:v>
      </x:c>
      <x:c r="M474" t="n">
        <x:v>2202</x:v>
      </x:c>
      <x:c r="N474" t="n">
        <x:v>482</x:v>
      </x:c>
      <x:c r="O474" t="n">
        <x:v>0.43</x:v>
      </x:c>
      <x:c r="P474" t="n">
        <x:v>0.2</x:v>
      </x:c>
      <x:c r="Q474" t="n">
        <x:v>0.15</x:v>
      </x:c>
      <x:c r="R474" t="n">
        <x:v>2.17</x:v>
      </x:c>
      <x:c r="S474" t="n">
        <x:v>52</x:v>
      </x:c>
      <x:c r="T474" t="n">
        <x:v>52</x:v>
      </x:c>
      <x:c r="U474" t="n">
        <x:v>2.9</x:v>
      </x:c>
      <x:c r="V474" t="n">
        <x:v>0.3</x:v>
      </x:c>
      <x:c r="W474" t="n">
        <x:v>8.4</x:v>
      </x:c>
      <x:c r="X474" t="n">
        <x:v>91</x:v>
      </x:c>
      <x:c r="Y474" t="n">
        <x:v>106</x:v>
      </x:c>
      <x:c r="Z474" t="n">
        <x:v>28</x:v>
      </x:c>
      <x:c r="AA474" t="n">
        <x:v>21</x:v>
      </x:c>
      <x:c r="AB474" t="n">
        <x:v>22</x:v>
      </x:c>
      <x:c r="AC474" t="n">
        <x:v>4</x:v>
      </x:c>
      <x:c r="AD474" t="n">
        <x:v>91.5</x:v>
      </x:c>
      <x:c r="AE474" t="n">
        <x:v>0.12</x:v>
      </x:c>
      <x:c r="AF474" t="n">
        <x:v>12</x:v>
      </x:c>
      <x:c r="AG474" t="n">
        <x:v>12</x:v>
      </x:c>
      <x:c r="AH474" t="n">
        <x:v>24</x:v>
      </x:c>
      <x:c r="AI474" t="n">
        <x:v>8</x:v>
      </x:c>
      <x:c r="AJ474" t="n">
        <x:v>11</x:v>
      </x:c>
      <x:c r="AK474" t="n">
        <x:v>250</x:v>
      </x:c>
      <x:c r="AL474" t="str">
        <x:v>Direkte elektrisk;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1</x:v>
      </x:c>
      <x:c r="AS474" t="n">
        <x:v>1</x:v>
      </x:c>
      <x:c r="AT474" t="n">
        <x:v>1</x:v>
      </x:c>
      <x:c r="AU474" t="str">
        <x:v>energiattester_export_2025-08-14.json | PDF vedlegg side 5-7</x:v>
      </x:c>
      <x:c r="AV474" s="12" t="n">
        <x:f>IF(COUNT(O474,P474,Q474,R474,K474,L474,M474,N474)=8,O474*K474+P474*L474+Q474*M474+R474*N474,"")</x:f>
        <x:v>2486.7799999999997</x:v>
      </x:c>
      <x:c r="AW474" s="12" t="n">
        <x:f>IF(AND(ISNUMBER(AV474),H474&gt;0),AV474/H474,"")</x:f>
        <x:v>0.5018728557013118</x:v>
      </x:c>
      <x:c r="AX474" s="12" t="n">
        <x:f>IF(AND(ISNUMBER(AD474),H474&gt;0),AD474*H474*3600,"")</x:f>
        <x:v>1632177000</x:v>
      </x:c>
      <x:c r="AY474" s="12" t="n">
        <x:f>IF(AND(ISNUMBER(Y474),H474&gt;0),Y474*H474,"")</x:f>
        <x:v>525230</x:v>
      </x:c>
      <x:c r="AZ474" t="str">
        <x:v>Høy</x:v>
      </x:c>
    </x:row>
    <x:row r="475" ht="22" customHeight="1">
      <x:c r="A475" t="str">
        <x:v>OT-3e25dc93aa61</x:v>
      </x:c>
      <x:c r="B475" t="n">
        <x:v>2015</x:v>
      </x:c>
      <x:c r="C475" t="str">
        <x:v>Kontorbygg</x:v>
      </x:c>
      <x:c r="D475" t="str">
        <x:v>KONTORER, MED VENTILASJON OG KJØLEANLEGG</x:v>
      </x:c>
      <x:c r="E475" t="str">
        <x:v>F</x:v>
      </x:c>
      <x:c r="F475" t="str">
        <x:v>RED</x:v>
      </x:c>
      <x:c r="G475" t="n">
        <x:v>1916</x:v>
      </x:c>
      <x:c r="H475" t="n">
        <x:v>3302</x:v>
      </x:c>
      <x:c r="I475" t="n">
        <x:v>226</x:v>
      </x:c>
      <x:c r="J475" t="str">
        <x:v>PDF/avansert</x:v>
      </x:c>
      <x:c r="K475" t="n">
        <x:v>1233</x:v>
      </x:c>
      <x:c r="L475" t="n">
        <x:v>1002</x:v>
      </x:c>
      <x:c r="M475" t="n">
        <x:v>870</x:v>
      </x:c>
      <x:c r="N475" t="n">
        <x:v>357</x:v>
      </x:c>
      <x:c r="O475" t="n">
        <x:v>0.66</x:v>
      </x:c>
      <x:c r="P475" t="n">
        <x:v>0.49</x:v>
      </x:c>
      <x:c r="Q475" t="n">
        <x:v>0.21</x:v>
      </x:c>
      <x:c r="R475" t="n">
        <x:v>2.51</x:v>
      </x:c>
      <x:c r="S475" t="n">
        <x:v>56</x:v>
      </x:c>
      <x:c r="T475" t="n">
        <x:v>56</x:v>
      </x:c>
      <x:c r="U475" t="n">
        <x:v>6.08</x:v>
      </x:c>
      <x:c r="V475" t="n">
        <x:v>0.78</x:v>
      </x:c>
      <x:c r="W475" t="n">
        <x:v>7.2</x:v>
      </x:c>
      <x:c r="X475" t="n">
        <x:v>98</x:v>
      </x:c>
      <x:c r="Y475" t="n">
        <x:v>93</x:v>
      </x:c>
      <x:c r="Z475" t="n">
        <x:v>50</x:v>
      </x:c>
      <x:c r="AA475" t="n">
        <x:v>21</x:v>
      </x:c>
      <x:c r="AB475" t="n">
        <x:v>22</x:v>
      </x:c>
      <x:c r="AC475" t="n">
        <x:v>3</x:v>
      </x:c>
      <x:c r="AD475" t="n">
        <x:v>60.1</x:v>
      </x:c>
      <x:c r="AE475" t="n">
        <x:v>0.12</x:v>
      </x:c>
      <x:c r="AF475" t="n">
        <x:v>12</x:v>
      </x:c>
      <x:c r="AG475" t="n">
        <x:v>12</x:v>
      </x:c>
      <x:c r="AH475" t="n">
        <x:v>24</x:v>
      </x:c>
      <x:c r="AI475" t="n">
        <x:v>6.4</x:v>
      </x:c>
      <x:c r="AJ475" t="n">
        <x:v>11</x:v>
      </x:c>
      <x:c r="AK475" t="n">
        <x:v>250</x:v>
      </x:c>
      <x:c r="AL475" t="str">
        <x:v>Direkte elektrisk;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1</x:v>
      </x:c>
      <x:c r="AS475" t="n">
        <x:v>1</x:v>
      </x:c>
      <x:c r="AT475" t="n">
        <x:v>1</x:v>
      </x:c>
      <x:c r="AU475" t="str">
        <x:v>energiattester_export_2025-08-14.json | PDF vedlegg side 5-7</x:v>
      </x:c>
      <x:c r="AV475" s="12" t="n">
        <x:f>IF(COUNT(O475,P475,Q475,R475,K475,L475,M475,N475)=8,O475*K475+P475*L475+Q475*M475+R475*N475,"")</x:f>
        <x:v>2383.53</x:v>
      </x:c>
      <x:c r="AW475" s="12" t="n">
        <x:f>IF(AND(ISNUMBER(AV475),H475&gt;0),AV475/H475,"")</x:f>
        <x:v>0.7218443367655967</x:v>
      </x:c>
      <x:c r="AX475" s="12" t="n">
        <x:f>IF(AND(ISNUMBER(AD475),H475&gt;0),AD475*H475*3600,"")</x:f>
        <x:v>714420720</x:v>
      </x:c>
      <x:c r="AY475" s="12" t="n">
        <x:f>IF(AND(ISNUMBER(Y475),H475&gt;0),Y475*H475,"")</x:f>
        <x:v>307086</x:v>
      </x:c>
      <x:c r="AZ475" t="str">
        <x:v>Høy</x:v>
      </x:c>
    </x:row>
    <x:row r="476" ht="22" customHeight="1">
      <x:c r="A476" t="str">
        <x:v>OT-a0eb1d004b6b</x:v>
      </x:c>
      <x:c r="B476" t="n">
        <x:v>2015</x:v>
      </x:c>
      <x:c r="C476" t="str">
        <x:v>Kontorbygg</x:v>
      </x:c>
      <x:c r="D476" t="str">
        <x:v>KONTORER, ENKLE</x:v>
      </x:c>
      <x:c r="E476" t="str">
        <x:v>G</x:v>
      </x:c>
      <x:c r="F476" t="str">
        <x:v>RED</x:v>
      </x:c>
      <x:c r="G476" t="n">
        <x:v>1961</x:v>
      </x:c>
      <x:c r="H476" t="n">
        <x:v>564</x:v>
      </x:c>
      <x:c r="I476" t="n">
        <x:v>369</x:v>
      </x:c>
      <x:c r="J476" t="str">
        <x:v>PDF/avansert</x:v>
      </x:c>
      <x:c r="K476" t="n">
        <x:v>223</x:v>
      </x:c>
      <x:c r="L476" t="n">
        <x:v>544</x:v>
      </x:c>
      <x:c r="M476" t="n">
        <x:v>0</x:v>
      </x:c>
      <x:c r="N476" t="n">
        <x:v>140</x:v>
      </x:c>
      <x:c r="O476" t="n">
        <x:v>0.62</x:v>
      </x:c>
      <x:c r="P476" t="n">
        <x:v>0.93</x:v>
      </x:c>
      <x:c r="Q476" t="n">
        <x:v>0</x:v>
      </x:c>
      <x:c r="R476" t="n">
        <x:v>2.27</x:v>
      </x:c>
      <x:c r="S476" t="n">
        <x:v>45</x:v>
      </x:c>
      <x:c r="T476" t="n">
        <x:v>45</x:v>
      </x:c>
      <x:c r="U476" t="n">
        <x:v>7</x:v>
      </x:c>
      <x:c r="V476" t="n">
        <x:v>0.71</x:v>
      </x:c>
      <x:c r="W476" t="n">
        <x:v>9</x:v>
      </x:c>
      <x:c r="X476" t="n">
        <x:v>90</x:v>
      </x:c>
      <x:c r="Y476" t="n">
        <x:v>100</x:v>
      </x:c>
      <x:c r="Z476" t="n">
        <x:v>30</x:v>
      </x:c>
      <x:c r="AA476" t="n">
        <x:v>21</x:v>
      </x:c>
      <x:c r="AB476" t="n">
        <x:v>22</x:v>
      </x:c>
      <x:c r="AC476" t="n">
        <x:v>3</x:v>
      </x:c>
      <x:c r="AD476" t="n">
        <x:v>61.8</x:v>
      </x:c>
      <x:c r="AE476" t="n">
        <x:v>0.12</x:v>
      </x:c>
      <x:c r="AF476" t="n">
        <x:v>12</x:v>
      </x:c>
      <x:c r="AG476" t="n">
        <x:v>12</x:v>
      </x:c>
      <x:c r="AH476" t="n">
        <x:v>24</x:v>
      </x:c>
      <x:c r="AI476" t="n">
        <x:v>8</x:v>
      </x:c>
      <x:c r="AJ476" t="n">
        <x:v>11</x:v>
      </x:c>
      <x:c r="AK476" t="n">
        <x:v>250</x:v>
      </x:c>
      <x:c r="AL476" t="str">
        <x:v>Direkte elektrisk;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1</x:v>
      </x:c>
      <x:c r="AS476" t="n">
        <x:v>1</x:v>
      </x:c>
      <x:c r="AT476" t="n">
        <x:v>1</x:v>
      </x:c>
      <x:c r="AU476" t="str">
        <x:v>energiattester_export_2025-08-14.json | PDF vedlegg side 5-7</x:v>
      </x:c>
      <x:c r="AV476" s="12" t="n">
        <x:f>IF(COUNT(O476,P476,Q476,R476,K476,L476,M476,N476)=8,O476*K476+P476*L476+Q476*M476+R476*N476,"")</x:f>
        <x:v>961.98</x:v>
      </x:c>
      <x:c r="AW476" s="12" t="n">
        <x:f>IF(AND(ISNUMBER(AV476),H476&gt;0),AV476/H476,"")</x:f>
        <x:v>1.7056382978723406</x:v>
      </x:c>
      <x:c r="AX476" s="12" t="n">
        <x:f>IF(AND(ISNUMBER(AD476),H476&gt;0),AD476*H476*3600,"")</x:f>
        <x:v>125478719.99999999</x:v>
      </x:c>
      <x:c r="AY476" s="12" t="n">
        <x:f>IF(AND(ISNUMBER(Y476),H476&gt;0),Y476*H476,"")</x:f>
        <x:v>56400</x:v>
      </x:c>
      <x:c r="AZ476" t="str">
        <x:v>Høy</x:v>
      </x:c>
    </x:row>
    <x:row r="477" ht="22" customHeight="1">
      <x:c r="A477" t="str">
        <x:v>OT-eff144cd4cf2</x:v>
      </x:c>
      <x:c r="B477" t="n">
        <x:v>2015</x:v>
      </x:c>
      <x:c r="C477" t="str">
        <x:v>Forretningsbygg</x:v>
      </x:c>
      <x:c r="D477" t="str">
        <x:v>BUTIKK</x:v>
      </x:c>
      <x:c r="E477" t="str">
        <x:v>G</x:v>
      </x:c>
      <x:c r="F477" t="str">
        <x:v>RED</x:v>
      </x:c>
      <x:c r="G477" t="n">
        <x:v>1961</x:v>
      </x:c>
      <x:c r="H477" t="n">
        <x:v>564</x:v>
      </x:c>
      <x:c r="I477" t="n">
        <x:v>394</x:v>
      </x:c>
      <x:c r="J477" t="str">
        <x:v>PDF/avansert</x:v>
      </x:c>
      <x:c r="K477" t="n">
        <x:v>266</x:v>
      </x:c>
      <x:c r="L477" t="n">
        <x:v>0</x:v>
      </x:c>
      <x:c r="M477" t="n">
        <x:v>564</x:v>
      </x:c>
      <x:c r="N477" t="n">
        <x:v>76</x:v>
      </x:c>
      <x:c r="O477" t="n">
        <x:v>1.1</x:v>
      </x:c>
      <x:c r="P477" t="n">
        <x:v>0</x:v>
      </x:c>
      <x:c r="Q477" t="n">
        <x:v>0.28</x:v>
      </x:c>
      <x:c r="R477" t="n">
        <x:v>1.54</x:v>
      </x:c>
      <x:c r="S477" t="n">
        <x:v>31</x:v>
      </x:c>
      <x:c r="T477" t="n">
        <x:v>31</x:v>
      </x:c>
      <x:c r="U477" t="n">
        <x:v>4.2</x:v>
      </x:c>
      <x:c r="V477" t="n">
        <x:v>0.3</x:v>
      </x:c>
      <x:c r="W477" t="n">
        <x:v>13</x:v>
      </x:c>
      <x:c r="X477" t="n">
        <x:v>90</x:v>
      </x:c>
      <x:c r="Y477" t="n">
        <x:v>150</x:v>
      </x:c>
      <x:c r="Z477" t="n">
        <x:v>0</x:v>
      </x:c>
      <x:c r="AA477" t="n">
        <x:v>21</x:v>
      </x:c>
      <x:c r="AB477" t="n">
        <x:v>22</x:v>
      </x:c>
      <x:c r="AC477" t="n">
        <x:v>4</x:v>
      </x:c>
      <x:c r="AD477" t="n">
        <x:v>85.1</x:v>
      </x:c>
      <x:c r="AE477" t="n">
        <x:v>0.12</x:v>
      </x:c>
      <x:c r="AF477" t="n">
        <x:v>12</x:v>
      </x:c>
      <x:c r="AG477" t="n">
        <x:v>12</x:v>
      </x:c>
      <x:c r="AH477" t="n">
        <x:v>24</x:v>
      </x:c>
      <x:c r="AI477" t="n">
        <x:v>15</x:v>
      </x:c>
      <x:c r="AJ477" t="n">
        <x:v>1</x:v>
      </x:c>
      <x:c r="AK477" t="n">
        <x:v>250</x:v>
      </x:c>
      <x:c r="AL477" t="str">
        <x:v>Direkte elektrisk;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1</x:v>
      </x:c>
      <x:c r="AS477" t="n">
        <x:v>1</x:v>
      </x:c>
      <x:c r="AT477" t="n">
        <x:v>1</x:v>
      </x:c>
      <x:c r="AU477" t="str">
        <x:v>energiattester_export_2025-08-14.json | PDF vedlegg side 5-7</x:v>
      </x:c>
      <x:c r="AV477" s="12" t="n">
        <x:f>IF(COUNT(O477,P477,Q477,R477,K477,L477,M477,N477)=8,O477*K477+P477*L477+Q477*M477+R477*N477,"")</x:f>
        <x:v>567.5600000000001</x:v>
      </x:c>
      <x:c r="AW477" s="12" t="n">
        <x:f>IF(AND(ISNUMBER(AV477),H477&gt;0),AV477/H477,"")</x:f>
        <x:v>1.0063120567375887</x:v>
      </x:c>
      <x:c r="AX477" s="12" t="n">
        <x:f>IF(AND(ISNUMBER(AD477),H477&gt;0),AD477*H477*3600,"")</x:f>
        <x:v>172787039.99999997</x:v>
      </x:c>
      <x:c r="AY477" s="12" t="n">
        <x:f>IF(AND(ISNUMBER(Y477),H477&gt;0),Y477*H477,"")</x:f>
        <x:v>84600</x:v>
      </x:c>
      <x:c r="AZ477" t="str">
        <x:v>Høy</x:v>
      </x:c>
    </x:row>
    <x:row r="478" ht="22" customHeight="1">
      <x:c r="A478" t="str">
        <x:v>OT-f1d0b6ed70c3</x:v>
      </x:c>
      <x:c r="B478" t="n">
        <x:v>2015</x:v>
      </x:c>
      <x:c r="C478" t="str">
        <x:v>Kontorbygg</x:v>
      </x:c>
      <x:c r="D478" t="str">
        <x:v>KONTORER, MED VENTILASJON OG KJØLEANLEGG</x:v>
      </x:c>
      <x:c r="E478" t="str">
        <x:v>D</x:v>
      </x:c>
      <x:c r="F478" t="str">
        <x:v>RED</x:v>
      </x:c>
      <x:c r="G478" t="n">
        <x:v>2006</x:v>
      </x:c>
      <x:c r="H478" t="n">
        <x:v>2230</x:v>
      </x:c>
      <x:c r="I478" t="n">
        <x:v>163.5</x:v>
      </x:c>
      <x:c r="J478" t="str">
        <x:v>PDF/avansert</x:v>
      </x:c>
      <x:c r="K478" t="n">
        <x:v>1220</x:v>
      </x:c>
      <x:c r="L478" t="n">
        <x:v>1456</x:v>
      </x:c>
      <x:c r="M478" t="n">
        <x:v>1386</x:v>
      </x:c>
      <x:c r="N478" t="n">
        <x:v>462</x:v>
      </x:c>
      <x:c r="O478" t="n">
        <x:v>0.28</x:v>
      </x:c>
      <x:c r="P478" t="n">
        <x:v>0.17</x:v>
      </x:c>
      <x:c r="Q478" t="n">
        <x:v>0.1</x:v>
      </x:c>
      <x:c r="R478" t="n">
        <x:v>1.71</x:v>
      </x:c>
      <x:c r="S478" t="n">
        <x:v>75</x:v>
      </x:c>
      <x:c r="T478" t="n">
        <x:v>75</x:v>
      </x:c>
      <x:c r="U478" t="n">
        <x:v>2.14</x:v>
      </x:c>
      <x:c r="V478" t="n">
        <x:v>0</x:v>
      </x:c>
      <x:c r="W478" t="n">
        <x:v>7</x:v>
      </x:c>
      <x:c r="X478" t="n">
        <x:v>91</x:v>
      </x:c>
      <x:c r="Y478" t="n">
        <x:v>80</x:v>
      </x:c>
      <x:c r="Z478" t="n">
        <x:v>31</x:v>
      </x:c>
      <x:c r="AA478" t="n">
        <x:v>21</x:v>
      </x:c>
      <x:c r="AB478" t="n">
        <x:v>22</x:v>
      </x:c>
      <x:c r="AC478" t="n">
        <x:v>1.5</x:v>
      </x:c>
      <x:c r="AD478" t="n">
        <x:v>55.7</x:v>
      </x:c>
      <x:c r="AE478" t="n">
        <x:v>0.09</x:v>
      </x:c>
      <x:c r="AF478" t="n">
        <x:v>12</x:v>
      </x:c>
      <x:c r="AG478" t="n">
        <x:v>12</x:v>
      </x:c>
      <x:c r="AH478" t="n">
        <x:v>24</x:v>
      </x:c>
      <x:c r="AI478" t="n">
        <x:v>8</x:v>
      </x:c>
      <x:c r="AJ478" t="n">
        <x:v>11</x:v>
      </x:c>
      <x:c r="AK478" t="n">
        <x:v>250</x:v>
      </x:c>
      <x:c r="AL478" t="str">
        <x:v>Direkte elektrisk;</x:v>
      </x:c>
      <x:c r="AM478" t="n">
        <x:v>1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1</x:v>
      </x:c>
      <x:c r="AS478" t="n">
        <x:v>1</x:v>
      </x:c>
      <x:c r="AT478" t="n">
        <x:v>1</x:v>
      </x:c>
      <x:c r="AU478" t="str">
        <x:v>energiattester_export_2025-08-14.json | PDF vedlegg side 5-7</x:v>
      </x:c>
      <x:c r="AV478" s="12" t="n">
        <x:f>IF(COUNT(O478,P478,Q478,R478,K478,L478,M478,N478)=8,O478*K478+P478*L478+Q478*M478+R478*N478,"")</x:f>
        <x:v>1517.74</x:v>
      </x:c>
      <x:c r="AW478" s="12" t="n">
        <x:f>IF(AND(ISNUMBER(AV478),H478&gt;0),AV478/H478,"")</x:f>
        <x:v>0.6806008968609866</x:v>
      </x:c>
      <x:c r="AX478" s="12" t="n">
        <x:f>IF(AND(ISNUMBER(AD478),H478&gt;0),AD478*H478*3600,"")</x:f>
        <x:v>447159600</x:v>
      </x:c>
      <x:c r="AY478" s="12" t="n">
        <x:f>IF(AND(ISNUMBER(Y478),H478&gt;0),Y478*H478,"")</x:f>
        <x:v>178400</x:v>
      </x:c>
      <x:c r="AZ478" t="str">
        <x:v>Høy</x:v>
      </x:c>
    </x:row>
    <x:row r="479" ht="22" customHeight="1">
      <x:c r="A479" t="str">
        <x:v>OT-25eb6d0aa144</x:v>
      </x:c>
      <x:c r="B479" t="n">
        <x:v>2015</x:v>
      </x:c>
      <x:c r="C479" t="str">
        <x:v>Kontorbygg</x:v>
      </x:c>
      <x:c r="D479" t="str">
        <x:v>KONTORER, MED VENTILASJON OG KJØLEANLEGG</x:v>
      </x:c>
      <x:c r="E479" t="str">
        <x:v>D</x:v>
      </x:c>
      <x:c r="F479" t="str">
        <x:v>RED</x:v>
      </x:c>
      <x:c r="G479" t="n">
        <x:v>1992</x:v>
      </x:c>
      <x:c r="H479" t="n">
        <x:v>2526</x:v>
      </x:c>
      <x:c r="I479" t="n">
        <x:v>177.9</x:v>
      </x:c>
      <x:c r="J479" t="str">
        <x:v>PDF/avansert</x:v>
      </x:c>
      <x:c r="K479" t="n">
        <x:v>1106</x:v>
      </x:c>
      <x:c r="L479" t="n">
        <x:v>1503</x:v>
      </x:c>
      <x:c r="M479" t="n">
        <x:v>1389</x:v>
      </x:c>
      <x:c r="N479" t="n">
        <x:v>433</x:v>
      </x:c>
      <x:c r="O479" t="n">
        <x:v>0.35</x:v>
      </x:c>
      <x:c r="P479" t="n">
        <x:v>0.16</x:v>
      </x:c>
      <x:c r="Q479" t="n">
        <x:v>0.15</x:v>
      </x:c>
      <x:c r="R479" t="n">
        <x:v>2.36</x:v>
      </x:c>
      <x:c r="S479" t="n">
        <x:v>73</x:v>
      </x:c>
      <x:c r="T479" t="n">
        <x:v>73</x:v>
      </x:c>
      <x:c r="U479" t="n">
        <x:v>2.13</x:v>
      </x:c>
      <x:c r="V479" t="n">
        <x:v>0</x:v>
      </x:c>
      <x:c r="W479" t="n">
        <x:v>7</x:v>
      </x:c>
      <x:c r="X479" t="n">
        <x:v>95</x:v>
      </x:c>
      <x:c r="Y479" t="n">
        <x:v>85</x:v>
      </x:c>
      <x:c r="Z479" t="n">
        <x:v>42</x:v>
      </x:c>
      <x:c r="AA479" t="n">
        <x:v>21</x:v>
      </x:c>
      <x:c r="AB479" t="n">
        <x:v>22</x:v>
      </x:c>
      <x:c r="AC479" t="n">
        <x:v>1.5</x:v>
      </x:c>
      <x:c r="AD479" t="n">
        <x:v>52.4</x:v>
      </x:c>
      <x:c r="AE479" t="n">
        <x:v>0.12</x:v>
      </x:c>
      <x:c r="AF479"/>
      <x:c r="AG479"/>
      <x:c r="AH479"/>
      <x:c r="AI479"/>
      <x:c r="AJ479"/>
      <x:c r="AK479" t="n">
        <x:v>250</x:v>
      </x:c>
      <x:c r="AL479"/>
      <x:c r="AM479" t="n">
        <x:v>1</x:v>
      </x:c>
      <x:c r="AN479" t="n">
        <x:v>0</x:v>
      </x:c>
      <x:c r="AO479" t="n">
        <x:v>0</x:v>
      </x:c>
      <x:c r="AP479" t="n">
        <x:v>1</x:v>
      </x:c>
      <x:c r="AQ479" t="n">
        <x:v>0</x:v>
      </x:c>
      <x:c r="AR479" t="n">
        <x:v>1</x:v>
      </x:c>
      <x:c r="AS479" t="n">
        <x:v>1</x:v>
      </x:c>
      <x:c r="AT479" t="n">
        <x:v>1</x:v>
      </x:c>
      <x:c r="AU479" t="str">
        <x:v>energiattester_export_2025-08-14.json | PDF vedlegg side 5-7</x:v>
      </x:c>
      <x:c r="AV479" s="12" t="n">
        <x:f>IF(COUNT(O479,P479,Q479,R479,K479,L479,M479,N479)=8,O479*K479+P479*L479+Q479*M479+R479*N479,"")</x:f>
        <x:v>1857.81</x:v>
      </x:c>
      <x:c r="AW479" s="12" t="n">
        <x:f>IF(AND(ISNUMBER(AV479),H479&gt;0),AV479/H479,"")</x:f>
        <x:v>0.7354750593824227</x:v>
      </x:c>
      <x:c r="AX479" s="12" t="n">
        <x:f>IF(AND(ISNUMBER(AD479),H479&gt;0),AD479*H479*3600,"")</x:f>
        <x:v>476504640</x:v>
      </x:c>
      <x:c r="AY479" s="12" t="n">
        <x:f>IF(AND(ISNUMBER(Y479),H479&gt;0),Y479*H479,"")</x:f>
        <x:v>214710</x:v>
      </x:c>
      <x:c r="AZ479" t="str">
        <x:v>Høy</x:v>
      </x:c>
    </x:row>
    <x:row r="480" ht="22" customHeight="1">
      <x:c r="A480" t="str">
        <x:v>OT-eba22865bdf5</x:v>
      </x:c>
      <x:c r="B480" t="n">
        <x:v>2015</x:v>
      </x:c>
      <x:c r="C480" t="str">
        <x:v>Kontorbygg</x:v>
      </x:c>
      <x:c r="D480" t="str">
        <x:v>KONTORER, MED VENTILASJON OG KJØLEANLEGG</x:v>
      </x:c>
      <x:c r="E480" t="str">
        <x:v>G</x:v>
      </x:c>
      <x:c r="F480" t="str">
        <x:v>RED</x:v>
      </x:c>
      <x:c r="G480" t="n">
        <x:v>1952</x:v>
      </x:c>
      <x:c r="H480" t="n">
        <x:v>243</x:v>
      </x:c>
      <x:c r="I480" t="n">
        <x:v>434</x:v>
      </x:c>
      <x:c r="J480" t="str">
        <x:v>PDF/avansert</x:v>
      </x:c>
      <x:c r="K480" t="n">
        <x:v>158</x:v>
      </x:c>
      <x:c r="L480" t="n">
        <x:v>220</x:v>
      </x:c>
      <x:c r="M480" t="n">
        <x:v>243</x:v>
      </x:c>
      <x:c r="N480" t="n">
        <x:v>26</x:v>
      </x:c>
      <x:c r="O480" t="n">
        <x:v>1.05</x:v>
      </x:c>
      <x:c r="P480" t="n">
        <x:v>0.43</x:v>
      </x:c>
      <x:c r="Q480" t="n">
        <x:v>0.3</x:v>
      </x:c>
      <x:c r="R480" t="n">
        <x:v>1.06</x:v>
      </x:c>
      <x:c r="S480" t="n">
        <x:v>45</x:v>
      </x:c>
      <x:c r="T480" t="n">
        <x:v>45</x:v>
      </x:c>
      <x:c r="U480" t="n">
        <x:v>4.64</x:v>
      </x:c>
      <x:c r="V480" t="n">
        <x:v>0.36</x:v>
      </x:c>
      <x:c r="W480" t="n">
        <x:v>12.5</x:v>
      </x:c>
      <x:c r="X480" t="n">
        <x:v>90</x:v>
      </x:c>
      <x:c r="Y480" t="n">
        <x:v>145</x:v>
      </x:c>
      <x:c r="Z480" t="n">
        <x:v>55</x:v>
      </x:c>
      <x:c r="AA480" t="n">
        <x:v>21</x:v>
      </x:c>
      <x:c r="AB480" t="n">
        <x:v>22</x:v>
      </x:c>
      <x:c r="AC480" t="n">
        <x:v>4</x:v>
      </x:c>
      <x:c r="AD480" t="n">
        <x:v>77.6</x:v>
      </x:c>
      <x:c r="AE480" t="n">
        <x:v>0.12</x:v>
      </x:c>
      <x:c r="AF480" t="n">
        <x:v>12</x:v>
      </x:c>
      <x:c r="AG480" t="n">
        <x:v>12</x:v>
      </x:c>
      <x:c r="AH480" t="n">
        <x:v>24</x:v>
      </x:c>
      <x:c r="AI480" t="n">
        <x:v>8</x:v>
      </x:c>
      <x:c r="AJ480" t="n">
        <x:v>11</x:v>
      </x:c>
      <x:c r="AK480" t="n">
        <x:v>250</x:v>
      </x:c>
      <x:c r="AL480" t="str">
        <x:v>Direkte elektrisk;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1</x:v>
      </x:c>
      <x:c r="AS480" t="n">
        <x:v>1</x:v>
      </x:c>
      <x:c r="AT480" t="n">
        <x:v>1</x:v>
      </x:c>
      <x:c r="AU480" t="str">
        <x:v>energiattester_export_2025-08-14.json | PDF vedlegg side 5-7</x:v>
      </x:c>
      <x:c r="AV480" s="12" t="n">
        <x:f>IF(COUNT(O480,P480,Q480,R480,K480,L480,M480,N480)=8,O480*K480+P480*L480+Q480*M480+R480*N480,"")</x:f>
        <x:v>360.96</x:v>
      </x:c>
      <x:c r="AW480" s="12" t="n">
        <x:f>IF(AND(ISNUMBER(AV480),H480&gt;0),AV480/H480,"")</x:f>
        <x:v>1.485432098765432</x:v>
      </x:c>
      <x:c r="AX480" s="12" t="n">
        <x:f>IF(AND(ISNUMBER(AD480),H480&gt;0),AD480*H480*3600,"")</x:f>
        <x:v>67884480</x:v>
      </x:c>
      <x:c r="AY480" s="12" t="n">
        <x:f>IF(AND(ISNUMBER(Y480),H480&gt;0),Y480*H480,"")</x:f>
        <x:v>35235</x:v>
      </x:c>
      <x:c r="AZ480" t="str">
        <x:v>Høy</x:v>
      </x:c>
    </x:row>
    <x:row r="481" ht="22" customHeight="1">
      <x:c r="A481" t="str">
        <x:v>OT-c6ceb1b0c6f7</x:v>
      </x:c>
      <x:c r="B481" t="n">
        <x:v>2015</x:v>
      </x:c>
      <x:c r="C481" t="str">
        <x:v>Kontorbygg</x:v>
      </x:c>
      <x:c r="D481" t="str">
        <x:v>KONTORER, ENKLE</x:v>
      </x:c>
      <x:c r="E481" t="str">
        <x:v>G</x:v>
      </x:c>
      <x:c r="F481" t="str">
        <x:v>RED</x:v>
      </x:c>
      <x:c r="G481" t="n">
        <x:v>1947</x:v>
      </x:c>
      <x:c r="H481" t="n">
        <x:v>510</x:v>
      </x:c>
      <x:c r="I481" t="n">
        <x:v>381</x:v>
      </x:c>
      <x:c r="J481" t="str">
        <x:v>PDF/avansert</x:v>
      </x:c>
      <x:c r="K481" t="n">
        <x:v>339</x:v>
      </x:c>
      <x:c r="L481" t="n">
        <x:v>255</x:v>
      </x:c>
      <x:c r="M481" t="n">
        <x:v>255</x:v>
      </x:c>
      <x:c r="N481" t="n">
        <x:v>91</x:v>
      </x:c>
      <x:c r="O481" t="n">
        <x:v>1</x:v>
      </x:c>
      <x:c r="P481" t="n">
        <x:v>0.6</x:v>
      </x:c>
      <x:c r="Q481" t="n">
        <x:v>0.3</x:v>
      </x:c>
      <x:c r="R481" t="n">
        <x:v>2.03</x:v>
      </x:c>
      <x:c r="S481" t="n">
        <x:v>48</x:v>
      </x:c>
      <x:c r="T481" t="n">
        <x:v>48</x:v>
      </x:c>
      <x:c r="U481" t="n">
        <x:v>2.87</x:v>
      </x:c>
      <x:c r="V481" t="n">
        <x:v>0.83</x:v>
      </x:c>
      <x:c r="W481" t="n">
        <x:v>10.8</x:v>
      </x:c>
      <x:c r="X481" t="n">
        <x:v>98</x:v>
      </x:c>
      <x:c r="Y481" t="n">
        <x:v>143</x:v>
      </x:c>
      <x:c r="Z481" t="n">
        <x:v>50</x:v>
      </x:c>
      <x:c r="AA481" t="n">
        <x:v>21</x:v>
      </x:c>
      <x:c r="AB481" t="n">
        <x:v>22</x:v>
      </x:c>
      <x:c r="AC481" t="n">
        <x:v>4</x:v>
      </x:c>
      <x:c r="AD481" t="n">
        <x:v>86.4</x:v>
      </x:c>
      <x:c r="AE481" t="n">
        <x:v>0.12</x:v>
      </x:c>
      <x:c r="AF481" t="n">
        <x:v>12</x:v>
      </x:c>
      <x:c r="AG481" t="n">
        <x:v>12</x:v>
      </x:c>
      <x:c r="AH481" t="n">
        <x:v>24</x:v>
      </x:c>
      <x:c r="AI481" t="n">
        <x:v>8</x:v>
      </x:c>
      <x:c r="AJ481" t="n">
        <x:v>11</x:v>
      </x:c>
      <x:c r="AK481" t="n">
        <x:v>250</x:v>
      </x:c>
      <x:c r="AL481" t="str">
        <x:v>Direkte elektrisk;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1</x:v>
      </x:c>
      <x:c r="AS481" t="n">
        <x:v>1</x:v>
      </x:c>
      <x:c r="AT481" t="n">
        <x:v>1</x:v>
      </x:c>
      <x:c r="AU481" t="str">
        <x:v>energiattester_export_2025-08-14.json | PDF vedlegg side 5-7</x:v>
      </x:c>
      <x:c r="AV481" s="12" t="n">
        <x:f>IF(COUNT(O481,P481,Q481,R481,K481,L481,M481,N481)=8,O481*K481+P481*L481+Q481*M481+R481*N481,"")</x:f>
        <x:v>753.23</x:v>
      </x:c>
      <x:c r="AW481" s="12" t="n">
        <x:f>IF(AND(ISNUMBER(AV481),H481&gt;0),AV481/H481,"")</x:f>
        <x:v>1.476921568627451</x:v>
      </x:c>
      <x:c r="AX481" s="12" t="n">
        <x:f>IF(AND(ISNUMBER(AD481),H481&gt;0),AD481*H481*3600,"")</x:f>
        <x:v>158630400</x:v>
      </x:c>
      <x:c r="AY481" s="12" t="n">
        <x:f>IF(AND(ISNUMBER(Y481),H481&gt;0),Y481*H481,"")</x:f>
        <x:v>72930</x:v>
      </x:c>
      <x:c r="AZ481" t="str">
        <x:v>Høy</x:v>
      </x:c>
    </x:row>
    <x:row r="482" ht="22" customHeight="1">
      <x:c r="A482" t="str">
        <x:v>OT-e7004622ead1</x:v>
      </x:c>
      <x:c r="B482" t="n">
        <x:v>2015</x:v>
      </x:c>
      <x:c r="C482" t="str">
        <x:v>Kontorbygg</x:v>
      </x:c>
      <x:c r="D482" t="str">
        <x:v>KONTORER, ENKLE</x:v>
      </x:c>
      <x:c r="E482" t="str">
        <x:v>G</x:v>
      </x:c>
      <x:c r="F482" t="str">
        <x:v>RED</x:v>
      </x:c>
      <x:c r="G482" t="n">
        <x:v>1947</x:v>
      </x:c>
      <x:c r="H482" t="n">
        <x:v>120</x:v>
      </x:c>
      <x:c r="I482" t="n">
        <x:v>324</x:v>
      </x:c>
      <x:c r="J482" t="str">
        <x:v>PDF/avansert</x:v>
      </x:c>
      <x:c r="K482" t="n">
        <x:v>169</x:v>
      </x:c>
      <x:c r="L482" t="n">
        <x:v>120</x:v>
      </x:c>
      <x:c r="M482" t="n">
        <x:v>120</x:v>
      </x:c>
      <x:c r="N482" t="n">
        <x:v>37</x:v>
      </x:c>
      <x:c r="O482" t="n">
        <x:v>0.75</x:v>
      </x:c>
      <x:c r="P482" t="n">
        <x:v>0.31</x:v>
      </x:c>
      <x:c r="Q482" t="n">
        <x:v>0.3</x:v>
      </x:c>
      <x:c r="R482" t="n">
        <x:v>1.31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7</x:v>
      </x:c>
      <x:c r="X482" t="n">
        <x:v>98</x:v>
      </x:c>
      <x:c r="Y482" t="n">
        <x:v>50</x:v>
      </x:c>
      <x:c r="Z482" t="n">
        <x:v>0</x:v>
      </x:c>
      <x:c r="AA482" t="n">
        <x:v>21</x:v>
      </x:c>
      <x:c r="AB482" t="n">
        <x:v>22</x:v>
      </x:c>
      <x:c r="AC482" t="n">
        <x:v>4</x:v>
      </x:c>
      <x:c r="AD482" t="n">
        <x:v>82.1</x:v>
      </x:c>
      <x:c r="AE482" t="n">
        <x:v>0.12</x:v>
      </x:c>
      <x:c r="AF482" t="n">
        <x:v>12</x:v>
      </x:c>
      <x:c r="AG482" t="n">
        <x:v>12</x:v>
      </x:c>
      <x:c r="AH482" t="n">
        <x:v>24</x:v>
      </x:c>
      <x:c r="AI482" t="n">
        <x:v>8</x:v>
      </x:c>
      <x:c r="AJ482" t="n">
        <x:v>11</x:v>
      </x:c>
      <x:c r="AK482" t="n">
        <x:v>250</x:v>
      </x:c>
      <x:c r="AL482" t="str">
        <x:v>Direkte elektrisk;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1</x:v>
      </x:c>
      <x:c r="AS482" t="n">
        <x:v>1</x:v>
      </x:c>
      <x:c r="AT482" t="n">
        <x:v>1</x:v>
      </x:c>
      <x:c r="AU482" t="str">
        <x:v>energiattester_export_2025-08-14.json | PDF vedlegg side 5-7</x:v>
      </x:c>
      <x:c r="AV482" s="12" t="n">
        <x:f>IF(COUNT(O482,P482,Q482,R482,K482,L482,M482,N482)=8,O482*K482+P482*L482+Q482*M482+R482*N482,"")</x:f>
        <x:v>248.42</x:v>
      </x:c>
      <x:c r="AW482" s="12" t="n">
        <x:f>IF(AND(ISNUMBER(AV482),H482&gt;0),AV482/H482,"")</x:f>
        <x:v>2.0701666666666667</x:v>
      </x:c>
      <x:c r="AX482" s="12" t="n">
        <x:f>IF(AND(ISNUMBER(AD482),H482&gt;0),AD482*H482*3600,"")</x:f>
        <x:v>35467200</x:v>
      </x:c>
      <x:c r="AY482" s="12" t="n">
        <x:f>IF(AND(ISNUMBER(Y482),H482&gt;0),Y482*H482,"")</x:f>
        <x:v>6000</x:v>
      </x:c>
      <x:c r="AZ482" t="str">
        <x:v>Høy</x:v>
      </x:c>
    </x:row>
    <x:row r="483" ht="22" customHeight="1">
      <x:c r="A483" t="str">
        <x:v>OT-30d5924cb8f1</x:v>
      </x:c>
      <x:c r="B483" t="n">
        <x:v>2015</x:v>
      </x:c>
      <x:c r="C483" t="str">
        <x:v>Kontorbygg</x:v>
      </x:c>
      <x:c r="D483" t="str">
        <x:v>KONTORER, ENKLE</x:v>
      </x:c>
      <x:c r="E483" t="str">
        <x:v>G</x:v>
      </x:c>
      <x:c r="F483" t="str">
        <x:v>RED</x:v>
      </x:c>
      <x:c r="G483" t="n">
        <x:v>1947</x:v>
      </x:c>
      <x:c r="H483" t="n">
        <x:v>159</x:v>
      </x:c>
      <x:c r="I483" t="n">
        <x:v>328</x:v>
      </x:c>
      <x:c r="J483" t="str">
        <x:v>PDF/avansert</x:v>
      </x:c>
      <x:c r="K483" t="n">
        <x:v>189</x:v>
      </x:c>
      <x:c r="L483" t="n">
        <x:v>159</x:v>
      </x:c>
      <x:c r="M483" t="n">
        <x:v>159</x:v>
      </x:c>
      <x:c r="N483" t="n">
        <x:v>48</x:v>
      </x:c>
      <x:c r="O483" t="n">
        <x:v>0.72</x:v>
      </x:c>
      <x:c r="P483" t="n">
        <x:v>0.31</x:v>
      </x:c>
      <x:c r="Q483" t="n">
        <x:v>0.34</x:v>
      </x:c>
      <x:c r="R483" t="n">
        <x:v>1.44</x:v>
      </x:c>
      <x:c r="S483" t="n">
        <x:v>0</x:v>
      </x:c>
      <x:c r="T483" t="n">
        <x:v>0</x:v>
      </x:c>
      <x:c r="U483" t="n">
        <x:v>0.71</x:v>
      </x:c>
      <x:c r="V483" t="n">
        <x:v>0</x:v>
      </x:c>
      <x:c r="W483" t="n">
        <x:v>7</x:v>
      </x:c>
      <x:c r="X483" t="n">
        <x:v>98</x:v>
      </x:c>
      <x:c r="Y483" t="n">
        <x:v>50</x:v>
      </x:c>
      <x:c r="Z483" t="n">
        <x:v>0</x:v>
      </x:c>
      <x:c r="AA483" t="n">
        <x:v>21</x:v>
      </x:c>
      <x:c r="AB483" t="n">
        <x:v>22</x:v>
      </x:c>
      <x:c r="AC483" t="n">
        <x:v>4</x:v>
      </x:c>
      <x:c r="AD483" t="n">
        <x:v>81.1</x:v>
      </x:c>
      <x:c r="AE483" t="n">
        <x:v>0.12</x:v>
      </x:c>
      <x:c r="AF483" t="n">
        <x:v>12</x:v>
      </x:c>
      <x:c r="AG483" t="n">
        <x:v>12</x:v>
      </x:c>
      <x:c r="AH483" t="n">
        <x:v>24</x:v>
      </x:c>
      <x:c r="AI483" t="n">
        <x:v>8</x:v>
      </x:c>
      <x:c r="AJ483" t="n">
        <x:v>11</x:v>
      </x:c>
      <x:c r="AK483" t="n">
        <x:v>250</x:v>
      </x:c>
      <x:c r="AL483" t="str">
        <x:v>Direkte elektrisk;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1</x:v>
      </x:c>
      <x:c r="AS483" t="n">
        <x:v>1</x:v>
      </x:c>
      <x:c r="AT483" t="n">
        <x:v>1</x:v>
      </x:c>
      <x:c r="AU483" t="str">
        <x:v>energiattester_export_2025-08-14.json | PDF vedlegg side 5-7</x:v>
      </x:c>
      <x:c r="AV483" s="12" t="n">
        <x:f>IF(COUNT(O483,P483,Q483,R483,K483,L483,M483,N483)=8,O483*K483+P483*L483+Q483*M483+R483*N483,"")</x:f>
        <x:v>308.54999999999995</x:v>
      </x:c>
      <x:c r="AW483" s="12" t="n">
        <x:f>IF(AND(ISNUMBER(AV483),H483&gt;0),AV483/H483,"")</x:f>
        <x:v>1.9405660377358487</x:v>
      </x:c>
      <x:c r="AX483" s="12" t="n">
        <x:f>IF(AND(ISNUMBER(AD483),H483&gt;0),AD483*H483*3600,"")</x:f>
        <x:v>46421640</x:v>
      </x:c>
      <x:c r="AY483" s="12" t="n">
        <x:f>IF(AND(ISNUMBER(Y483),H483&gt;0),Y483*H483,"")</x:f>
        <x:v>7950</x:v>
      </x:c>
      <x:c r="AZ483" t="str">
        <x:v>Høy</x:v>
      </x:c>
    </x:row>
    <x:row r="484" ht="22" customHeight="1">
      <x:c r="A484" t="str">
        <x:v>OT-b97d1df7acce</x:v>
      </x:c>
      <x:c r="B484" t="n">
        <x:v>2015</x:v>
      </x:c>
      <x:c r="C484" t="str">
        <x:v>Kontorbygg</x:v>
      </x:c>
      <x:c r="D484" t="str">
        <x:v>KONTORER, MED VENTILASJON OG KJØLEANLEGG</x:v>
      </x:c>
      <x:c r="E484" t="str">
        <x:v>E</x:v>
      </x:c>
      <x:c r="F484" t="str">
        <x:v>ORANGE</x:v>
      </x:c>
      <x:c r="G484" t="n">
        <x:v>1978</x:v>
      </x:c>
      <x:c r="H484" t="n">
        <x:v>991</x:v>
      </x:c>
      <x:c r="I484" t="n">
        <x:v>193</x:v>
      </x:c>
      <x:c r="J484" t="str">
        <x:v>PDF/avansert</x:v>
      </x:c>
      <x:c r="K484" t="n">
        <x:v>343</x:v>
      </x:c>
      <x:c r="L484" t="n">
        <x:v>0</x:v>
      </x:c>
      <x:c r="M484" t="n">
        <x:v>991</x:v>
      </x:c>
      <x:c r="N484" t="n">
        <x:v>110</x:v>
      </x:c>
      <x:c r="O484" t="n">
        <x:v>0.52</x:v>
      </x:c>
      <x:c r="P484" t="n">
        <x:v>0</x:v>
      </x:c>
      <x:c r="Q484" t="n">
        <x:v>0.06</x:v>
      </x:c>
      <x:c r="R484" t="n">
        <x:v>2.11</x:v>
      </x:c>
      <x:c r="S484" t="n">
        <x:v>60</x:v>
      </x:c>
      <x:c r="T484" t="n">
        <x:v>60</x:v>
      </x:c>
      <x:c r="U484" t="n">
        <x:v>3.34</x:v>
      </x:c>
      <x:c r="V484" t="n">
        <x:v>0.42</x:v>
      </x:c>
      <x:c r="W484" t="n">
        <x:v>7</x:v>
      </x:c>
      <x:c r="X484" t="n">
        <x:v>192</x:v>
      </x:c>
      <x:c r="Y484" t="n">
        <x:v>63</x:v>
      </x:c>
      <x:c r="Z484" t="n">
        <x:v>0</x:v>
      </x:c>
      <x:c r="AA484" t="n">
        <x:v>21</x:v>
      </x:c>
      <x:c r="AB484" t="n">
        <x:v>22</x:v>
      </x:c>
      <x:c r="AC484" t="n">
        <x:v>6</x:v>
      </x:c>
      <x:c r="AD484" t="n">
        <x:v>93.6</x:v>
      </x:c>
      <x:c r="AE484" t="n">
        <x:v>0.12</x:v>
      </x:c>
      <x:c r="AF484" t="n">
        <x:v>12</x:v>
      </x:c>
      <x:c r="AG484" t="n">
        <x:v>12</x:v>
      </x:c>
      <x:c r="AH484" t="n">
        <x:v>24</x:v>
      </x:c>
      <x:c r="AI484" t="n">
        <x:v>8</x:v>
      </x:c>
      <x:c r="AJ484" t="n">
        <x:v>11</x:v>
      </x:c>
      <x:c r="AK484" t="n">
        <x:v>250</x:v>
      </x:c>
      <x:c r="AL484" t="str">
        <x:v>Direkte elektrisk; Varmepumpe;</x:v>
      </x:c>
      <x:c r="AM484" t="n">
        <x:v>1</x:v>
      </x:c>
      <x:c r="AN484" t="n">
        <x:v>0</x:v>
      </x:c>
      <x:c r="AO484" t="n">
        <x:v>1</x:v>
      </x:c>
      <x:c r="AP484" t="n">
        <x:v>1</x:v>
      </x:c>
      <x:c r="AQ484" t="n">
        <x:v>0</x:v>
      </x:c>
      <x:c r="AR484" t="n">
        <x:v>1</x:v>
      </x:c>
      <x:c r="AS484" t="n">
        <x:v>1</x:v>
      </x:c>
      <x:c r="AT484" t="n">
        <x:v>1</x:v>
      </x:c>
      <x:c r="AU484" t="str">
        <x:v>energiattester_export_2025-08-14.json | PDF vedlegg side 5-7</x:v>
      </x:c>
      <x:c r="AV484" s="12" t="n">
        <x:f>IF(COUNT(O484,P484,Q484,R484,K484,L484,M484,N484)=8,O484*K484+P484*L484+Q484*M484+R484*N484,"")</x:f>
        <x:v>469.92</x:v>
      </x:c>
      <x:c r="AW484" s="12" t="n">
        <x:f>IF(AND(ISNUMBER(AV484),H484&gt;0),AV484/H484,"")</x:f>
        <x:v>0.47418768920282545</x:v>
      </x:c>
      <x:c r="AX484" s="12" t="n">
        <x:f>IF(AND(ISNUMBER(AD484),H484&gt;0),AD484*H484*3600,"")</x:f>
        <x:v>333927359.99999994</x:v>
      </x:c>
      <x:c r="AY484" s="12" t="n">
        <x:f>IF(AND(ISNUMBER(Y484),H484&gt;0),Y484*H484,"")</x:f>
        <x:v>62433</x:v>
      </x:c>
      <x:c r="AZ484" t="str">
        <x:v>Høy</x:v>
      </x:c>
    </x:row>
    <x:row r="485" ht="22" customHeight="1">
      <x:c r="A485" t="str">
        <x:v>OT-1cceba45ff79</x:v>
      </x:c>
      <x:c r="B485" t="n">
        <x:v>2015</x:v>
      </x:c>
      <x:c r="C485" t="str">
        <x:v>Kontorbygg</x:v>
      </x:c>
      <x:c r="D485" t="str">
        <x:v>KONTORER, MED VENTILASJON OG KJØLEANLEGG</x:v>
      </x:c>
      <x:c r="E485" t="str">
        <x:v>D</x:v>
      </x:c>
      <x:c r="F485" t="str">
        <x:v>ORANGE</x:v>
      </x:c>
      <x:c r="G485" t="n">
        <x:v>1978</x:v>
      </x:c>
      <x:c r="H485" t="n">
        <x:v>9239</x:v>
      </x:c>
      <x:c r="I485" t="n">
        <x:v>180</x:v>
      </x:c>
      <x:c r="J485" t="str">
        <x:v>PDF/avansert</x:v>
      </x:c>
      <x:c r="K485" t="n">
        <x:v>4031</x:v>
      </x:c>
      <x:c r="L485" t="n">
        <x:v>2839</x:v>
      </x:c>
      <x:c r="M485" t="n">
        <x:v>1485</x:v>
      </x:c>
      <x:c r="N485" t="n">
        <x:v>1173</x:v>
      </x:c>
      <x:c r="O485" t="n">
        <x:v>0.52</x:v>
      </x:c>
      <x:c r="P485" t="n">
        <x:v>0.2</x:v>
      </x:c>
      <x:c r="Q485" t="n">
        <x:v>0.29</x:v>
      </x:c>
      <x:c r="R485" t="n">
        <x:v>2.4</x:v>
      </x:c>
      <x:c r="S485" t="n">
        <x:v>56</x:v>
      </x:c>
      <x:c r="T485" t="n">
        <x:v>56</x:v>
      </x:c>
      <x:c r="U485" t="n">
        <x:v>3.17</x:v>
      </x:c>
      <x:c r="V485" t="n">
        <x:v>0.41</x:v>
      </x:c>
      <x:c r="W485" t="n">
        <x:v>7</x:v>
      </x:c>
      <x:c r="X485" t="n">
        <x:v>192</x:v>
      </x:c>
      <x:c r="Y485" t="n">
        <x:v>74</x:v>
      </x:c>
      <x:c r="Z485" t="n">
        <x:v>42</x:v>
      </x:c>
      <x:c r="AA485" t="n">
        <x:v>21</x:v>
      </x:c>
      <x:c r="AB485" t="n">
        <x:v>22</x:v>
      </x:c>
      <x:c r="AC485" t="n">
        <x:v>5</x:v>
      </x:c>
      <x:c r="AD485" t="n">
        <x:v>98.5</x:v>
      </x:c>
      <x:c r="AE485" t="n">
        <x:v>0.12</x:v>
      </x:c>
      <x:c r="AF485"/>
      <x:c r="AG485"/>
      <x:c r="AH485"/>
      <x:c r="AI485"/>
      <x:c r="AJ485"/>
      <x:c r="AK485" t="n">
        <x:v>240</x:v>
      </x:c>
      <x:c r="AL485"/>
      <x:c r="AM485" t="n">
        <x:v>1</x:v>
      </x:c>
      <x:c r="AN485" t="n">
        <x:v>0</x:v>
      </x:c>
      <x:c r="AO485" t="n">
        <x:v>1</x:v>
      </x:c>
      <x:c r="AP485" t="n">
        <x:v>1</x:v>
      </x:c>
      <x:c r="AQ485" t="n">
        <x:v>1</x:v>
      </x:c>
      <x:c r="AR485" t="n">
        <x:v>1</x:v>
      </x:c>
      <x:c r="AS485" t="n">
        <x:v>1</x:v>
      </x:c>
      <x:c r="AT485" t="n">
        <x:v>1</x:v>
      </x:c>
      <x:c r="AU485" t="str">
        <x:v>energiattester_export_2025-08-14.json | PDF vedlegg side 5-7</x:v>
      </x:c>
      <x:c r="AV485" s="12" t="n">
        <x:f>IF(COUNT(O485,P485,Q485,R485,K485,L485,M485,N485)=8,O485*K485+P485*L485+Q485*M485+R485*N485,"")</x:f>
        <x:v>5909.77</x:v>
      </x:c>
      <x:c r="AW485" s="12" t="n">
        <x:f>IF(AND(ISNUMBER(AV485),H485&gt;0),AV485/H485,"")</x:f>
        <x:v>0.6396547245372877</x:v>
      </x:c>
      <x:c r="AX485" s="12" t="n">
        <x:f>IF(AND(ISNUMBER(AD485),H485&gt;0),AD485*H485*3600,"")</x:f>
        <x:v>3276149400</x:v>
      </x:c>
      <x:c r="AY485" s="12" t="n">
        <x:f>IF(AND(ISNUMBER(Y485),H485&gt;0),Y485*H485,"")</x:f>
        <x:v>683686</x:v>
      </x:c>
      <x:c r="AZ485" t="str">
        <x:v>Høy</x:v>
      </x:c>
    </x:row>
    <x:row r="486" ht="22" customHeight="1">
      <x:c r="A486" t="str">
        <x:v>OT-8452479fa682</x:v>
      </x:c>
      <x:c r="B486" t="n">
        <x:v>2015</x:v>
      </x:c>
      <x:c r="C486" t="str">
        <x:v>Kontorbygg</x:v>
      </x:c>
      <x:c r="D486" t="str">
        <x:v>KONTORER, ENKLE</x:v>
      </x:c>
      <x:c r="E486" t="str">
        <x:v>C</x:v>
      </x:c>
      <x:c r="F486" t="str">
        <x:v>RED</x:v>
      </x:c>
      <x:c r="G486" t="n">
        <x:v>2012</x:v>
      </x:c>
      <x:c r="H486" t="n">
        <x:v>2957</x:v>
      </x:c>
      <x:c r="I486" t="n">
        <x:v>142.7</x:v>
      </x:c>
      <x:c r="J486" t="str">
        <x:v>PDF/avansert</x:v>
      </x:c>
      <x:c r="K486" t="n">
        <x:v>184</x:v>
      </x:c>
      <x:c r="L486" t="n">
        <x:v>0</x:v>
      </x:c>
      <x:c r="M486" t="n">
        <x:v>178</x:v>
      </x:c>
      <x:c r="N486" t="n">
        <x:v>43</x:v>
      </x:c>
      <x:c r="O486" t="n">
        <x:v>0.2</x:v>
      </x:c>
      <x:c r="P486" t="n">
        <x:v>0</x:v>
      </x:c>
      <x:c r="Q486" t="n">
        <x:v>0.14</x:v>
      </x:c>
      <x:c r="R486" t="n">
        <x:v>1.13</x:v>
      </x:c>
      <x:c r="S486" t="n">
        <x:v>75</x:v>
      </x:c>
      <x:c r="T486" t="n">
        <x:v>75</x:v>
      </x:c>
      <x:c r="U486" t="n">
        <x:v>2.3</x:v>
      </x:c>
      <x:c r="V486" t="n">
        <x:v>0</x:v>
      </x:c>
      <x:c r="W486" t="n">
        <x:v>8.5</x:v>
      </x:c>
      <x:c r="X486" t="n">
        <x:v>92</x:v>
      </x:c>
      <x:c r="Y486" t="n">
        <x:v>77</x:v>
      </x:c>
      <x:c r="Z486" t="n">
        <x:v>490</x:v>
      </x:c>
      <x:c r="AA486" t="n">
        <x:v>21</x:v>
      </x:c>
      <x:c r="AB486" t="n">
        <x:v>22</x:v>
      </x:c>
      <x:c r="AC486" t="n">
        <x:v>1.5</x:v>
      </x:c>
      <x:c r="AD486" t="n">
        <x:v>113.1</x:v>
      </x:c>
      <x:c r="AE486" t="n">
        <x:v>0.09</x:v>
      </x:c>
      <x:c r="AF486" t="n">
        <x:v>12</x:v>
      </x:c>
      <x:c r="AG486" t="n">
        <x:v>12</x:v>
      </x:c>
      <x:c r="AH486" t="n">
        <x:v>24</x:v>
      </x:c>
      <x:c r="AI486" t="n">
        <x:v>8</x:v>
      </x:c>
      <x:c r="AJ486" t="n">
        <x:v>11</x:v>
      </x:c>
      <x:c r="AK486" t="n">
        <x:v>250</x:v>
      </x:c>
      <x:c r="AL486" t="str">
        <x:v>Direkte elektrisk;</x:v>
      </x:c>
      <x:c r="AM486" t="n">
        <x:v>1</x:v>
      </x:c>
      <x:c r="AN486" t="n">
        <x:v>0</x:v>
      </x:c>
      <x:c r="AO486" t="n">
        <x:v>0</x:v>
      </x:c>
      <x:c r="AP486" t="n">
        <x:v>1</x:v>
      </x:c>
      <x:c r="AQ486" t="n">
        <x:v>0</x:v>
      </x:c>
      <x:c r="AR486" t="n">
        <x:v>1</x:v>
      </x:c>
      <x:c r="AS486" t="n">
        <x:v>1</x:v>
      </x:c>
      <x:c r="AT486" t="n">
        <x:v>1</x:v>
      </x:c>
      <x:c r="AU486" t="str">
        <x:v>energiattester_export_2025-08-14.json | PDF vedlegg side 5-7</x:v>
      </x:c>
      <x:c r="AV486" s="12" t="n">
        <x:f>IF(COUNT(O486,P486,Q486,R486,K486,L486,M486,N486)=8,O486*K486+P486*L486+Q486*M486+R486*N486,"")</x:f>
        <x:v>110.31</x:v>
      </x:c>
      <x:c r="AW486" s="12" t="n">
        <x:f>IF(AND(ISNUMBER(AV486),H486&gt;0),AV486/H486,"")</x:f>
        <x:v>0.03730470071017924</x:v>
      </x:c>
      <x:c r="AX486" s="12" t="n">
        <x:f>IF(AND(ISNUMBER(AD486),H486&gt;0),AD486*H486*3600,"")</x:f>
        <x:v>1203972120</x:v>
      </x:c>
      <x:c r="AY486" s="12" t="n">
        <x:f>IF(AND(ISNUMBER(Y486),H486&gt;0),Y486*H486,"")</x:f>
        <x:v>227689</x:v>
      </x:c>
      <x:c r="AZ486" t="str">
        <x:v>Høy</x:v>
      </x:c>
    </x:row>
    <x:row r="487" ht="22" customHeight="1">
      <x:c r="A487" t="str">
        <x:v>OT-aaf792b6d205</x:v>
      </x:c>
      <x:c r="B487" t="n">
        <x:v>2015</x:v>
      </x:c>
      <x:c r="C487" t="str">
        <x:v>Forretningsbygg</x:v>
      </x:c>
      <x:c r="D487" t="str">
        <x:v>BUTIKK</x:v>
      </x:c>
      <x:c r="E487" t="str">
        <x:v>E</x:v>
      </x:c>
      <x:c r="F487" t="str">
        <x:v>RED</x:v>
      </x:c>
      <x:c r="G487" t="n">
        <x:v>1978</x:v>
      </x:c>
      <x:c r="H487" t="n">
        <x:v>2185</x:v>
      </x:c>
      <x:c r="I487" t="n">
        <x:v>260.6</x:v>
      </x:c>
      <x:c r="J487" t="str">
        <x:v>PDF/avansert</x:v>
      </x:c>
      <x:c r="K487" t="n">
        <x:v>818</x:v>
      </x:c>
      <x:c r="L487" t="n">
        <x:v>1020</x:v>
      </x:c>
      <x:c r="M487" t="n">
        <x:v>1020</x:v>
      </x:c>
      <x:c r="N487" t="n">
        <x:v>394</x:v>
      </x:c>
      <x:c r="O487" t="n">
        <x:v>0.34</x:v>
      </x:c>
      <x:c r="P487" t="n">
        <x:v>0.17</x:v>
      </x:c>
      <x:c r="Q487" t="n">
        <x:v>0.14</x:v>
      </x:c>
      <x:c r="R487" t="n">
        <x:v>2.51</x:v>
      </x:c>
      <x:c r="S487" t="n">
        <x:v>34</x:v>
      </x:c>
      <x:c r="T487" t="n">
        <x:v>34</x:v>
      </x:c>
      <x:c r="U487" t="n">
        <x:v>1.52</x:v>
      </x:c>
      <x:c r="V487" t="n">
        <x:v>0.11</x:v>
      </x:c>
      <x:c r="W487" t="n">
        <x:v>13</x:v>
      </x:c>
      <x:c r="X487" t="n">
        <x:v>95</x:v>
      </x:c>
      <x:c r="Y487" t="n">
        <x:v>74</x:v>
      </x:c>
      <x:c r="Z487" t="n">
        <x:v>0</x:v>
      </x:c>
      <x:c r="AA487" t="n">
        <x:v>21</x:v>
      </x:c>
      <x:c r="AB487" t="n">
        <x:v>22</x:v>
      </x:c>
      <x:c r="AC487" t="n">
        <x:v>1.5</x:v>
      </x:c>
      <x:c r="AD487" t="n">
        <x:v>109.2</x:v>
      </x:c>
      <x:c r="AE487" t="n">
        <x:v>0.12</x:v>
      </x:c>
      <x:c r="AF487" t="n">
        <x:v>12</x:v>
      </x:c>
      <x:c r="AG487" t="n">
        <x:v>12</x:v>
      </x:c>
      <x:c r="AH487" t="n">
        <x:v>24</x:v>
      </x:c>
      <x:c r="AI487" t="n">
        <x:v>15</x:v>
      </x:c>
      <x:c r="AJ487" t="n">
        <x:v>1</x:v>
      </x:c>
      <x:c r="AK487" t="n">
        <x:v>250</x:v>
      </x:c>
      <x:c r="AL487" t="str">
        <x:v>Direkte elektrisk;</x:v>
      </x:c>
      <x:c r="AM487" t="n">
        <x:v>1</x:v>
      </x:c>
      <x:c r="AN487" t="n">
        <x:v>0</x:v>
      </x:c>
      <x:c r="AO487" t="n">
        <x:v>0</x:v>
      </x:c>
      <x:c r="AP487" t="n">
        <x:v>1</x:v>
      </x:c>
      <x:c r="AQ487" t="n">
        <x:v>0</x:v>
      </x:c>
      <x:c r="AR487" t="n">
        <x:v>1</x:v>
      </x:c>
      <x:c r="AS487" t="n">
        <x:v>1</x:v>
      </x:c>
      <x:c r="AT487" t="n">
        <x:v>1</x:v>
      </x:c>
      <x:c r="AU487" t="str">
        <x:v>energiattester_export_2025-08-14.json | PDF vedlegg side 5-7</x:v>
      </x:c>
      <x:c r="AV487" s="12" t="n">
        <x:f>IF(COUNT(O487,P487,Q487,R487,K487,L487,M487,N487)=8,O487*K487+P487*L487+Q487*M487+R487*N487,"")</x:f>
        <x:v>1583.2599999999998</x:v>
      </x:c>
      <x:c r="AW487" s="12" t="n">
        <x:f>IF(AND(ISNUMBER(AV487),H487&gt;0),AV487/H487,"")</x:f>
        <x:v>0.7246041189931349</x:v>
      </x:c>
      <x:c r="AX487" s="12" t="n">
        <x:f>IF(AND(ISNUMBER(AD487),H487&gt;0),AD487*H487*3600,"")</x:f>
        <x:v>858967200</x:v>
      </x:c>
      <x:c r="AY487" s="12" t="n">
        <x:f>IF(AND(ISNUMBER(Y487),H487&gt;0),Y487*H487,"")</x:f>
        <x:v>161690</x:v>
      </x:c>
      <x:c r="AZ487" t="str">
        <x:v>Høy</x:v>
      </x:c>
    </x:row>
    <x:row r="488" ht="22" customHeight="1">
      <x:c r="A488" t="str">
        <x:v>OT-97253a6b4313</x:v>
      </x:c>
      <x:c r="B488" t="n">
        <x:v>2015</x:v>
      </x:c>
      <x:c r="C488" t="str">
        <x:v>Forretningsbygg</x:v>
      </x:c>
      <x:c r="D488" t="str">
        <x:v>BUTIKK MED KJØLE- / FRYSEROM</x:v>
      </x:c>
      <x:c r="E488" t="str">
        <x:v>B</x:v>
      </x:c>
      <x:c r="F488" t="str">
        <x:v>RED</x:v>
      </x:c>
      <x:c r="G488" t="n">
        <x:v>2007</x:v>
      </x:c>
      <x:c r="H488" t="n">
        <x:v>1946</x:v>
      </x:c>
      <x:c r="I488" t="n">
        <x:v>154.9</x:v>
      </x:c>
      <x:c r="J488" t="str">
        <x:v>PDF/avansert</x:v>
      </x:c>
      <x:c r="K488" t="n">
        <x:v>733</x:v>
      </x:c>
      <x:c r="L488" t="n">
        <x:v>1946</x:v>
      </x:c>
      <x:c r="M488" t="n">
        <x:v>1946</x:v>
      </x:c>
      <x:c r="N488" t="n">
        <x:v>92</x:v>
      </x:c>
      <x:c r="O488" t="n">
        <x:v>0.2</x:v>
      </x:c>
      <x:c r="P488" t="n">
        <x:v>0.2</x:v>
      </x:c>
      <x:c r="Q488" t="n">
        <x:v>0.11</x:v>
      </x:c>
      <x:c r="R488" t="n">
        <x:v>1.39</x:v>
      </x:c>
      <x:c r="S488" t="n">
        <x:v>90</x:v>
      </x:c>
      <x:c r="T488" t="n">
        <x:v>90</x:v>
      </x:c>
      <x:c r="U488" t="n">
        <x:v>2.2</x:v>
      </x:c>
      <x:c r="V488" t="n">
        <x:v>0</x:v>
      </x:c>
      <x:c r="W488" t="n">
        <x:v>13</x:v>
      </x:c>
      <x:c r="X488" t="n">
        <x:v>86</x:v>
      </x:c>
      <x:c r="Y488" t="n">
        <x:v>76</x:v>
      </x:c>
      <x:c r="Z488" t="n">
        <x:v>30</x:v>
      </x:c>
      <x:c r="AA488" t="n">
        <x:v>21</x:v>
      </x:c>
      <x:c r="AB488" t="n">
        <x:v>22</x:v>
      </x:c>
      <x:c r="AC488" t="n">
        <x:v>2.5</x:v>
      </x:c>
      <x:c r="AD488" t="n">
        <x:v>153.7</x:v>
      </x:c>
      <x:c r="AE488" t="n">
        <x:v>0.09</x:v>
      </x:c>
      <x:c r="AF488" t="n">
        <x:v>12</x:v>
      </x:c>
      <x:c r="AG488" t="n">
        <x:v>12</x:v>
      </x:c>
      <x:c r="AH488" t="n">
        <x:v>24</x:v>
      </x:c>
      <x:c r="AI488" t="n">
        <x:v>15</x:v>
      </x:c>
      <x:c r="AJ488" t="n">
        <x:v>1</x:v>
      </x:c>
      <x:c r="AK488" t="n">
        <x:v>250</x:v>
      </x:c>
      <x:c r="AL488" t="str">
        <x:v>Direkte elektrisk;</x:v>
      </x:c>
      <x:c r="AM488" t="n">
        <x:v>1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1</x:v>
      </x:c>
      <x:c r="AS488" t="n">
        <x:v>1</x:v>
      </x:c>
      <x:c r="AT488" t="n">
        <x:v>1</x:v>
      </x:c>
      <x:c r="AU488" t="str">
        <x:v>energiattester_export_2025-08-14.json | PDF vedlegg side 5-7</x:v>
      </x:c>
      <x:c r="AV488" s="12" t="n">
        <x:f>IF(COUNT(O488,P488,Q488,R488,K488,L488,M488,N488)=8,O488*K488+P488*L488+Q488*M488+R488*N488,"")</x:f>
        <x:v>877.7400000000001</x:v>
      </x:c>
      <x:c r="AW488" s="12" t="n">
        <x:f>IF(AND(ISNUMBER(AV488),H488&gt;0),AV488/H488,"")</x:f>
        <x:v>0.4510483042137719</x:v>
      </x:c>
      <x:c r="AX488" s="12" t="n">
        <x:f>IF(AND(ISNUMBER(AD488),H488&gt;0),AD488*H488*3600,"")</x:f>
        <x:v>1076760719.9999998</x:v>
      </x:c>
      <x:c r="AY488" s="12" t="n">
        <x:f>IF(AND(ISNUMBER(Y488),H488&gt;0),Y488*H488,"")</x:f>
        <x:v>147896</x:v>
      </x:c>
      <x:c r="AZ488" t="str">
        <x:v>Høy</x:v>
      </x:c>
    </x:row>
    <x:row r="489" ht="22" customHeight="1">
      <x:c r="A489" t="str">
        <x:v>OT-105e2a1a86e9</x:v>
      </x:c>
      <x:c r="B489" t="n">
        <x:v>2015</x:v>
      </x:c>
      <x:c r="C489" t="str">
        <x:v>Kontorbygg</x:v>
      </x:c>
      <x:c r="D489" t="str">
        <x:v>KONTORER, ENKLE</x:v>
      </x:c>
      <x:c r="E489" t="str">
        <x:v>D</x:v>
      </x:c>
      <x:c r="F489" t="str">
        <x:v>GREEN</x:v>
      </x:c>
      <x:c r="G489" t="n">
        <x:v>2008</x:v>
      </x:c>
      <x:c r="H489" t="n">
        <x:v>7554</x:v>
      </x:c>
      <x:c r="I489" t="n">
        <x:v>177.9</x:v>
      </x:c>
      <x:c r="J489" t="str">
        <x:v>PDF/avansert</x:v>
      </x:c>
      <x:c r="K489" t="n">
        <x:v>2950</x:v>
      </x:c>
      <x:c r="L489" t="n">
        <x:v>2263</x:v>
      </x:c>
      <x:c r="M489" t="n">
        <x:v>2914</x:v>
      </x:c>
      <x:c r="N489" t="n">
        <x:v>1333</x:v>
      </x:c>
      <x:c r="O489" t="n">
        <x:v>0.23</x:v>
      </x:c>
      <x:c r="P489" t="n">
        <x:v>0.19</x:v>
      </x:c>
      <x:c r="Q489" t="n">
        <x:v>0.17</x:v>
      </x:c>
      <x:c r="R489" t="n">
        <x:v>1.21</x:v>
      </x:c>
      <x:c r="S489" t="n">
        <x:v>70</x:v>
      </x:c>
      <x:c r="T489" t="n">
        <x:v>70</x:v>
      </x:c>
      <x:c r="U489" t="n">
        <x:v>2</x:v>
      </x:c>
      <x:c r="V489" t="n">
        <x:v>0.27</x:v>
      </x:c>
      <x:c r="W489" t="n">
        <x:v>10</x:v>
      </x:c>
      <x:c r="X489" t="n">
        <x:v>288</x:v>
      </x:c>
      <x:c r="Y489" t="n">
        <x:v>240</x:v>
      </x:c>
      <x:c r="Z489" t="n">
        <x:v>519</x:v>
      </x:c>
      <x:c r="AA489" t="n">
        <x:v>21</x:v>
      </x:c>
      <x:c r="AB489" t="n">
        <x:v>22</x:v>
      </x:c>
      <x:c r="AC489" t="n">
        <x:v>1.5</x:v>
      </x:c>
      <x:c r="AD489" t="n">
        <x:v>88.5</x:v>
      </x:c>
      <x:c r="AE489" t="n">
        <x:v>0.06</x:v>
      </x:c>
      <x:c r="AF489" t="n">
        <x:v>12</x:v>
      </x:c>
      <x:c r="AG489" t="n">
        <x:v>12</x:v>
      </x:c>
      <x:c r="AH489" t="n">
        <x:v>24</x:v>
      </x:c>
      <x:c r="AI489" t="n">
        <x:v>8</x:v>
      </x:c>
      <x:c r="AJ489" t="n">
        <x:v>11</x:v>
      </x:c>
      <x:c r="AK489" t="n">
        <x:v>250</x:v>
      </x:c>
      <x:c r="AL489" t="str">
        <x:v>Fjernvarme; Solfanger;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1</x:v>
      </x:c>
      <x:c r="AS489" t="n">
        <x:v>0</x:v>
      </x:c>
      <x:c r="AT489" t="n">
        <x:v>0</x:v>
      </x:c>
      <x:c r="AU489" t="str">
        <x:v>energiattester_export_2025-08-14.json | PDF vedlegg side 5-7</x:v>
      </x:c>
      <x:c r="AV489" s="12" t="n">
        <x:f>IF(COUNT(O489,P489,Q489,R489,K489,L489,M489,N489)=8,O489*K489+P489*L489+Q489*M489+R489*N489,"")</x:f>
        <x:v>3216.78</x:v>
      </x:c>
      <x:c r="AW489" s="12" t="n">
        <x:f>IF(AND(ISNUMBER(AV489),H489&gt;0),AV489/H489,"")</x:f>
        <x:v>0.42583796664019063</x:v>
      </x:c>
      <x:c r="AX489" s="12" t="n">
        <x:f>IF(AND(ISNUMBER(AD489),H489&gt;0),AD489*H489*3600,"")</x:f>
        <x:v>2406704400</x:v>
      </x:c>
      <x:c r="AY489" s="12" t="n">
        <x:f>IF(AND(ISNUMBER(Y489),H489&gt;0),Y489*H489,"")</x:f>
        <x:v>1812960</x:v>
      </x:c>
      <x:c r="AZ489" t="str">
        <x:v>Høy</x:v>
      </x:c>
    </x:row>
    <x:row r="490" ht="22" customHeight="1">
      <x:c r="A490" t="str">
        <x:v>OT-b0d61b700ec6</x:v>
      </x:c>
      <x:c r="B490" t="n">
        <x:v>2015</x:v>
      </x:c>
      <x:c r="C490" t="str">
        <x:v>Kontorbygg</x:v>
      </x:c>
      <x:c r="D490" t="str">
        <x:v>KONTORER, ENKLE</x:v>
      </x:c>
      <x:c r="E490" t="str">
        <x:v>F</x:v>
      </x:c>
      <x:c r="F490" t="str">
        <x:v>RED</x:v>
      </x:c>
      <x:c r="G490" t="n">
        <x:v>2003</x:v>
      </x:c>
      <x:c r="H490" t="n">
        <x:v>1088</x:v>
      </x:c>
      <x:c r="I490" t="n">
        <x:v>245</x:v>
      </x:c>
      <x:c r="J490" t="str">
        <x:v>PDF/avansert</x:v>
      </x:c>
      <x:c r="K490" t="n">
        <x:v>935</x:v>
      </x:c>
      <x:c r="L490" t="n">
        <x:v>899</x:v>
      </x:c>
      <x:c r="M490" t="n">
        <x:v>593</x:v>
      </x:c>
      <x:c r="N490" t="n">
        <x:v>168</x:v>
      </x:c>
      <x:c r="O490" t="n">
        <x:v>0.27</x:v>
      </x:c>
      <x:c r="P490" t="n">
        <x:v>0.34</x:v>
      </x:c>
      <x:c r="Q490" t="n">
        <x:v>0.21</x:v>
      </x:c>
      <x:c r="R490" t="n">
        <x:v>1.35</x:v>
      </x:c>
      <x:c r="S490" t="n">
        <x:v>73</x:v>
      </x:c>
      <x:c r="T490" t="n">
        <x:v>73</x:v>
      </x:c>
      <x:c r="U490" t="n">
        <x:v>2</x:v>
      </x:c>
      <x:c r="V490" t="n">
        <x:v>0.43</x:v>
      </x:c>
      <x:c r="W490" t="n">
        <x:v>11.3</x:v>
      </x:c>
      <x:c r="X490" t="n">
        <x:v>98</x:v>
      </x:c>
      <x:c r="Y490" t="n">
        <x:v>125</x:v>
      </x:c>
      <x:c r="Z490" t="n">
        <x:v>0</x:v>
      </x:c>
      <x:c r="AA490" t="n">
        <x:v>21</x:v>
      </x:c>
      <x:c r="AB490" t="n">
        <x:v>22</x:v>
      </x:c>
      <x:c r="AC490" t="n">
        <x:v>4.36</x:v>
      </x:c>
      <x:c r="AD490" t="n">
        <x:v>28.2</x:v>
      </x:c>
      <x:c r="AE490" t="n">
        <x:v>0.05</x:v>
      </x:c>
      <x:c r="AF490" t="n">
        <x:v>12</x:v>
      </x:c>
      <x:c r="AG490" t="n">
        <x:v>12</x:v>
      </x:c>
      <x:c r="AH490" t="n">
        <x:v>24</x:v>
      </x:c>
      <x:c r="AI490" t="n">
        <x:v>8</x:v>
      </x:c>
      <x:c r="AJ490" t="n">
        <x:v>11</x:v>
      </x:c>
      <x:c r="AK490" t="n">
        <x:v>250</x:v>
      </x:c>
      <x:c r="AL490" t="str">
        <x:v>Direkte elektrisk;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1</x:v>
      </x:c>
      <x:c r="AT490" t="n">
        <x:v>0</x:v>
      </x:c>
      <x:c r="AU490" t="str">
        <x:v>energiattester_export_2025-08-14.json | PDF vedlegg side 5-7</x:v>
      </x:c>
      <x:c r="AV490" s="12" t="n">
        <x:f>IF(COUNT(O490,P490,Q490,R490,K490,L490,M490,N490)=8,O490*K490+P490*L490+Q490*M490+R490*N490,"")</x:f>
        <x:v>909.44</x:v>
      </x:c>
      <x:c r="AW490" s="12" t="n">
        <x:f>IF(AND(ISNUMBER(AV490),H490&gt;0),AV490/H490,"")</x:f>
        <x:v>0.8358823529411765</x:v>
      </x:c>
      <x:c r="AX490" s="12" t="n">
        <x:f>IF(AND(ISNUMBER(AD490),H490&gt;0),AD490*H490*3600,"")</x:f>
        <x:v>110453760</x:v>
      </x:c>
      <x:c r="AY490" s="12" t="n">
        <x:f>IF(AND(ISNUMBER(Y490),H490&gt;0),Y490*H490,"")</x:f>
        <x:v>136000</x:v>
      </x:c>
      <x:c r="AZ490" t="str">
        <x:v>Høy</x:v>
      </x:c>
    </x:row>
    <x:row r="491" ht="22" customHeight="1">
      <x:c r="A491" t="str">
        <x:v>OT-ce57b8d0f07f</x:v>
      </x:c>
      <x:c r="B491" t="n">
        <x:v>2015</x:v>
      </x:c>
      <x:c r="C491" t="str">
        <x:v>Kontorbygg</x:v>
      </x:c>
      <x:c r="D491" t="str">
        <x:v>KONTORER, ENKLE</x:v>
      </x:c>
      <x:c r="E491" t="str">
        <x:v>E</x:v>
      </x:c>
      <x:c r="F491" t="str">
        <x:v>RED</x:v>
      </x:c>
      <x:c r="G491" t="n">
        <x:v>1987</x:v>
      </x:c>
      <x:c r="H491" t="n">
        <x:v>2957</x:v>
      </x:c>
      <x:c r="I491" t="n">
        <x:v>205.9</x:v>
      </x:c>
      <x:c r="J491" t="str">
        <x:v>PDF/avansert</x:v>
      </x:c>
      <x:c r="K491" t="n">
        <x:v>1229</x:v>
      </x:c>
      <x:c r="L491" t="n">
        <x:v>1684</x:v>
      </x:c>
      <x:c r="M491" t="n">
        <x:v>1636</x:v>
      </x:c>
      <x:c r="N491" t="n">
        <x:v>452</x:v>
      </x:c>
      <x:c r="O491" t="n">
        <x:v>0.4</x:v>
      </x:c>
      <x:c r="P491" t="n">
        <x:v>0.17</x:v>
      </x:c>
      <x:c r="Q491" t="n">
        <x:v>0.16</x:v>
      </x:c>
      <x:c r="R491" t="n">
        <x:v>2.35</x:v>
      </x:c>
      <x:c r="S491" t="n">
        <x:v>68</x:v>
      </x:c>
      <x:c r="T491" t="n">
        <x:v>68</x:v>
      </x:c>
      <x:c r="U491" t="n">
        <x:v>3</x:v>
      </x:c>
      <x:c r="V491" t="n">
        <x:v>0.27</x:v>
      </x:c>
      <x:c r="W491" t="n">
        <x:v>9.95</x:v>
      </x:c>
      <x:c r="X491" t="n">
        <x:v>85</x:v>
      </x:c>
      <x:c r="Y491" t="n">
        <x:v>126</x:v>
      </x:c>
      <x:c r="Z491" t="n">
        <x:v>0</x:v>
      </x:c>
      <x:c r="AA491" t="n">
        <x:v>21</x:v>
      </x:c>
      <x:c r="AB491" t="n">
        <x:v>22</x:v>
      </x:c>
      <x:c r="AC491" t="n">
        <x:v>3.5</x:v>
      </x:c>
      <x:c r="AD491" t="n">
        <x:v>45.2</x:v>
      </x:c>
      <x:c r="AE491" t="n">
        <x:v>0.05</x:v>
      </x:c>
      <x:c r="AF491" t="n">
        <x:v>12</x:v>
      </x:c>
      <x:c r="AG491" t="n">
        <x:v>12</x:v>
      </x:c>
      <x:c r="AH491" t="n">
        <x:v>24</x:v>
      </x:c>
      <x:c r="AI491" t="n">
        <x:v>8</x:v>
      </x:c>
      <x:c r="AJ491" t="n">
        <x:v>11</x:v>
      </x:c>
      <x:c r="AK491" t="n">
        <x:v>250</x:v>
      </x:c>
      <x:c r="AL491" t="str">
        <x:v>Direkte elektrisk;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1</x:v>
      </x:c>
      <x:c r="AS491" t="n">
        <x:v>1</x:v>
      </x:c>
      <x:c r="AT491" t="n">
        <x:v>1</x:v>
      </x:c>
      <x:c r="AU491" t="str">
        <x:v>energiattester_export_2025-08-14.json | PDF vedlegg side 5-7</x:v>
      </x:c>
      <x:c r="AV491" s="12" t="n">
        <x:f>IF(COUNT(O491,P491,Q491,R491,K491,L491,M491,N491)=8,O491*K491+P491*L491+Q491*M491+R491*N491,"")</x:f>
        <x:v>2101.84</x:v>
      </x:c>
      <x:c r="AW491" s="12" t="n">
        <x:f>IF(AND(ISNUMBER(AV491),H491&gt;0),AV491/H491,"")</x:f>
        <x:v>0.7108014879945892</x:v>
      </x:c>
      <x:c r="AX491" s="12" t="n">
        <x:f>IF(AND(ISNUMBER(AD491),H491&gt;0),AD491*H491*3600,"")</x:f>
        <x:v>481163040</x:v>
      </x:c>
      <x:c r="AY491" s="12" t="n">
        <x:f>IF(AND(ISNUMBER(Y491),H491&gt;0),Y491*H491,"")</x:f>
        <x:v>372582</x:v>
      </x:c>
      <x:c r="AZ491" t="str">
        <x:v>Høy</x:v>
      </x:c>
    </x:row>
    <x:row r="492" ht="22" customHeight="1">
      <x:c r="A492" t="str">
        <x:v>OT-dddd712203c0</x:v>
      </x:c>
      <x:c r="B492" t="n">
        <x:v>2015</x:v>
      </x:c>
      <x:c r="C492" t="str">
        <x:v>Kontorbygg</x:v>
      </x:c>
      <x:c r="D492" t="str">
        <x:v>KONTORER, ENKLE</x:v>
      </x:c>
      <x:c r="E492" t="str">
        <x:v>D</x:v>
      </x:c>
      <x:c r="F492" t="str">
        <x:v>RED</x:v>
      </x:c>
      <x:c r="G492" t="n">
        <x:v>1985</x:v>
      </x:c>
      <x:c r="H492" t="n">
        <x:v>2215</x:v>
      </x:c>
      <x:c r="I492" t="n">
        <x:v>172.7</x:v>
      </x:c>
      <x:c r="J492" t="str">
        <x:v>PDF/avansert</x:v>
      </x:c>
      <x:c r="K492" t="n">
        <x:v>614</x:v>
      </x:c>
      <x:c r="L492" t="n">
        <x:v>2215</x:v>
      </x:c>
      <x:c r="M492" t="n">
        <x:v>0</x:v>
      </x:c>
      <x:c r="N492" t="n">
        <x:v>252</x:v>
      </x:c>
      <x:c r="O492" t="n">
        <x:v>0.45</x:v>
      </x:c>
      <x:c r="P492" t="n">
        <x:v>0.2</x:v>
      </x:c>
      <x:c r="Q492" t="n">
        <x:v>0</x:v>
      </x:c>
      <x:c r="R492" t="n">
        <x:v>1.16</x:v>
      </x:c>
      <x:c r="S492" t="n">
        <x:v>58</x:v>
      </x:c>
      <x:c r="T492" t="n">
        <x:v>58</x:v>
      </x:c>
      <x:c r="U492" t="n">
        <x:v>2.75</x:v>
      </x:c>
      <x:c r="V492" t="n">
        <x:v>0.35</x:v>
      </x:c>
      <x:c r="W492" t="n">
        <x:v>7</x:v>
      </x:c>
      <x:c r="X492" t="n">
        <x:v>90</x:v>
      </x:c>
      <x:c r="Y492" t="n">
        <x:v>100</x:v>
      </x:c>
      <x:c r="Z492" t="n">
        <x:v>30</x:v>
      </x:c>
      <x:c r="AA492" t="n">
        <x:v>21</x:v>
      </x:c>
      <x:c r="AB492" t="n">
        <x:v>22</x:v>
      </x:c>
      <x:c r="AC492" t="n">
        <x:v>2.5</x:v>
      </x:c>
      <x:c r="AD492" t="n">
        <x:v>149.9</x:v>
      </x:c>
      <x:c r="AE492" t="n">
        <x:v>0.08</x:v>
      </x:c>
      <x:c r="AF492" t="n">
        <x:v>12</x:v>
      </x:c>
      <x:c r="AG492" t="n">
        <x:v>12</x:v>
      </x:c>
      <x:c r="AH492" t="n">
        <x:v>24</x:v>
      </x:c>
      <x:c r="AI492" t="n">
        <x:v>8</x:v>
      </x:c>
      <x:c r="AJ492" t="n">
        <x:v>11</x:v>
      </x:c>
      <x:c r="AK492" t="n">
        <x:v>250</x:v>
      </x:c>
      <x:c r="AL492" t="str">
        <x:v>Direkte elektrisk;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str">
        <x:v>energiattester_export_2025-08-14.json | PDF vedlegg side 5-7</x:v>
      </x:c>
      <x:c r="AV492" s="12" t="n">
        <x:f>IF(COUNT(O492,P492,Q492,R492,K492,L492,M492,N492)=8,O492*K492+P492*L492+Q492*M492+R492*N492,"")</x:f>
        <x:v>1011.6199999999999</x:v>
      </x:c>
      <x:c r="AW492" s="12" t="n">
        <x:f>IF(AND(ISNUMBER(AV492),H492&gt;0),AV492/H492,"")</x:f>
        <x:v>0.45671331828442435</x:v>
      </x:c>
      <x:c r="AX492" s="12" t="n">
        <x:f>IF(AND(ISNUMBER(AD492),H492&gt;0),AD492*H492*3600,"")</x:f>
        <x:v>1195302600</x:v>
      </x:c>
      <x:c r="AY492" s="12" t="n">
        <x:f>IF(AND(ISNUMBER(Y492),H492&gt;0),Y492*H492,"")</x:f>
        <x:v>221500</x:v>
      </x:c>
      <x:c r="AZ492" t="str">
        <x:v>Høy</x:v>
      </x:c>
    </x:row>
    <x:row r="493" ht="22" customHeight="1">
      <x:c r="A493" t="str">
        <x:v>OT-6365eb0ea82a</x:v>
      </x:c>
      <x:c r="B493" t="n">
        <x:v>2015</x:v>
      </x:c>
      <x:c r="C493" t="str">
        <x:v>Forretningsbygg</x:v>
      </x:c>
      <x:c r="D493" t="str">
        <x:v>BUTIKK</x:v>
      </x:c>
      <x:c r="E493" t="str">
        <x:v>D</x:v>
      </x:c>
      <x:c r="F493" t="str">
        <x:v>RED</x:v>
      </x:c>
      <x:c r="G493" t="n">
        <x:v>1985</x:v>
      </x:c>
      <x:c r="H493" t="n">
        <x:v>3465</x:v>
      </x:c>
      <x:c r="I493" t="n">
        <x:v>251.9</x:v>
      </x:c>
      <x:c r="J493" t="str">
        <x:v>PDF/avansert</x:v>
      </x:c>
      <x:c r="K493" t="n">
        <x:v>514</x:v>
      </x:c>
      <x:c r="L493" t="n">
        <x:v>998</x:v>
      </x:c>
      <x:c r="M493" t="n">
        <x:v>3465</x:v>
      </x:c>
      <x:c r="N493" t="n">
        <x:v>516</x:v>
      </x:c>
      <x:c r="O493" t="n">
        <x:v>0.45</x:v>
      </x:c>
      <x:c r="P493" t="n">
        <x:v>0.2</x:v>
      </x:c>
      <x:c r="Q493" t="n">
        <x:v>0.11</x:v>
      </x:c>
      <x:c r="R493" t="n">
        <x:v>2.4</x:v>
      </x:c>
      <x:c r="S493" t="n">
        <x:v>61</x:v>
      </x:c>
      <x:c r="T493" t="n">
        <x:v>61</x:v>
      </x:c>
      <x:c r="U493" t="n">
        <x:v>2.75</x:v>
      </x:c>
      <x:c r="V493" t="n">
        <x:v>0.2</x:v>
      </x:c>
      <x:c r="W493" t="n">
        <x:v>13</x:v>
      </x:c>
      <x:c r="X493" t="n">
        <x:v>90</x:v>
      </x:c>
      <x:c r="Y493" t="n">
        <x:v>100</x:v>
      </x:c>
      <x:c r="Z493" t="n">
        <x:v>6</x:v>
      </x:c>
      <x:c r="AA493" t="n">
        <x:v>21</x:v>
      </x:c>
      <x:c r="AB493" t="n">
        <x:v>22</x:v>
      </x:c>
      <x:c r="AC493" t="n">
        <x:v>2.5</x:v>
      </x:c>
      <x:c r="AD493" t="n">
        <x:v>135.3</x:v>
      </x:c>
      <x:c r="AE493" t="n">
        <x:v>0.08</x:v>
      </x:c>
      <x:c r="AF493" t="n">
        <x:v>12</x:v>
      </x:c>
      <x:c r="AG493" t="n">
        <x:v>12</x:v>
      </x:c>
      <x:c r="AH493" t="n">
        <x:v>24</x:v>
      </x:c>
      <x:c r="AI493" t="n">
        <x:v>15</x:v>
      </x:c>
      <x:c r="AJ493" t="n">
        <x:v>1</x:v>
      </x:c>
      <x:c r="AK493" t="n">
        <x:v>250</x:v>
      </x:c>
      <x:c r="AL493" t="str">
        <x:v>Direkte elektrisk;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str">
        <x:v>energiattester_export_2025-08-14.json | PDF vedlegg side 5-7</x:v>
      </x:c>
      <x:c r="AV493" s="12" t="n">
        <x:f>IF(COUNT(O493,P493,Q493,R493,K493,L493,M493,N493)=8,O493*K493+P493*L493+Q493*M493+R493*N493,"")</x:f>
        <x:v>2050.45</x:v>
      </x:c>
      <x:c r="AW493" s="12" t="n">
        <x:f>IF(AND(ISNUMBER(AV493),H493&gt;0),AV493/H493,"")</x:f>
        <x:v>0.5917604617604617</x:v>
      </x:c>
      <x:c r="AX493" s="12" t="n">
        <x:f>IF(AND(ISNUMBER(AD493),H493&gt;0),AD493*H493*3600,"")</x:f>
        <x:v>1687732200.0000002</x:v>
      </x:c>
      <x:c r="AY493" s="12" t="n">
        <x:f>IF(AND(ISNUMBER(Y493),H493&gt;0),Y493*H493,"")</x:f>
        <x:v>346500</x:v>
      </x:c>
      <x:c r="AZ493" t="str">
        <x:v>Høy</x:v>
      </x:c>
    </x:row>
    <x:row r="494" ht="22" customHeight="1">
      <x:c r="A494" t="str">
        <x:v>OT-1d32caadcaf9</x:v>
      </x:c>
      <x:c r="B494" t="n">
        <x:v>2015</x:v>
      </x:c>
      <x:c r="C494" t="str">
        <x:v>Forretningsbygg</x:v>
      </x:c>
      <x:c r="D494" t="str">
        <x:v>BUTIKK</x:v>
      </x:c>
      <x:c r="E494" t="str">
        <x:v>C</x:v>
      </x:c>
      <x:c r="F494" t="str">
        <x:v>RED</x:v>
      </x:c>
      <x:c r="G494" t="n">
        <x:v>2015</x:v>
      </x:c>
      <x:c r="H494" t="n">
        <x:v>830</x:v>
      </x:c>
      <x:c r="I494" t="n">
        <x:v>172.4</x:v>
      </x:c>
      <x:c r="J494" t="str">
        <x:v>PDF/avansert</x:v>
      </x:c>
      <x:c r="K494" t="n">
        <x:v>651</x:v>
      </x:c>
      <x:c r="L494" t="n">
        <x:v>556</x:v>
      </x:c>
      <x:c r="M494" t="n">
        <x:v>556</x:v>
      </x:c>
      <x:c r="N494" t="n">
        <x:v>129</x:v>
      </x:c>
      <x:c r="O494" t="n">
        <x:v>0.25</x:v>
      </x:c>
      <x:c r="P494" t="n">
        <x:v>0.14</x:v>
      </x:c>
      <x:c r="Q494" t="n">
        <x:v>0.26</x:v>
      </x:c>
      <x:c r="R494" t="n">
        <x:v>1.28</x:v>
      </x:c>
      <x:c r="S494" t="n">
        <x:v>84</x:v>
      </x:c>
      <x:c r="T494" t="n">
        <x:v>84</x:v>
      </x:c>
      <x:c r="U494" t="n">
        <x:v>2</x:v>
      </x:c>
      <x:c r="V494" t="n">
        <x:v>0.23</x:v>
      </x:c>
      <x:c r="W494" t="n">
        <x:v>13</x:v>
      </x:c>
      <x:c r="X494" t="n">
        <x:v>91</x:v>
      </x:c>
      <x:c r="Y494" t="n">
        <x:v>67</x:v>
      </x:c>
      <x:c r="Z494" t="n">
        <x:v>42</x:v>
      </x:c>
      <x:c r="AA494" t="n">
        <x:v>21</x:v>
      </x:c>
      <x:c r="AB494" t="n">
        <x:v>22</x:v>
      </x:c>
      <x:c r="AC494" t="n">
        <x:v>1.5</x:v>
      </x:c>
      <x:c r="AD494" t="n">
        <x:v>51.1</x:v>
      </x:c>
      <x:c r="AE494" t="n">
        <x:v>0.06</x:v>
      </x:c>
      <x:c r="AF494" t="n">
        <x:v>12</x:v>
      </x:c>
      <x:c r="AG494" t="n">
        <x:v>12</x:v>
      </x:c>
      <x:c r="AH494" t="n">
        <x:v>24</x:v>
      </x:c>
      <x:c r="AI494" t="n">
        <x:v>15</x:v>
      </x:c>
      <x:c r="AJ494" t="n">
        <x:v>1</x:v>
      </x:c>
      <x:c r="AK494" t="n">
        <x:v>250</x:v>
      </x:c>
      <x:c r="AL494" t="str">
        <x:v>Direkte elektrisk;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1</x:v>
      </x:c>
      <x:c r="AS494" t="n">
        <x:v>1</x:v>
      </x:c>
      <x:c r="AT494" t="n">
        <x:v>1</x:v>
      </x:c>
      <x:c r="AU494" t="str">
        <x:v>energiattester_export_2025-08-14.json | PDF vedlegg side 5-7</x:v>
      </x:c>
      <x:c r="AV494" s="12" t="n">
        <x:f>IF(COUNT(O494,P494,Q494,R494,K494,L494,M494,N494)=8,O494*K494+P494*L494+Q494*M494+R494*N494,"")</x:f>
        <x:v>550.27</x:v>
      </x:c>
      <x:c r="AW494" s="12" t="n">
        <x:f>IF(AND(ISNUMBER(AV494),H494&gt;0),AV494/H494,"")</x:f>
        <x:v>0.6629759036144578</x:v>
      </x:c>
      <x:c r="AX494" s="12" t="n">
        <x:f>IF(AND(ISNUMBER(AD494),H494&gt;0),AD494*H494*3600,"")</x:f>
        <x:v>152686800</x:v>
      </x:c>
      <x:c r="AY494" s="12" t="n">
        <x:f>IF(AND(ISNUMBER(Y494),H494&gt;0),Y494*H494,"")</x:f>
        <x:v>55610</x:v>
      </x:c>
      <x:c r="AZ494" t="str">
        <x:v>Høy</x:v>
      </x:c>
    </x:row>
    <x:row r="495" ht="22" customHeight="1">
      <x:c r="A495" t="str">
        <x:v>OT-a20156ea48d8</x:v>
      </x:c>
      <x:c r="B495" t="n">
        <x:v>2015</x:v>
      </x:c>
      <x:c r="C495" t="str">
        <x:v>Kontorbygg</x:v>
      </x:c>
      <x:c r="D495" t="str">
        <x:v>KONTORER, MED VENTILASJON OG KJØLEANLEGG</x:v>
      </x:c>
      <x:c r="E495" t="str">
        <x:v>G</x:v>
      </x:c>
      <x:c r="F495" t="str">
        <x:v>RED</x:v>
      </x:c>
      <x:c r="G495" t="n">
        <x:v>1963</x:v>
      </x:c>
      <x:c r="H495" t="n">
        <x:v>1131</x:v>
      </x:c>
      <x:c r="I495" t="n">
        <x:v>1</x:v>
      </x:c>
      <x:c r="J495" t="str">
        <x:v>PDF/avansert</x:v>
      </x:c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 t="n">
        <x:v>0</x:v>
      </x:c>
      <x:c r="AN495" t="n">
        <x:v>0</x:v>
      </x:c>
      <x:c r="AO495" t="n">
        <x:v>1</x:v>
      </x:c>
      <x:c r="AP495" t="n">
        <x:v>1</x:v>
      </x:c>
      <x:c r="AQ495" t="n">
        <x:v>0</x:v>
      </x:c>
      <x:c r="AR495" t="n">
        <x:v>1</x:v>
      </x:c>
      <x:c r="AS495" t="n">
        <x:v>1</x:v>
      </x:c>
      <x:c r="AT495" t="n">
        <x:v>1</x:v>
      </x:c>
      <x:c r="AU495" t="str">
        <x:v>energiattester_export_2025-08-14.json | PDF vedlegg side 5-7</x:v>
      </x:c>
      <x:c r="AV495" s="12" t="str">
        <x:f>IF(COUNT(O495,P495,Q495,R495,K495,L495,M495,N495)=8,O495*K495+P495*L495+Q495*M495+R495*N495,"")</x:f>
      </x:c>
      <x:c r="AW495" s="12" t="str">
        <x:f>IF(AND(ISNUMBER(AV495),H495&gt;0),AV495/H495,"")</x:f>
      </x:c>
      <x:c r="AX495" s="12" t="str">
        <x:f>IF(AND(ISNUMBER(AD495),H495&gt;0),AD495*H495*3600,"")</x:f>
      </x:c>
      <x:c r="AY495" s="12" t="str">
        <x:f>IF(AND(ISNUMBER(Y495),H495&gt;0),Y495*H495,"")</x:f>
      </x:c>
      <x:c r="AZ495" t="str">
        <x:v>Mangler data</x:v>
      </x:c>
    </x:row>
    <x:row r="496" ht="22" customHeight="1">
      <x:c r="A496" t="str">
        <x:v>OT-b9133acd5898</x:v>
      </x:c>
      <x:c r="B496" t="n">
        <x:v>2015</x:v>
      </x:c>
      <x:c r="C496" t="str">
        <x:v>Forretningsbygg</x:v>
      </x:c>
      <x:c r="D496" t="str">
        <x:v>BUTIKK</x:v>
      </x:c>
      <x:c r="E496" t="str">
        <x:v>F</x:v>
      </x:c>
      <x:c r="F496" t="str">
        <x:v>RED</x:v>
      </x:c>
      <x:c r="G496" t="n">
        <x:v>1963</x:v>
      </x:c>
      <x:c r="H496" t="n">
        <x:v>1647</x:v>
      </x:c>
      <x:c r="I496" t="n">
        <x:v>346.6</x:v>
      </x:c>
      <x:c r="J496" t="str">
        <x:v>PDF/avansert</x:v>
      </x:c>
      <x:c r="K496" t="n">
        <x:v>566</x:v>
      </x:c>
      <x:c r="L496" t="n">
        <x:v>536</x:v>
      </x:c>
      <x:c r="M496" t="n">
        <x:v>1647</x:v>
      </x:c>
      <x:c r="N496" t="n">
        <x:v>208</x:v>
      </x:c>
      <x:c r="O496" t="n">
        <x:v>0.96</x:v>
      </x:c>
      <x:c r="P496" t="n">
        <x:v>0.93</x:v>
      </x:c>
      <x:c r="Q496" t="n">
        <x:v>0.23</x:v>
      </x:c>
      <x:c r="R496" t="n">
        <x:v>2.4</x:v>
      </x:c>
      <x:c r="S496" t="n">
        <x:v>73</x:v>
      </x:c>
      <x:c r="T496" t="n">
        <x:v>73</x:v>
      </x:c>
      <x:c r="U496" t="n">
        <x:v>3.57</x:v>
      </x:c>
      <x:c r="V496" t="n">
        <x:v>0.23</x:v>
      </x:c>
      <x:c r="W496" t="n">
        <x:v>13</x:v>
      </x:c>
      <x:c r="X496" t="n">
        <x:v>95</x:v>
      </x:c>
      <x:c r="Y496" t="n">
        <x:v>117</x:v>
      </x:c>
      <x:c r="Z496" t="n">
        <x:v>34</x:v>
      </x:c>
      <x:c r="AA496" t="n">
        <x:v>21</x:v>
      </x:c>
      <x:c r="AB496" t="n">
        <x:v>22</x:v>
      </x:c>
      <x:c r="AC496" t="n">
        <x:v>9</x:v>
      </x:c>
      <x:c r="AD496" t="n">
        <x:v>71.1</x:v>
      </x:c>
      <x:c r="AE496" t="n">
        <x:v>0.09</x:v>
      </x:c>
      <x:c r="AF496" t="n">
        <x:v>12</x:v>
      </x:c>
      <x:c r="AG496" t="n">
        <x:v>12</x:v>
      </x:c>
      <x:c r="AH496" t="n">
        <x:v>24</x:v>
      </x:c>
      <x:c r="AI496" t="n">
        <x:v>15</x:v>
      </x:c>
      <x:c r="AJ496" t="n">
        <x:v>1</x:v>
      </x:c>
      <x:c r="AK496" t="n">
        <x:v>250</x:v>
      </x:c>
      <x:c r="AL496" t="str">
        <x:v>Direkte elektrisk;</x:v>
      </x:c>
      <x:c r="AM496"/>
      <x:c r="AN496"/>
      <x:c r="AO496"/>
      <x:c r="AP496"/>
      <x:c r="AQ496"/>
      <x:c r="AR496"/>
      <x:c r="AS496"/>
      <x:c r="AT496"/>
      <x:c r="AU496" t="str">
        <x:v>energiattester_export_2025-08-14.json | PDF vedlegg side 5-7</x:v>
      </x:c>
      <x:c r="AV496" s="12" t="n">
        <x:f>IF(COUNT(O496,P496,Q496,R496,K496,L496,M496,N496)=8,O496*K496+P496*L496+Q496*M496+R496*N496,"")</x:f>
        <x:v>1919.8500000000001</x:v>
      </x:c>
      <x:c r="AW496" s="12" t="n">
        <x:f>IF(AND(ISNUMBER(AV496),H496&gt;0),AV496/H496,"")</x:f>
        <x:v>1.165664845173042</x:v>
      </x:c>
      <x:c r="AX496" s="12" t="n">
        <x:f>IF(AND(ISNUMBER(AD496),H496&gt;0),AD496*H496*3600,"")</x:f>
        <x:v>421566120</x:v>
      </x:c>
      <x:c r="AY496" s="12" t="n">
        <x:f>IF(AND(ISNUMBER(Y496),H496&gt;0),Y496*H496,"")</x:f>
        <x:v>192699</x:v>
      </x:c>
      <x:c r="AZ496" t="str">
        <x:v>Høy</x:v>
      </x:c>
    </x:row>
    <x:row r="497" ht="22" customHeight="1">
      <x:c r="A497" t="str">
        <x:v>OT-61d857cf871a</x:v>
      </x:c>
      <x:c r="B497" t="n">
        <x:v>2015</x:v>
      </x:c>
      <x:c r="C497" t="str">
        <x:v>Forretningsbygg</x:v>
      </x:c>
      <x:c r="D497" t="str">
        <x:v>BUTIKK</x:v>
      </x:c>
      <x:c r="E497" t="str">
        <x:v>C</x:v>
      </x:c>
      <x:c r="F497" t="str">
        <x:v>RED</x:v>
      </x:c>
      <x:c r="G497" t="n">
        <x:v>2013</x:v>
      </x:c>
      <x:c r="H497" t="n">
        <x:v>1237</x:v>
      </x:c>
      <x:c r="I497" t="n">
        <x:v>190.5</x:v>
      </x:c>
      <x:c r="J497" t="str">
        <x:v>PDF/avansert</x:v>
      </x:c>
      <x:c r="K497" t="n">
        <x:v>367</x:v>
      </x:c>
      <x:c r="L497" t="n">
        <x:v>787</x:v>
      </x:c>
      <x:c r="M497" t="n">
        <x:v>1237</x:v>
      </x:c>
      <x:c r="N497" t="n">
        <x:v>74</x:v>
      </x:c>
      <x:c r="O497" t="n">
        <x:v>0.18</x:v>
      </x:c>
      <x:c r="P497" t="n">
        <x:v>0.16</x:v>
      </x:c>
      <x:c r="Q497" t="n">
        <x:v>0.05</x:v>
      </x:c>
      <x:c r="R497" t="n">
        <x:v>1.19</x:v>
      </x:c>
      <x:c r="S497" t="n">
        <x:v>79</x:v>
      </x:c>
      <x:c r="T497" t="n">
        <x:v>79</x:v>
      </x:c>
      <x:c r="U497" t="n">
        <x:v>2.36</x:v>
      </x:c>
      <x:c r="V497" t="n">
        <x:v>0.52</x:v>
      </x:c>
      <x:c r="W497" t="n">
        <x:v>14.55</x:v>
      </x:c>
      <x:c r="X497" t="n">
        <x:v>84</x:v>
      </x:c>
      <x:c r="Y497" t="n">
        <x:v>172</x:v>
      </x:c>
      <x:c r="Z497" t="n">
        <x:v>60</x:v>
      </x:c>
      <x:c r="AA497" t="n">
        <x:v>21</x:v>
      </x:c>
      <x:c r="AB497" t="n">
        <x:v>22</x:v>
      </x:c>
      <x:c r="AC497" t="n">
        <x:v>1.5</x:v>
      </x:c>
      <x:c r="AD497" t="n">
        <x:v>134.1</x:v>
      </x:c>
      <x:c r="AE497" t="n">
        <x:v>0.09</x:v>
      </x:c>
      <x:c r="AF497" t="n">
        <x:v>12</x:v>
      </x:c>
      <x:c r="AG497" t="n">
        <x:v>12</x:v>
      </x:c>
      <x:c r="AH497" t="n">
        <x:v>24</x:v>
      </x:c>
      <x:c r="AI497" t="n">
        <x:v>15</x:v>
      </x:c>
      <x:c r="AJ497" t="n">
        <x:v>1</x:v>
      </x:c>
      <x:c r="AK497" t="n">
        <x:v>250</x:v>
      </x:c>
      <x:c r="AL497" t="str">
        <x:v>Direkte elektrisk;</x:v>
      </x:c>
      <x:c r="AM497"/>
      <x:c r="AN497"/>
      <x:c r="AO497"/>
      <x:c r="AP497"/>
      <x:c r="AQ497"/>
      <x:c r="AR497"/>
      <x:c r="AS497"/>
      <x:c r="AT497"/>
      <x:c r="AU497" t="str">
        <x:v>energiattester_export_2025-08-14.json | PDF vedlegg side 5-7</x:v>
      </x:c>
      <x:c r="AV497" s="12" t="n">
        <x:f>IF(COUNT(O497,P497,Q497,R497,K497,L497,M497,N497)=8,O497*K497+P497*L497+Q497*M497+R497*N497,"")</x:f>
        <x:v>341.89</x:v>
      </x:c>
      <x:c r="AW497" s="12" t="n">
        <x:f>IF(AND(ISNUMBER(AV497),H497&gt;0),AV497/H497,"")</x:f>
        <x:v>0.27638641875505254</x:v>
      </x:c>
      <x:c r="AX497" s="12" t="n">
        <x:f>IF(AND(ISNUMBER(AD497),H497&gt;0),AD497*H497*3600,"")</x:f>
        <x:v>597174119.9999999</x:v>
      </x:c>
      <x:c r="AY497" s="12" t="n">
        <x:f>IF(AND(ISNUMBER(Y497),H497&gt;0),Y497*H497,"")</x:f>
        <x:v>212764</x:v>
      </x:c>
      <x:c r="AZ497" t="str">
        <x:v>Høy</x:v>
      </x:c>
    </x:row>
    <x:row r="498" ht="22" customHeight="1">
      <x:c r="A498" t="str">
        <x:v>OT-f8a047a51b5b</x:v>
      </x:c>
      <x:c r="B498" t="n">
        <x:v>2015</x:v>
      </x:c>
      <x:c r="C498" t="str">
        <x:v>Kontorbygg</x:v>
      </x:c>
      <x:c r="D498" t="str">
        <x:v>KONTORER, MED VENTILASJON OG KJØLEANLEGG</x:v>
      </x:c>
      <x:c r="E498" t="str">
        <x:v>E</x:v>
      </x:c>
      <x:c r="F498" t="str">
        <x:v>RED</x:v>
      </x:c>
      <x:c r="G498" t="n">
        <x:v>2006</x:v>
      </x:c>
      <x:c r="H498" t="n">
        <x:v>231</x:v>
      </x:c>
      <x:c r="I498" t="n">
        <x:v>197</x:v>
      </x:c>
      <x:c r="J498" t="str">
        <x:v>PDF/avansert</x:v>
      </x:c>
      <x:c r="K498" t="n">
        <x:v>226</x:v>
      </x:c>
      <x:c r="L498" t="n">
        <x:v>151</x:v>
      </x:c>
      <x:c r="M498" t="n">
        <x:v>157</x:v>
      </x:c>
      <x:c r="N498" t="n">
        <x:v>59</x:v>
      </x:c>
      <x:c r="O498" t="n">
        <x:v>0.22</x:v>
      </x:c>
      <x:c r="P498" t="n">
        <x:v>0.15</x:v>
      </x:c>
      <x:c r="Q498" t="n">
        <x:v>0.13</x:v>
      </x:c>
      <x:c r="R498" t="n">
        <x:v>1.6</x:v>
      </x:c>
      <x:c r="S498" t="n">
        <x:v>76</x:v>
      </x:c>
      <x:c r="T498" t="n">
        <x:v>76</x:v>
      </x:c>
      <x:c r="U498" t="n">
        <x:v>1.35</x:v>
      </x:c>
      <x:c r="V498" t="n">
        <x:v>0.1</x:v>
      </x:c>
      <x:c r="W498" t="n">
        <x:v>12.4</x:v>
      </x:c>
      <x:c r="X498" t="n">
        <x:v>98</x:v>
      </x:c>
      <x:c r="Y498" t="n">
        <x:v>119</x:v>
      </x:c>
      <x:c r="Z498" t="n">
        <x:v>85</x:v>
      </x:c>
      <x:c r="AA498" t="n">
        <x:v>21</x:v>
      </x:c>
      <x:c r="AB498" t="n">
        <x:v>22</x:v>
      </x:c>
      <x:c r="AC498" t="n">
        <x:v>3.5</x:v>
      </x:c>
      <x:c r="AD498" t="n">
        <x:v>86.5</x:v>
      </x:c>
      <x:c r="AE498" t="n">
        <x:v>0.09</x:v>
      </x:c>
      <x:c r="AF498" t="n">
        <x:v>12</x:v>
      </x:c>
      <x:c r="AG498" t="n">
        <x:v>12</x:v>
      </x:c>
      <x:c r="AH498" t="n">
        <x:v>24</x:v>
      </x:c>
      <x:c r="AI498" t="n">
        <x:v>8</x:v>
      </x:c>
      <x:c r="AJ498" t="n">
        <x:v>11</x:v>
      </x:c>
      <x:c r="AK498" t="n">
        <x:v>250</x:v>
      </x:c>
      <x:c r="AL498" t="str">
        <x:v>Direkte elektrisk;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1</x:v>
      </x:c>
      <x:c r="AS498" t="n">
        <x:v>1</x:v>
      </x:c>
      <x:c r="AT498" t="n">
        <x:v>1</x:v>
      </x:c>
      <x:c r="AU498" t="str">
        <x:v>energiattester_export_2025-08-14.json | PDF vedlegg side 5-7</x:v>
      </x:c>
      <x:c r="AV498" s="12" t="n">
        <x:f>IF(COUNT(O498,P498,Q498,R498,K498,L498,M498,N498)=8,O498*K498+P498*L498+Q498*M498+R498*N498,"")</x:f>
        <x:v>187.18</x:v>
      </x:c>
      <x:c r="AW498" s="12" t="n">
        <x:f>IF(AND(ISNUMBER(AV498),H498&gt;0),AV498/H498,"")</x:f>
        <x:v>0.8103030303030303</x:v>
      </x:c>
      <x:c r="AX498" s="12" t="n">
        <x:f>IF(AND(ISNUMBER(AD498),H498&gt;0),AD498*H498*3600,"")</x:f>
        <x:v>71933400</x:v>
      </x:c>
      <x:c r="AY498" s="12" t="n">
        <x:f>IF(AND(ISNUMBER(Y498),H498&gt;0),Y498*H498,"")</x:f>
        <x:v>27489</x:v>
      </x:c>
      <x:c r="AZ498" t="str">
        <x:v>Høy</x:v>
      </x:c>
    </x:row>
    <x:row r="499" ht="22" customHeight="1">
      <x:c r="A499" t="str">
        <x:v>OT-29a9a8d66397</x:v>
      </x:c>
      <x:c r="B499" t="n">
        <x:v>2015</x:v>
      </x:c>
      <x:c r="C499" t="str">
        <x:v>Kontorbygg</x:v>
      </x:c>
      <x:c r="D499" t="str">
        <x:v>KONTORER, ENKLE</x:v>
      </x:c>
      <x:c r="E499" t="str">
        <x:v>F</x:v>
      </x:c>
      <x:c r="F499" t="str">
        <x:v>ORANGE</x:v>
      </x:c>
      <x:c r="G499" t="n">
        <x:v>1960</x:v>
      </x:c>
      <x:c r="H499" t="n">
        <x:v>171</x:v>
      </x:c>
      <x:c r="I499" t="n">
        <x:v>258</x:v>
      </x:c>
      <x:c r="J499" t="str">
        <x:v>PDF/avansert</x:v>
      </x:c>
      <x:c r="K499" t="n">
        <x:v>191</x:v>
      </x:c>
      <x:c r="L499" t="n">
        <x:v>171</x:v>
      </x:c>
      <x:c r="M499" t="n">
        <x:v>171</x:v>
      </x:c>
      <x:c r="N499" t="n">
        <x:v>98</x:v>
      </x:c>
      <x:c r="O499" t="n">
        <x:v>0.48</x:v>
      </x:c>
      <x:c r="P499" t="n">
        <x:v>0.36</x:v>
      </x:c>
      <x:c r="Q499" t="n">
        <x:v>0.25</x:v>
      </x:c>
      <x:c r="R499" t="n">
        <x:v>1.98</x:v>
      </x:c>
      <x:c r="S499" t="n">
        <x:v>0</x:v>
      </x:c>
      <x:c r="T499" t="n">
        <x:v>0</x:v>
      </x:c>
      <x:c r="U499" t="n">
        <x:v>1</x:v>
      </x:c>
      <x:c r="V499" t="n">
        <x:v>0.13</x:v>
      </x:c>
      <x:c r="W499" t="n">
        <x:v>7</x:v>
      </x:c>
      <x:c r="X499" t="n">
        <x:v>174</x:v>
      </x:c>
      <x:c r="Y499" t="n">
        <x:v>50</x:v>
      </x:c>
      <x:c r="Z499" t="n">
        <x:v>45</x:v>
      </x:c>
      <x:c r="AA499" t="n">
        <x:v>21</x:v>
      </x:c>
      <x:c r="AB499" t="n">
        <x:v>22</x:v>
      </x:c>
      <x:c r="AC499" t="n">
        <x:v>4</x:v>
      </x:c>
      <x:c r="AD499" t="n">
        <x:v>31.8</x:v>
      </x:c>
      <x:c r="AE499" t="n">
        <x:v>0.12</x:v>
      </x:c>
      <x:c r="AF499" t="n">
        <x:v>12</x:v>
      </x:c>
      <x:c r="AG499" t="n">
        <x:v>12</x:v>
      </x:c>
      <x:c r="AH499" t="n">
        <x:v>24</x:v>
      </x:c>
      <x:c r="AI499" t="n">
        <x:v>8</x:v>
      </x:c>
      <x:c r="AJ499" t="n">
        <x:v>11</x:v>
      </x:c>
      <x:c r="AK499" t="n">
        <x:v>250</x:v>
      </x:c>
      <x:c r="AL499" t="str">
        <x:v>Direkte elektrisk; Varmepumpe;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1</x:v>
      </x:c>
      <x:c r="AS499" t="n">
        <x:v>1</x:v>
      </x:c>
      <x:c r="AT499" t="n">
        <x:v>1</x:v>
      </x:c>
      <x:c r="AU499" t="str">
        <x:v>energiattester_export_2025-08-14.json | PDF vedlegg side 5-7</x:v>
      </x:c>
      <x:c r="AV499" s="12" t="n">
        <x:f>IF(COUNT(O499,P499,Q499,R499,K499,L499,M499,N499)=8,O499*K499+P499*L499+Q499*M499+R499*N499,"")</x:f>
        <x:v>390.03</x:v>
      </x:c>
      <x:c r="AW499" s="12" t="n">
        <x:f>IF(AND(ISNUMBER(AV499),H499&gt;0),AV499/H499,"")</x:f>
        <x:v>2.280877192982456</x:v>
      </x:c>
      <x:c r="AX499" s="12" t="n">
        <x:f>IF(AND(ISNUMBER(AD499),H499&gt;0),AD499*H499*3600,"")</x:f>
        <x:v>19576080</x:v>
      </x:c>
      <x:c r="AY499" s="12" t="n">
        <x:f>IF(AND(ISNUMBER(Y499),H499&gt;0),Y499*H499,"")</x:f>
        <x:v>8550</x:v>
      </x:c>
      <x:c r="AZ499" t="str">
        <x:v>Høy</x:v>
      </x:c>
    </x:row>
    <x:row r="500" ht="22" customHeight="1">
      <x:c r="A500" t="str">
        <x:v>OT-0d76d93f4ac8</x:v>
      </x:c>
      <x:c r="B500" t="n">
        <x:v>2015</x:v>
      </x:c>
      <x:c r="C500" t="str">
        <x:v>Kontorbygg</x:v>
      </x:c>
      <x:c r="D500" t="str">
        <x:v>KONTORER, ENKLE</x:v>
      </x:c>
      <x:c r="E500" t="str">
        <x:v>G</x:v>
      </x:c>
      <x:c r="F500" t="str">
        <x:v>RED</x:v>
      </x:c>
      <x:c r="G500" t="n">
        <x:v>1960</x:v>
      </x:c>
      <x:c r="H500" t="n">
        <x:v>171</x:v>
      </x:c>
      <x:c r="I500" t="n">
        <x:v>418</x:v>
      </x:c>
      <x:c r="J500" t="str">
        <x:v>PDF/avansert</x:v>
      </x:c>
      <x:c r="K500" t="n">
        <x:v>227</x:v>
      </x:c>
      <x:c r="L500" t="n">
        <x:v>171</x:v>
      </x:c>
      <x:c r="M500" t="n">
        <x:v>171</x:v>
      </x:c>
      <x:c r="N500" t="n">
        <x:v>68</x:v>
      </x:c>
      <x:c r="O500" t="n">
        <x:v>0.54</x:v>
      </x:c>
      <x:c r="P500" t="n">
        <x:v>0.36</x:v>
      </x:c>
      <x:c r="Q500" t="n">
        <x:v>0.25</x:v>
      </x:c>
      <x:c r="R500" t="n">
        <x:v>2.42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7</x:v>
      </x:c>
      <x:c r="X500" t="n">
        <x:v>98</x:v>
      </x:c>
      <x:c r="Y500" t="n">
        <x:v>80</x:v>
      </x:c>
      <x:c r="Z500" t="n">
        <x:v>0</x:v>
      </x:c>
      <x:c r="AA500" t="n">
        <x:v>21</x:v>
      </x:c>
      <x:c r="AB500" t="n">
        <x:v>22</x:v>
      </x:c>
      <x:c r="AC500" t="n">
        <x:v>4</x:v>
      </x:c>
      <x:c r="AD500" t="n">
        <x:v>32.5</x:v>
      </x:c>
      <x:c r="AE500" t="n">
        <x:v>0.12</x:v>
      </x:c>
      <x:c r="AF500" t="n">
        <x:v>12</x:v>
      </x:c>
      <x:c r="AG500" t="n">
        <x:v>12</x:v>
      </x:c>
      <x:c r="AH500" t="n">
        <x:v>24</x:v>
      </x:c>
      <x:c r="AI500" t="n">
        <x:v>8</x:v>
      </x:c>
      <x:c r="AJ500" t="n">
        <x:v>11</x:v>
      </x:c>
      <x:c r="AK500" t="n">
        <x:v>250</x:v>
      </x:c>
      <x:c r="AL500" t="str">
        <x:v>Direkte elektrisk;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1</x:v>
      </x:c>
      <x:c r="AS500" t="n">
        <x:v>1</x:v>
      </x:c>
      <x:c r="AT500" t="n">
        <x:v>1</x:v>
      </x:c>
      <x:c r="AU500" t="str">
        <x:v>energiattester_export_2025-08-14.json | PDF vedlegg side 5-7</x:v>
      </x:c>
      <x:c r="AV500" s="12" t="n">
        <x:f>IF(COUNT(O500,P500,Q500,R500,K500,L500,M500,N500)=8,O500*K500+P500*L500+Q500*M500+R500*N500,"")</x:f>
        <x:v>391.45000000000005</x:v>
      </x:c>
      <x:c r="AW500" s="12" t="n">
        <x:f>IF(AND(ISNUMBER(AV500),H500&gt;0),AV500/H500,"")</x:f>
        <x:v>2.2891812865497077</x:v>
      </x:c>
      <x:c r="AX500" s="12" t="n">
        <x:f>IF(AND(ISNUMBER(AD500),H500&gt;0),AD500*H500*3600,"")</x:f>
        <x:v>20007000</x:v>
      </x:c>
      <x:c r="AY500" s="12" t="n">
        <x:f>IF(AND(ISNUMBER(Y500),H500&gt;0),Y500*H500,"")</x:f>
        <x:v>13680</x:v>
      </x:c>
      <x:c r="AZ500" t="str">
        <x:v>Høy</x:v>
      </x:c>
    </x:row>
    <x:row r="501" ht="22" customHeight="1">
      <x:c r="A501" t="str">
        <x:v>OT-f43222f86a4c</x:v>
      </x:c>
      <x:c r="B501" t="n">
        <x:v>2015</x:v>
      </x:c>
      <x:c r="C501" t="str">
        <x:v>Kontorbygg</x:v>
      </x:c>
      <x:c r="D501" t="str">
        <x:v>KONTORER, ENKLE</x:v>
      </x:c>
      <x:c r="E501" t="str">
        <x:v>G</x:v>
      </x:c>
      <x:c r="F501" t="str">
        <x:v>RED</x:v>
      </x:c>
      <x:c r="G501" t="n">
        <x:v>1960</x:v>
      </x:c>
      <x:c r="H501" t="n">
        <x:v>171</x:v>
      </x:c>
      <x:c r="I501" t="n">
        <x:v>436</x:v>
      </x:c>
      <x:c r="J501" t="str">
        <x:v>PDF/avansert</x:v>
      </x:c>
      <x:c r="K501" t="n">
        <x:v>159</x:v>
      </x:c>
      <x:c r="L501" t="n">
        <x:v>171</x:v>
      </x:c>
      <x:c r="M501" t="n">
        <x:v>171</x:v>
      </x:c>
      <x:c r="N501" t="n">
        <x:v>137</x:v>
      </x:c>
      <x:c r="O501" t="n">
        <x:v>0.54</x:v>
      </x:c>
      <x:c r="P501" t="n">
        <x:v>0.36</x:v>
      </x:c>
      <x:c r="Q501" t="n">
        <x:v>0.25</x:v>
      </x:c>
      <x:c r="R501" t="n">
        <x:v>1.94</x:v>
      </x:c>
      <x:c r="S501" t="n">
        <x:v>0</x:v>
      </x:c>
      <x:c r="T501" t="n">
        <x:v>0</x:v>
      </x:c>
      <x:c r="U501" t="n">
        <x:v>1.14</x:v>
      </x:c>
      <x:c r="V501" t="n">
        <x:v>0</x:v>
      </x:c>
      <x:c r="W501" t="n">
        <x:v>7</x:v>
      </x:c>
      <x:c r="X501" t="n">
        <x:v>98</x:v>
      </x:c>
      <x:c r="Y501" t="n">
        <x:v>80</x:v>
      </x:c>
      <x:c r="Z501" t="n">
        <x:v>0</x:v>
      </x:c>
      <x:c r="AA501" t="n">
        <x:v>21</x:v>
      </x:c>
      <x:c r="AB501" t="n">
        <x:v>22</x:v>
      </x:c>
      <x:c r="AC501" t="n">
        <x:v>4</x:v>
      </x:c>
      <x:c r="AD501" t="n">
        <x:v>31.3</x:v>
      </x:c>
      <x:c r="AE501" t="n">
        <x:v>0.12</x:v>
      </x:c>
      <x:c r="AF501" t="n">
        <x:v>12</x:v>
      </x:c>
      <x:c r="AG501" t="n">
        <x:v>12</x:v>
      </x:c>
      <x:c r="AH501" t="n">
        <x:v>24</x:v>
      </x:c>
      <x:c r="AI501" t="n">
        <x:v>8</x:v>
      </x:c>
      <x:c r="AJ501" t="n">
        <x:v>11</x:v>
      </x:c>
      <x:c r="AK501" t="n">
        <x:v>250</x:v>
      </x:c>
      <x:c r="AL501" t="str">
        <x:v>Direkte elektrisk;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1</x:v>
      </x:c>
      <x:c r="AS501" t="n">
        <x:v>1</x:v>
      </x:c>
      <x:c r="AT501" t="n">
        <x:v>1</x:v>
      </x:c>
      <x:c r="AU501" t="str">
        <x:v>energiattester_export_2025-08-14.json | PDF vedlegg side 5-7</x:v>
      </x:c>
      <x:c r="AV501" s="12" t="n">
        <x:f>IF(COUNT(O501,P501,Q501,R501,K501,L501,M501,N501)=8,O501*K501+P501*L501+Q501*M501+R501*N501,"")</x:f>
        <x:v>455.94999999999993</x:v>
      </x:c>
      <x:c r="AW501" s="12" t="n">
        <x:f>IF(AND(ISNUMBER(AV501),H501&gt;0),AV501/H501,"")</x:f>
        <x:v>2.6663742690058476</x:v>
      </x:c>
      <x:c r="AX501" s="12" t="n">
        <x:f>IF(AND(ISNUMBER(AD501),H501&gt;0),AD501*H501*3600,"")</x:f>
        <x:v>19268280</x:v>
      </x:c>
      <x:c r="AY501" s="12" t="n">
        <x:f>IF(AND(ISNUMBER(Y501),H501&gt;0),Y501*H501,"")</x:f>
        <x:v>13680</x:v>
      </x:c>
      <x:c r="AZ501" t="str">
        <x:v>Høy</x:v>
      </x:c>
    </x:row>
    <x:row r="502" ht="22" customHeight="1">
      <x:c r="A502" t="str">
        <x:v>OT-1c92260a2ac1</x:v>
      </x:c>
      <x:c r="B502" t="n">
        <x:v>2015</x:v>
      </x:c>
      <x:c r="C502" t="str">
        <x:v>Kontorbygg</x:v>
      </x:c>
      <x:c r="D502" t="str">
        <x:v>KONTORER, MED VENTILASJON OG KJØLEANLEGG</x:v>
      </x:c>
      <x:c r="E502" t="str">
        <x:v>D</x:v>
      </x:c>
      <x:c r="F502" t="str">
        <x:v>RED</x:v>
      </x:c>
      <x:c r="G502" t="n">
        <x:v>2006</x:v>
      </x:c>
      <x:c r="H502" t="n">
        <x:v>843</x:v>
      </x:c>
      <x:c r="I502" t="n">
        <x:v>178</x:v>
      </x:c>
      <x:c r="J502" t="str">
        <x:v>PDF/avansert</x:v>
      </x:c>
      <x:c r="K502" t="n">
        <x:v>334</x:v>
      </x:c>
      <x:c r="L502" t="n">
        <x:v>257</x:v>
      </x:c>
      <x:c r="M502" t="n">
        <x:v>257</x:v>
      </x:c>
      <x:c r="N502" t="n">
        <x:v>97</x:v>
      </x:c>
      <x:c r="O502" t="n">
        <x:v>0.3</x:v>
      </x:c>
      <x:c r="P502" t="n">
        <x:v>0.2</x:v>
      </x:c>
      <x:c r="Q502" t="n">
        <x:v>0.18</x:v>
      </x:c>
      <x:c r="R502" t="n">
        <x:v>2.34</x:v>
      </x:c>
      <x:c r="S502" t="n">
        <x:v>75</x:v>
      </x:c>
      <x:c r="T502" t="n">
        <x:v>75</x:v>
      </x:c>
      <x:c r="U502" t="n">
        <x:v>2.03</x:v>
      </x:c>
      <x:c r="V502" t="n">
        <x:v>0.26</x:v>
      </x:c>
      <x:c r="W502" t="n">
        <x:v>7</x:v>
      </x:c>
      <x:c r="X502" t="n">
        <x:v>90</x:v>
      </x:c>
      <x:c r="Y502" t="n">
        <x:v>85</x:v>
      </x:c>
      <x:c r="Z502" t="n">
        <x:v>52</x:v>
      </x:c>
      <x:c r="AA502" t="n">
        <x:v>21</x:v>
      </x:c>
      <x:c r="AB502" t="n">
        <x:v>22</x:v>
      </x:c>
      <x:c r="AC502" t="n">
        <x:v>3</x:v>
      </x:c>
      <x:c r="AD502" t="n">
        <x:v>149.8</x:v>
      </x:c>
      <x:c r="AE502" t="n">
        <x:v>0.06</x:v>
      </x:c>
      <x:c r="AF502" t="n">
        <x:v>12</x:v>
      </x:c>
      <x:c r="AG502" t="n">
        <x:v>12</x:v>
      </x:c>
      <x:c r="AH502" t="n">
        <x:v>24</x:v>
      </x:c>
      <x:c r="AI502" t="n">
        <x:v>8</x:v>
      </x:c>
      <x:c r="AJ502" t="n">
        <x:v>11</x:v>
      </x:c>
      <x:c r="AK502" t="n">
        <x:v>250</x:v>
      </x:c>
      <x:c r="AL502" t="str">
        <x:v>Direkte elektrisk;</x:v>
      </x:c>
      <x:c r="AM502"/>
      <x:c r="AN502"/>
      <x:c r="AO502"/>
      <x:c r="AP502"/>
      <x:c r="AQ502"/>
      <x:c r="AR502"/>
      <x:c r="AS502"/>
      <x:c r="AT502"/>
      <x:c r="AU502" t="str">
        <x:v>energiattester_export_2025-08-14.json | PDF vedlegg side 5-7</x:v>
      </x:c>
      <x:c r="AV502" s="12" t="n">
        <x:f>IF(COUNT(O502,P502,Q502,R502,K502,L502,M502,N502)=8,O502*K502+P502*L502+Q502*M502+R502*N502,"")</x:f>
        <x:v>424.84000000000003</x:v>
      </x:c>
      <x:c r="AW502" s="12" t="n">
        <x:f>IF(AND(ISNUMBER(AV502),H502&gt;0),AV502/H502,"")</x:f>
        <x:v>0.5039620403321471</x:v>
      </x:c>
      <x:c r="AX502" s="12" t="n">
        <x:f>IF(AND(ISNUMBER(AD502),H502&gt;0),AD502*H502*3600,"")</x:f>
        <x:v>454613040.00000006</x:v>
      </x:c>
      <x:c r="AY502" s="12" t="n">
        <x:f>IF(AND(ISNUMBER(Y502),H502&gt;0),Y502*H502,"")</x:f>
        <x:v>71655</x:v>
      </x:c>
      <x:c r="AZ502" t="str">
        <x:v>Høy</x:v>
      </x:c>
    </x:row>
    <x:row r="503" ht="22" customHeight="1">
      <x:c r="A503" t="str">
        <x:v>OT-1fb05647f454</x:v>
      </x:c>
      <x:c r="B503" t="n">
        <x:v>2015</x:v>
      </x:c>
      <x:c r="C503" t="str">
        <x:v>Kontorbygg</x:v>
      </x:c>
      <x:c r="D503" t="str">
        <x:v>KONTORER, ENKLE</x:v>
      </x:c>
      <x:c r="E503" t="str">
        <x:v>G</x:v>
      </x:c>
      <x:c r="F503" t="str">
        <x:v>RED</x:v>
      </x:c>
      <x:c r="G503" t="n">
        <x:v>1947</x:v>
      </x:c>
      <x:c r="H503" t="n">
        <x:v>510</x:v>
      </x:c>
      <x:c r="I503" t="n">
        <x:v>381</x:v>
      </x:c>
      <x:c r="J503" t="str">
        <x:v>PDF/avansert</x:v>
      </x:c>
      <x:c r="K503" t="n">
        <x:v>339</x:v>
      </x:c>
      <x:c r="L503" t="n">
        <x:v>255</x:v>
      </x:c>
      <x:c r="M503" t="n">
        <x:v>255</x:v>
      </x:c>
      <x:c r="N503" t="n">
        <x:v>91</x:v>
      </x:c>
      <x:c r="O503" t="n">
        <x:v>1</x:v>
      </x:c>
      <x:c r="P503" t="n">
        <x:v>0.6</x:v>
      </x:c>
      <x:c r="Q503" t="n">
        <x:v>0.3</x:v>
      </x:c>
      <x:c r="R503" t="n">
        <x:v>2.03</x:v>
      </x:c>
      <x:c r="S503" t="n">
        <x:v>48</x:v>
      </x:c>
      <x:c r="T503" t="n">
        <x:v>48</x:v>
      </x:c>
      <x:c r="U503" t="n">
        <x:v>2.87</x:v>
      </x:c>
      <x:c r="V503" t="n">
        <x:v>0.83</x:v>
      </x:c>
      <x:c r="W503" t="n">
        <x:v>10.8</x:v>
      </x:c>
      <x:c r="X503" t="n">
        <x:v>98</x:v>
      </x:c>
      <x:c r="Y503" t="n">
        <x:v>143</x:v>
      </x:c>
      <x:c r="Z503" t="n">
        <x:v>50</x:v>
      </x:c>
      <x:c r="AA503" t="n">
        <x:v>21</x:v>
      </x:c>
      <x:c r="AB503" t="n">
        <x:v>22</x:v>
      </x:c>
      <x:c r="AC503" t="n">
        <x:v>4</x:v>
      </x:c>
      <x:c r="AD503" t="n">
        <x:v>86.4</x:v>
      </x:c>
      <x:c r="AE503" t="n">
        <x:v>0.12</x:v>
      </x:c>
      <x:c r="AF503" t="n">
        <x:v>12</x:v>
      </x:c>
      <x:c r="AG503" t="n">
        <x:v>12</x:v>
      </x:c>
      <x:c r="AH503" t="n">
        <x:v>24</x:v>
      </x:c>
      <x:c r="AI503" t="n">
        <x:v>8</x:v>
      </x:c>
      <x:c r="AJ503" t="n">
        <x:v>11</x:v>
      </x:c>
      <x:c r="AK503" t="n">
        <x:v>250</x:v>
      </x:c>
      <x:c r="AL503" t="str">
        <x:v>Direkte elektrisk;</x:v>
      </x:c>
      <x:c r="AM503"/>
      <x:c r="AN503"/>
      <x:c r="AO503"/>
      <x:c r="AP503"/>
      <x:c r="AQ503"/>
      <x:c r="AR503"/>
      <x:c r="AS503"/>
      <x:c r="AT503"/>
      <x:c r="AU503" t="str">
        <x:v>energiattester_export_2025-08-14.json | PDF vedlegg side 5-7</x:v>
      </x:c>
      <x:c r="AV503" s="12" t="n">
        <x:f>IF(COUNT(O503,P503,Q503,R503,K503,L503,M503,N503)=8,O503*K503+P503*L503+Q503*M503+R503*N503,"")</x:f>
        <x:v>753.23</x:v>
      </x:c>
      <x:c r="AW503" s="12" t="n">
        <x:f>IF(AND(ISNUMBER(AV503),H503&gt;0),AV503/H503,"")</x:f>
        <x:v>1.476921568627451</x:v>
      </x:c>
      <x:c r="AX503" s="12" t="n">
        <x:f>IF(AND(ISNUMBER(AD503),H503&gt;0),AD503*H503*3600,"")</x:f>
        <x:v>158630400</x:v>
      </x:c>
      <x:c r="AY503" s="12" t="n">
        <x:f>IF(AND(ISNUMBER(Y503),H503&gt;0),Y503*H503,"")</x:f>
        <x:v>72930</x:v>
      </x:c>
      <x:c r="AZ503" t="str">
        <x:v>Høy</x:v>
      </x:c>
    </x:row>
    <x:row r="504" ht="22" customHeight="1">
      <x:c r="A504" t="str">
        <x:v>OT-8181afd8e7eb</x:v>
      </x:c>
      <x:c r="B504" t="n">
        <x:v>2015</x:v>
      </x:c>
      <x:c r="C504" t="str">
        <x:v>Kontorbygg</x:v>
      </x:c>
      <x:c r="D504" t="str">
        <x:v>KONTORER, MED VENTILASJON OG KJØLEANLEGG</x:v>
      </x:c>
      <x:c r="E504" t="str">
        <x:v>F</x:v>
      </x:c>
      <x:c r="F504" t="str">
        <x:v>RED</x:v>
      </x:c>
      <x:c r="G504" t="n">
        <x:v>1999</x:v>
      </x:c>
      <x:c r="H504" t="n">
        <x:v>392</x:v>
      </x:c>
      <x:c r="I504" t="n">
        <x:v>230</x:v>
      </x:c>
      <x:c r="J504" t="str">
        <x:v>PDF/avansert</x:v>
      </x:c>
      <x:c r="K504" t="n">
        <x:v>256</x:v>
      </x:c>
      <x:c r="L504" t="n">
        <x:v>216</x:v>
      </x:c>
      <x:c r="M504" t="n">
        <x:v>176</x:v>
      </x:c>
      <x:c r="N504" t="n">
        <x:v>47</x:v>
      </x:c>
      <x:c r="O504" t="n">
        <x:v>0.2</x:v>
      </x:c>
      <x:c r="P504" t="n">
        <x:v>0.3</x:v>
      </x:c>
      <x:c r="Q504" t="n">
        <x:v>0.17</x:v>
      </x:c>
      <x:c r="R504" t="n">
        <x:v>1.55</x:v>
      </x:c>
      <x:c r="S504" t="n">
        <x:v>63</x:v>
      </x:c>
      <x:c r="T504" t="n">
        <x:v>63</x:v>
      </x:c>
      <x:c r="U504" t="n">
        <x:v>5.41</x:v>
      </x:c>
      <x:c r="V504" t="n">
        <x:v>1.25</x:v>
      </x:c>
      <x:c r="W504" t="n">
        <x:v>8</x:v>
      </x:c>
      <x:c r="X504" t="n">
        <x:v>98</x:v>
      </x:c>
      <x:c r="Y504" t="n">
        <x:v>232</x:v>
      </x:c>
      <x:c r="Z504" t="n">
        <x:v>73</x:v>
      </x:c>
      <x:c r="AA504" t="n">
        <x:v>21</x:v>
      </x:c>
      <x:c r="AB504" t="n">
        <x:v>22</x:v>
      </x:c>
      <x:c r="AC504" t="n">
        <x:v>3.5</x:v>
      </x:c>
      <x:c r="AD504" t="n">
        <x:v>127.4</x:v>
      </x:c>
      <x:c r="AE504" t="n">
        <x:v>0.12</x:v>
      </x:c>
      <x:c r="AF504" t="n">
        <x:v>12</x:v>
      </x:c>
      <x:c r="AG504" t="n">
        <x:v>12</x:v>
      </x:c>
      <x:c r="AH504" t="n">
        <x:v>24</x:v>
      </x:c>
      <x:c r="AI504" t="n">
        <x:v>8</x:v>
      </x:c>
      <x:c r="AJ504" t="n">
        <x:v>11</x:v>
      </x:c>
      <x:c r="AK504" t="n">
        <x:v>250</x:v>
      </x:c>
      <x:c r="AL504" t="str">
        <x:v>Direkte elektrisk;</x:v>
      </x:c>
      <x:c r="AM504"/>
      <x:c r="AN504"/>
      <x:c r="AO504"/>
      <x:c r="AP504"/>
      <x:c r="AQ504"/>
      <x:c r="AR504"/>
      <x:c r="AS504"/>
      <x:c r="AT504"/>
      <x:c r="AU504" t="str">
        <x:v>energiattester_export_2025-08-14.json | PDF vedlegg side 5-7</x:v>
      </x:c>
      <x:c r="AV504" s="12" t="n">
        <x:f>IF(COUNT(O504,P504,Q504,R504,K504,L504,M504,N504)=8,O504*K504+P504*L504+Q504*M504+R504*N504,"")</x:f>
        <x:v>218.77000000000004</x:v>
      </x:c>
      <x:c r="AW504" s="12" t="n">
        <x:f>IF(AND(ISNUMBER(AV504),H504&gt;0),AV504/H504,"")</x:f>
        <x:v>0.5580867346938776</x:v>
      </x:c>
      <x:c r="AX504" s="12" t="n">
        <x:f>IF(AND(ISNUMBER(AD504),H504&gt;0),AD504*H504*3600,"")</x:f>
        <x:v>179786880</x:v>
      </x:c>
      <x:c r="AY504" s="12" t="n">
        <x:f>IF(AND(ISNUMBER(Y504),H504&gt;0),Y504*H504,"")</x:f>
        <x:v>90944</x:v>
      </x:c>
      <x:c r="AZ504" t="str">
        <x:v>Høy</x:v>
      </x:c>
    </x:row>
    <x:row r="505" ht="22" customHeight="1">
      <x:c r="A505" t="str">
        <x:v>OT-728cb73d7008</x:v>
      </x:c>
      <x:c r="B505" t="n">
        <x:v>2015</x:v>
      </x:c>
      <x:c r="C505" t="str">
        <x:v>Kontorbygg</x:v>
      </x:c>
      <x:c r="D505" t="str">
        <x:v>KONTORER, MED VENTILASJON OG KJØLEANLEGG</x:v>
      </x:c>
      <x:c r="E505" t="str">
        <x:v>F</x:v>
      </x:c>
      <x:c r="F505" t="str">
        <x:v>RED</x:v>
      </x:c>
      <x:c r="G505" t="n">
        <x:v>1916</x:v>
      </x:c>
      <x:c r="H505" t="n">
        <x:v>3302</x:v>
      </x:c>
      <x:c r="I505" t="n">
        <x:v>226</x:v>
      </x:c>
      <x:c r="J505" t="str">
        <x:v>PDF/avansert</x:v>
      </x:c>
      <x:c r="K505" t="n">
        <x:v>1233</x:v>
      </x:c>
      <x:c r="L505" t="n">
        <x:v>1002</x:v>
      </x:c>
      <x:c r="M505" t="n">
        <x:v>870</x:v>
      </x:c>
      <x:c r="N505" t="n">
        <x:v>357</x:v>
      </x:c>
      <x:c r="O505" t="n">
        <x:v>0.66</x:v>
      </x:c>
      <x:c r="P505" t="n">
        <x:v>0.49</x:v>
      </x:c>
      <x:c r="Q505" t="n">
        <x:v>0.21</x:v>
      </x:c>
      <x:c r="R505" t="n">
        <x:v>2.51</x:v>
      </x:c>
      <x:c r="S505" t="n">
        <x:v>56</x:v>
      </x:c>
      <x:c r="T505" t="n">
        <x:v>56</x:v>
      </x:c>
      <x:c r="U505" t="n">
        <x:v>6.08</x:v>
      </x:c>
      <x:c r="V505" t="n">
        <x:v>0.78</x:v>
      </x:c>
      <x:c r="W505" t="n">
        <x:v>7.2</x:v>
      </x:c>
      <x:c r="X505" t="n">
        <x:v>98</x:v>
      </x:c>
      <x:c r="Y505" t="n">
        <x:v>93</x:v>
      </x:c>
      <x:c r="Z505" t="n">
        <x:v>50</x:v>
      </x:c>
      <x:c r="AA505" t="n">
        <x:v>21</x:v>
      </x:c>
      <x:c r="AB505" t="n">
        <x:v>22</x:v>
      </x:c>
      <x:c r="AC505" t="n">
        <x:v>3</x:v>
      </x:c>
      <x:c r="AD505" t="n">
        <x:v>60.1</x:v>
      </x:c>
      <x:c r="AE505" t="n">
        <x:v>0.12</x:v>
      </x:c>
      <x:c r="AF505" t="n">
        <x:v>12</x:v>
      </x:c>
      <x:c r="AG505" t="n">
        <x:v>12</x:v>
      </x:c>
      <x:c r="AH505" t="n">
        <x:v>24</x:v>
      </x:c>
      <x:c r="AI505" t="n">
        <x:v>6.4</x:v>
      </x:c>
      <x:c r="AJ505" t="n">
        <x:v>11</x:v>
      </x:c>
      <x:c r="AK505" t="n">
        <x:v>250</x:v>
      </x:c>
      <x:c r="AL505" t="str">
        <x:v>Direkte elektrisk;</x:v>
      </x:c>
      <x:c r="AM505"/>
      <x:c r="AN505"/>
      <x:c r="AO505"/>
      <x:c r="AP505"/>
      <x:c r="AQ505"/>
      <x:c r="AR505"/>
      <x:c r="AS505"/>
      <x:c r="AT505"/>
      <x:c r="AU505" t="str">
        <x:v>energiattester_export_2025-08-14.json | PDF vedlegg side 5-7</x:v>
      </x:c>
      <x:c r="AV505" s="12" t="n">
        <x:f>IF(COUNT(O505,P505,Q505,R505,K505,L505,M505,N505)=8,O505*K505+P505*L505+Q505*M505+R505*N505,"")</x:f>
        <x:v>2383.53</x:v>
      </x:c>
      <x:c r="AW505" s="12" t="n">
        <x:f>IF(AND(ISNUMBER(AV505),H505&gt;0),AV505/H505,"")</x:f>
        <x:v>0.7218443367655967</x:v>
      </x:c>
      <x:c r="AX505" s="12" t="n">
        <x:f>IF(AND(ISNUMBER(AD505),H505&gt;0),AD505*H505*3600,"")</x:f>
        <x:v>714420720</x:v>
      </x:c>
      <x:c r="AY505" s="12" t="n">
        <x:f>IF(AND(ISNUMBER(Y505),H505&gt;0),Y505*H505,"")</x:f>
        <x:v>307086</x:v>
      </x:c>
      <x:c r="AZ505" t="str">
        <x:v>Høy</x:v>
      </x:c>
    </x:row>
    <x:row r="506" ht="22" customHeight="1">
      <x:c r="A506" t="str">
        <x:v>OT-31f360e65fe4</x:v>
      </x:c>
      <x:c r="B506" t="n">
        <x:v>2015</x:v>
      </x:c>
      <x:c r="C506" t="str">
        <x:v>Kontorbygg</x:v>
      </x:c>
      <x:c r="D506" t="str">
        <x:v>KONTORER, ENKLE</x:v>
      </x:c>
      <x:c r="E506" t="str">
        <x:v>G</x:v>
      </x:c>
      <x:c r="F506" t="str">
        <x:v>RED</x:v>
      </x:c>
      <x:c r="G506" t="n">
        <x:v>1960</x:v>
      </x:c>
      <x:c r="H506" t="n">
        <x:v>171</x:v>
      </x:c>
      <x:c r="I506" t="n">
        <x:v>436</x:v>
      </x:c>
      <x:c r="J506" t="str">
        <x:v>PDF/avansert</x:v>
      </x:c>
      <x:c r="K506" t="n">
        <x:v>159</x:v>
      </x:c>
      <x:c r="L506" t="n">
        <x:v>171</x:v>
      </x:c>
      <x:c r="M506" t="n">
        <x:v>171</x:v>
      </x:c>
      <x:c r="N506" t="n">
        <x:v>137</x:v>
      </x:c>
      <x:c r="O506" t="n">
        <x:v>0.54</x:v>
      </x:c>
      <x:c r="P506" t="n">
        <x:v>0.36</x:v>
      </x:c>
      <x:c r="Q506" t="n">
        <x:v>0.25</x:v>
      </x:c>
      <x:c r="R506" t="n">
        <x:v>1.94</x:v>
      </x:c>
      <x:c r="S506" t="n">
        <x:v>0</x:v>
      </x:c>
      <x:c r="T506" t="n">
        <x:v>0</x:v>
      </x:c>
      <x:c r="U506" t="n">
        <x:v>1.14</x:v>
      </x:c>
      <x:c r="V506" t="n">
        <x:v>0</x:v>
      </x:c>
      <x:c r="W506" t="n">
        <x:v>7</x:v>
      </x:c>
      <x:c r="X506" t="n">
        <x:v>98</x:v>
      </x:c>
      <x:c r="Y506" t="n">
        <x:v>80</x:v>
      </x:c>
      <x:c r="Z506" t="n">
        <x:v>0</x:v>
      </x:c>
      <x:c r="AA506" t="n">
        <x:v>21</x:v>
      </x:c>
      <x:c r="AB506" t="n">
        <x:v>22</x:v>
      </x:c>
      <x:c r="AC506" t="n">
        <x:v>4</x:v>
      </x:c>
      <x:c r="AD506" t="n">
        <x:v>31.3</x:v>
      </x:c>
      <x:c r="AE506" t="n">
        <x:v>0.12</x:v>
      </x:c>
      <x:c r="AF506" t="n">
        <x:v>12</x:v>
      </x:c>
      <x:c r="AG506" t="n">
        <x:v>12</x:v>
      </x:c>
      <x:c r="AH506" t="n">
        <x:v>24</x:v>
      </x:c>
      <x:c r="AI506" t="n">
        <x:v>8</x:v>
      </x:c>
      <x:c r="AJ506" t="n">
        <x:v>11</x:v>
      </x:c>
      <x:c r="AK506" t="n">
        <x:v>250</x:v>
      </x:c>
      <x:c r="AL506" t="str">
        <x:v>Direkte elektrisk;</x:v>
      </x:c>
      <x:c r="AM506"/>
      <x:c r="AN506"/>
      <x:c r="AO506"/>
      <x:c r="AP506"/>
      <x:c r="AQ506"/>
      <x:c r="AR506"/>
      <x:c r="AS506"/>
      <x:c r="AT506"/>
      <x:c r="AU506" t="str">
        <x:v>energiattester_export_2025-08-14.json | PDF vedlegg side 5-7</x:v>
      </x:c>
      <x:c r="AV506" s="12" t="n">
        <x:f>IF(COUNT(O506,P506,Q506,R506,K506,L506,M506,N506)=8,O506*K506+P506*L506+Q506*M506+R506*N506,"")</x:f>
        <x:v>455.94999999999993</x:v>
      </x:c>
      <x:c r="AW506" s="12" t="n">
        <x:f>IF(AND(ISNUMBER(AV506),H506&gt;0),AV506/H506,"")</x:f>
        <x:v>2.6663742690058476</x:v>
      </x:c>
      <x:c r="AX506" s="12" t="n">
        <x:f>IF(AND(ISNUMBER(AD506),H506&gt;0),AD506*H506*3600,"")</x:f>
        <x:v>19268280</x:v>
      </x:c>
      <x:c r="AY506" s="12" t="n">
        <x:f>IF(AND(ISNUMBER(Y506),H506&gt;0),Y506*H506,"")</x:f>
        <x:v>13680</x:v>
      </x:c>
      <x:c r="AZ506" t="str">
        <x:v>Høy</x:v>
      </x:c>
    </x:row>
    <x:row r="507" ht="22" customHeight="1">
      <x:c r="A507" t="str">
        <x:v>OT-d62390fab84c</x:v>
      </x:c>
      <x:c r="B507" t="n">
        <x:v>2015</x:v>
      </x:c>
      <x:c r="C507" t="str">
        <x:v>Kontorbygg</x:v>
      </x:c>
      <x:c r="D507" t="str">
        <x:v>KONTORER, ENKLE</x:v>
      </x:c>
      <x:c r="E507" t="str">
        <x:v>G</x:v>
      </x:c>
      <x:c r="F507" t="str">
        <x:v>RED</x:v>
      </x:c>
      <x:c r="G507" t="n">
        <x:v>1947</x:v>
      </x:c>
      <x:c r="H507" t="n">
        <x:v>159</x:v>
      </x:c>
      <x:c r="I507" t="n">
        <x:v>328</x:v>
      </x:c>
      <x:c r="J507" t="str">
        <x:v>PDF/avansert</x:v>
      </x:c>
      <x:c r="K507" t="n">
        <x:v>189</x:v>
      </x:c>
      <x:c r="L507" t="n">
        <x:v>159</x:v>
      </x:c>
      <x:c r="M507" t="n">
        <x:v>159</x:v>
      </x:c>
      <x:c r="N507" t="n">
        <x:v>48</x:v>
      </x:c>
      <x:c r="O507" t="n">
        <x:v>0.72</x:v>
      </x:c>
      <x:c r="P507" t="n">
        <x:v>0.31</x:v>
      </x:c>
      <x:c r="Q507" t="n">
        <x:v>0.34</x:v>
      </x:c>
      <x:c r="R507" t="n">
        <x:v>1.44</x:v>
      </x:c>
      <x:c r="S507" t="n">
        <x:v>0</x:v>
      </x:c>
      <x:c r="T507" t="n">
        <x:v>0</x:v>
      </x:c>
      <x:c r="U507" t="n">
        <x:v>0.71</x:v>
      </x:c>
      <x:c r="V507" t="n">
        <x:v>0</x:v>
      </x:c>
      <x:c r="W507" t="n">
        <x:v>7</x:v>
      </x:c>
      <x:c r="X507" t="n">
        <x:v>98</x:v>
      </x:c>
      <x:c r="Y507" t="n">
        <x:v>50</x:v>
      </x:c>
      <x:c r="Z507" t="n">
        <x:v>0</x:v>
      </x:c>
      <x:c r="AA507" t="n">
        <x:v>21</x:v>
      </x:c>
      <x:c r="AB507" t="n">
        <x:v>22</x:v>
      </x:c>
      <x:c r="AC507" t="n">
        <x:v>4</x:v>
      </x:c>
      <x:c r="AD507" t="n">
        <x:v>81.1</x:v>
      </x:c>
      <x:c r="AE507" t="n">
        <x:v>0.12</x:v>
      </x:c>
      <x:c r="AF507" t="n">
        <x:v>12</x:v>
      </x:c>
      <x:c r="AG507" t="n">
        <x:v>12</x:v>
      </x:c>
      <x:c r="AH507" t="n">
        <x:v>24</x:v>
      </x:c>
      <x:c r="AI507" t="n">
        <x:v>8</x:v>
      </x:c>
      <x:c r="AJ507" t="n">
        <x:v>11</x:v>
      </x:c>
      <x:c r="AK507" t="n">
        <x:v>250</x:v>
      </x:c>
      <x:c r="AL507" t="str">
        <x:v>Direkte elektrisk;</x:v>
      </x:c>
      <x:c r="AM507"/>
      <x:c r="AN507"/>
      <x:c r="AO507"/>
      <x:c r="AP507"/>
      <x:c r="AQ507"/>
      <x:c r="AR507"/>
      <x:c r="AS507"/>
      <x:c r="AT507"/>
      <x:c r="AU507" t="str">
        <x:v>energiattester_export_2025-08-14.json | PDF vedlegg side 5-7</x:v>
      </x:c>
      <x:c r="AV507" s="12" t="n">
        <x:f>IF(COUNT(O507,P507,Q507,R507,K507,L507,M507,N507)=8,O507*K507+P507*L507+Q507*M507+R507*N507,"")</x:f>
        <x:v>308.54999999999995</x:v>
      </x:c>
      <x:c r="AW507" s="12" t="n">
        <x:f>IF(AND(ISNUMBER(AV507),H507&gt;0),AV507/H507,"")</x:f>
        <x:v>1.9405660377358487</x:v>
      </x:c>
      <x:c r="AX507" s="12" t="n">
        <x:f>IF(AND(ISNUMBER(AD507),H507&gt;0),AD507*H507*3600,"")</x:f>
        <x:v>46421640</x:v>
      </x:c>
      <x:c r="AY507" s="12" t="n">
        <x:f>IF(AND(ISNUMBER(Y507),H507&gt;0),Y507*H507,"")</x:f>
        <x:v>7950</x:v>
      </x:c>
      <x:c r="AZ507" t="str">
        <x:v>Høy</x:v>
      </x:c>
    </x:row>
    <x:row r="508" ht="22" customHeight="1">
      <x:c r="A508" t="str">
        <x:v>OT-9d52d6f1ac9a</x:v>
      </x:c>
      <x:c r="B508" t="n">
        <x:v>2015</x:v>
      </x:c>
      <x:c r="C508" t="str">
        <x:v>Forretningsbygg</x:v>
      </x:c>
      <x:c r="D508" t="str">
        <x:v>BUTIKK</x:v>
      </x:c>
      <x:c r="E508" t="str">
        <x:v>G</x:v>
      </x:c>
      <x:c r="F508" t="str">
        <x:v>RED</x:v>
      </x:c>
      <x:c r="G508" t="n">
        <x:v>1961</x:v>
      </x:c>
      <x:c r="H508" t="n">
        <x:v>564</x:v>
      </x:c>
      <x:c r="I508" t="n">
        <x:v>394</x:v>
      </x:c>
      <x:c r="J508" t="str">
        <x:v>PDF/avansert</x:v>
      </x:c>
      <x:c r="K508" t="n">
        <x:v>266</x:v>
      </x:c>
      <x:c r="L508" t="n">
        <x:v>0</x:v>
      </x:c>
      <x:c r="M508" t="n">
        <x:v>564</x:v>
      </x:c>
      <x:c r="N508" t="n">
        <x:v>76</x:v>
      </x:c>
      <x:c r="O508" t="n">
        <x:v>1.1</x:v>
      </x:c>
      <x:c r="P508" t="n">
        <x:v>0</x:v>
      </x:c>
      <x:c r="Q508" t="n">
        <x:v>0.28</x:v>
      </x:c>
      <x:c r="R508" t="n">
        <x:v>1.54</x:v>
      </x:c>
      <x:c r="S508" t="n">
        <x:v>31</x:v>
      </x:c>
      <x:c r="T508" t="n">
        <x:v>31</x:v>
      </x:c>
      <x:c r="U508" t="n">
        <x:v>4.2</x:v>
      </x:c>
      <x:c r="V508" t="n">
        <x:v>0.3</x:v>
      </x:c>
      <x:c r="W508" t="n">
        <x:v>13</x:v>
      </x:c>
      <x:c r="X508" t="n">
        <x:v>90</x:v>
      </x:c>
      <x:c r="Y508" t="n">
        <x:v>150</x:v>
      </x:c>
      <x:c r="Z508" t="n">
        <x:v>0</x:v>
      </x:c>
      <x:c r="AA508" t="n">
        <x:v>21</x:v>
      </x:c>
      <x:c r="AB508" t="n">
        <x:v>22</x:v>
      </x:c>
      <x:c r="AC508" t="n">
        <x:v>4</x:v>
      </x:c>
      <x:c r="AD508" t="n">
        <x:v>85.1</x:v>
      </x:c>
      <x:c r="AE508" t="n">
        <x:v>0.12</x:v>
      </x:c>
      <x:c r="AF508" t="n">
        <x:v>12</x:v>
      </x:c>
      <x:c r="AG508" t="n">
        <x:v>12</x:v>
      </x:c>
      <x:c r="AH508" t="n">
        <x:v>24</x:v>
      </x:c>
      <x:c r="AI508" t="n">
        <x:v>15</x:v>
      </x:c>
      <x:c r="AJ508" t="n">
        <x:v>1</x:v>
      </x:c>
      <x:c r="AK508" t="n">
        <x:v>250</x:v>
      </x:c>
      <x:c r="AL508" t="str">
        <x:v>Direkte elektrisk;</x:v>
      </x:c>
      <x:c r="AM508"/>
      <x:c r="AN508"/>
      <x:c r="AO508"/>
      <x:c r="AP508"/>
      <x:c r="AQ508"/>
      <x:c r="AR508"/>
      <x:c r="AS508"/>
      <x:c r="AT508"/>
      <x:c r="AU508" t="str">
        <x:v>energiattester_export_2025-08-14.json | PDF vedlegg side 5-7</x:v>
      </x:c>
      <x:c r="AV508" s="12" t="n">
        <x:f>IF(COUNT(O508,P508,Q508,R508,K508,L508,M508,N508)=8,O508*K508+P508*L508+Q508*M508+R508*N508,"")</x:f>
        <x:v>567.5600000000001</x:v>
      </x:c>
      <x:c r="AW508" s="12" t="n">
        <x:f>IF(AND(ISNUMBER(AV508),H508&gt;0),AV508/H508,"")</x:f>
        <x:v>1.0063120567375887</x:v>
      </x:c>
      <x:c r="AX508" s="12" t="n">
        <x:f>IF(AND(ISNUMBER(AD508),H508&gt;0),AD508*H508*3600,"")</x:f>
        <x:v>172787039.99999997</x:v>
      </x:c>
      <x:c r="AY508" s="12" t="n">
        <x:f>IF(AND(ISNUMBER(Y508),H508&gt;0),Y508*H508,"")</x:f>
        <x:v>84600</x:v>
      </x:c>
      <x:c r="AZ508" t="str">
        <x:v>Høy</x:v>
      </x:c>
    </x:row>
    <x:row r="509" ht="22" customHeight="1">
      <x:c r="A509" t="str">
        <x:v>OT-d255c9400ff0</x:v>
      </x:c>
      <x:c r="B509" t="n">
        <x:v>2015</x:v>
      </x:c>
      <x:c r="C509" t="str">
        <x:v>Kontorbygg</x:v>
      </x:c>
      <x:c r="D509" t="str">
        <x:v>KONTORER, ENKLE</x:v>
      </x:c>
      <x:c r="E509" t="str">
        <x:v>G</x:v>
      </x:c>
      <x:c r="F509" t="str">
        <x:v>RED</x:v>
      </x:c>
      <x:c r="G509" t="n">
        <x:v>1974</x:v>
      </x:c>
      <x:c r="H509" t="n">
        <x:v>119</x:v>
      </x:c>
      <x:c r="I509" t="n">
        <x:v>511</x:v>
      </x:c>
      <x:c r="J509" t="str">
        <x:v>PDF/avansert</x:v>
      </x:c>
      <x:c r="K509" t="n">
        <x:v>74</x:v>
      </x:c>
      <x:c r="L509" t="n">
        <x:v>107</x:v>
      </x:c>
      <x:c r="M509" t="n">
        <x:v>107</x:v>
      </x:c>
      <x:c r="N509" t="n">
        <x:v>16</x:v>
      </x:c>
      <x:c r="O509" t="n">
        <x:v>1.44</x:v>
      </x:c>
      <x:c r="P509" t="n">
        <x:v>0.5</x:v>
      </x:c>
      <x:c r="Q509" t="n">
        <x:v>2.04</x:v>
      </x:c>
      <x:c r="R509" t="n">
        <x:v>1.99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7</x:v>
      </x:c>
      <x:c r="X509" t="n">
        <x:v>98</x:v>
      </x:c>
      <x:c r="Y509" t="n">
        <x:v>80</x:v>
      </x:c>
      <x:c r="Z509" t="n">
        <x:v>0</x:v>
      </x:c>
      <x:c r="AA509" t="n">
        <x:v>21</x:v>
      </x:c>
      <x:c r="AB509" t="n">
        <x:v>22</x:v>
      </x:c>
      <x:c r="AC509" t="n">
        <x:v>4</x:v>
      </x:c>
      <x:c r="AD509" t="n">
        <x:v>159.7</x:v>
      </x:c>
      <x:c r="AE509" t="n">
        <x:v>0.11</x:v>
      </x:c>
      <x:c r="AF509" t="n">
        <x:v>12</x:v>
      </x:c>
      <x:c r="AG509" t="n">
        <x:v>12</x:v>
      </x:c>
      <x:c r="AH509" t="n">
        <x:v>24</x:v>
      </x:c>
      <x:c r="AI509" t="n">
        <x:v>8</x:v>
      </x:c>
      <x:c r="AJ509" t="n">
        <x:v>11</x:v>
      </x:c>
      <x:c r="AK509" t="n">
        <x:v>250</x:v>
      </x:c>
      <x:c r="AL509" t="str">
        <x:v>Direkte elektrisk;</x:v>
      </x:c>
      <x:c r="AM509"/>
      <x:c r="AN509"/>
      <x:c r="AO509"/>
      <x:c r="AP509"/>
      <x:c r="AQ509"/>
      <x:c r="AR509"/>
      <x:c r="AS509"/>
      <x:c r="AT509"/>
      <x:c r="AU509" t="str">
        <x:v>energiattester_export_2025-08-14.json | PDF vedlegg side 5-7</x:v>
      </x:c>
      <x:c r="AV509" s="12" t="n">
        <x:f>IF(COUNT(O509,P509,Q509,R509,K509,L509,M509,N509)=8,O509*K509+P509*L509+Q509*M509+R509*N509,"")</x:f>
        <x:v>410.18</x:v>
      </x:c>
      <x:c r="AW509" s="12" t="n">
        <x:f>IF(AND(ISNUMBER(AV509),H509&gt;0),AV509/H509,"")</x:f>
        <x:v>3.4468907563025213</x:v>
      </x:c>
      <x:c r="AX509" s="12" t="n">
        <x:f>IF(AND(ISNUMBER(AD509),H509&gt;0),AD509*H509*3600,"")</x:f>
        <x:v>68415480</x:v>
      </x:c>
      <x:c r="AY509" s="12" t="n">
        <x:f>IF(AND(ISNUMBER(Y509),H509&gt;0),Y509*H509,"")</x:f>
        <x:v>9520</x:v>
      </x:c>
      <x:c r="AZ509" t="str">
        <x:v>Høy</x:v>
      </x:c>
    </x:row>
    <x:row r="510" ht="22" customHeight="1">
      <x:c r="A510" t="str">
        <x:v>OT-28153f85311b</x:v>
      </x:c>
      <x:c r="B510" t="n">
        <x:v>2015</x:v>
      </x:c>
      <x:c r="C510" t="str">
        <x:v>Kontorbygg</x:v>
      </x:c>
      <x:c r="D510" t="str">
        <x:v>KONTORER, ENKLE</x:v>
      </x:c>
      <x:c r="E510" t="str">
        <x:v>D</x:v>
      </x:c>
      <x:c r="F510" t="str">
        <x:v>RED</x:v>
      </x:c>
      <x:c r="G510" t="n">
        <x:v>2000</x:v>
      </x:c>
      <x:c r="H510" t="n">
        <x:v>656</x:v>
      </x:c>
      <x:c r="I510" t="n">
        <x:v>178</x:v>
      </x:c>
      <x:c r="J510" t="str">
        <x:v>PDF/avansert</x:v>
      </x:c>
      <x:c r="K510" t="n">
        <x:v>296</x:v>
      </x:c>
      <x:c r="L510" t="n">
        <x:v>562</x:v>
      </x:c>
      <x:c r="M510" t="n">
        <x:v>567</x:v>
      </x:c>
      <x:c r="N510" t="n">
        <x:v>43</x:v>
      </x:c>
      <x:c r="O510" t="n">
        <x:v>0.43</x:v>
      </x:c>
      <x:c r="P510" t="n">
        <x:v>0.23</x:v>
      </x:c>
      <x:c r="Q510" t="n">
        <x:v>0.33</x:v>
      </x:c>
      <x:c r="R510" t="n">
        <x:v>1.3</x:v>
      </x:c>
      <x:c r="S510" t="n">
        <x:v>70</x:v>
      </x:c>
      <x:c r="T510" t="n">
        <x:v>70</x:v>
      </x:c>
      <x:c r="U510" t="n">
        <x:v>1.61</x:v>
      </x:c>
      <x:c r="V510" t="n">
        <x:v>0.2</x:v>
      </x:c>
      <x:c r="W510" t="n">
        <x:v>7</x:v>
      </x:c>
      <x:c r="X510" t="n">
        <x:v>98</x:v>
      </x:c>
      <x:c r="Y510" t="n">
        <x:v>77</x:v>
      </x:c>
      <x:c r="Z510" t="n">
        <x:v>0</x:v>
      </x:c>
      <x:c r="AA510" t="n">
        <x:v>21</x:v>
      </x:c>
      <x:c r="AB510" t="n">
        <x:v>22</x:v>
      </x:c>
      <x:c r="AC510" t="n">
        <x:v>3.5</x:v>
      </x:c>
      <x:c r="AD510" t="n">
        <x:v>203.7</x:v>
      </x:c>
      <x:c r="AE510" t="n">
        <x:v>0.05</x:v>
      </x:c>
      <x:c r="AF510" t="n">
        <x:v>12</x:v>
      </x:c>
      <x:c r="AG510" t="n">
        <x:v>12</x:v>
      </x:c>
      <x:c r="AH510" t="n">
        <x:v>24</x:v>
      </x:c>
      <x:c r="AI510" t="n">
        <x:v>8</x:v>
      </x:c>
      <x:c r="AJ510" t="n">
        <x:v>11</x:v>
      </x:c>
      <x:c r="AK510" t="n">
        <x:v>250</x:v>
      </x:c>
      <x:c r="AL510" t="str">
        <x:v>Direkte elektrisk;</x:v>
      </x:c>
      <x:c r="AM510"/>
      <x:c r="AN510"/>
      <x:c r="AO510"/>
      <x:c r="AP510"/>
      <x:c r="AQ510"/>
      <x:c r="AR510"/>
      <x:c r="AS510"/>
      <x:c r="AT510"/>
      <x:c r="AU510" t="str">
        <x:v>energiattester_export_2025-08-14.json | PDF vedlegg side 5-7</x:v>
      </x:c>
      <x:c r="AV510" s="12" t="n">
        <x:f>IF(COUNT(O510,P510,Q510,R510,K510,L510,M510,N510)=8,O510*K510+P510*L510+Q510*M510+R510*N510,"")</x:f>
        <x:v>499.55</x:v>
      </x:c>
      <x:c r="AW510" s="12" t="n">
        <x:f>IF(AND(ISNUMBER(AV510),H510&gt;0),AV510/H510,"")</x:f>
        <x:v>0.7615091463414634</x:v>
      </x:c>
      <x:c r="AX510" s="12" t="n">
        <x:f>IF(AND(ISNUMBER(AD510),H510&gt;0),AD510*H510*3600,"")</x:f>
        <x:v>481057919.99999994</x:v>
      </x:c>
      <x:c r="AY510" s="12" t="n">
        <x:f>IF(AND(ISNUMBER(Y510),H510&gt;0),Y510*H510,"")</x:f>
        <x:v>50512</x:v>
      </x:c>
      <x:c r="AZ510" t="str">
        <x:v>Høy</x:v>
      </x:c>
    </x:row>
    <x:row r="511" ht="22" customHeight="1">
      <x:c r="A511" t="str">
        <x:v>OT-9dcbed3d2efd</x:v>
      </x:c>
      <x:c r="B511" t="n">
        <x:v>2015</x:v>
      </x:c>
      <x:c r="C511" t="str">
        <x:v>Kontorbygg</x:v>
      </x:c>
      <x:c r="D511" t="str">
        <x:v>KONTORER, MED VENTILASJON OG KJØLEANLEGG</x:v>
      </x:c>
      <x:c r="E511" t="str">
        <x:v>D</x:v>
      </x:c>
      <x:c r="F511" t="str">
        <x:v>RED</x:v>
      </x:c>
      <x:c r="G511" t="n">
        <x:v>2005</x:v>
      </x:c>
      <x:c r="H511" t="n">
        <x:v>7046</x:v>
      </x:c>
      <x:c r="I511" t="n">
        <x:v>149</x:v>
      </x:c>
      <x:c r="J511" t="str">
        <x:v>PDF/avansert</x:v>
      </x:c>
      <x:c r="K511" t="n">
        <x:v>349</x:v>
      </x:c>
      <x:c r="L511" t="n">
        <x:v>115</x:v>
      </x:c>
      <x:c r="M511" t="n">
        <x:v>305</x:v>
      </x:c>
      <x:c r="N511" t="n">
        <x:v>41</x:v>
      </x:c>
      <x:c r="O511" t="n">
        <x:v>0.16</x:v>
      </x:c>
      <x:c r="P511" t="n">
        <x:v>0.15</x:v>
      </x:c>
      <x:c r="Q511" t="n">
        <x:v>0.11</x:v>
      </x:c>
      <x:c r="R511" t="n">
        <x:v>1.6</x:v>
      </x:c>
      <x:c r="S511" t="n">
        <x:v>70</x:v>
      </x:c>
      <x:c r="T511" t="n">
        <x:v>70</x:v>
      </x:c>
      <x:c r="U511" t="n">
        <x:v>2.08</x:v>
      </x:c>
      <x:c r="V511" t="n">
        <x:v>0.19</x:v>
      </x:c>
      <x:c r="W511" t="n">
        <x:v>10</x:v>
      </x:c>
      <x:c r="X511" t="n">
        <x:v>98</x:v>
      </x:c>
      <x:c r="Y511" t="n">
        <x:v>59</x:v>
      </x:c>
      <x:c r="Z511" t="n">
        <x:v>6</x:v>
      </x:c>
      <x:c r="AA511" t="n">
        <x:v>21</x:v>
      </x:c>
      <x:c r="AB511" t="n">
        <x:v>22</x:v>
      </x:c>
      <x:c r="AC511" t="n">
        <x:v>3.5</x:v>
      </x:c>
      <x:c r="AD511" t="n">
        <x:v>80</x:v>
      </x:c>
      <x:c r="AE511" t="n">
        <x:v>0.04</x:v>
      </x:c>
      <x:c r="AF511" t="n">
        <x:v>12</x:v>
      </x:c>
      <x:c r="AG511" t="n">
        <x:v>12</x:v>
      </x:c>
      <x:c r="AH511" t="n">
        <x:v>24</x:v>
      </x:c>
      <x:c r="AI511" t="n">
        <x:v>8</x:v>
      </x:c>
      <x:c r="AJ511" t="n">
        <x:v>11</x:v>
      </x:c>
      <x:c r="AK511" t="n">
        <x:v>250</x:v>
      </x:c>
      <x:c r="AL511" t="str">
        <x:v>Direkte elektrisk;</x:v>
      </x:c>
      <x:c r="AM511"/>
      <x:c r="AN511"/>
      <x:c r="AO511"/>
      <x:c r="AP511"/>
      <x:c r="AQ511"/>
      <x:c r="AR511"/>
      <x:c r="AS511"/>
      <x:c r="AT511"/>
      <x:c r="AU511" t="str">
        <x:v>energiattester_export_2025-08-14.json | PDF vedlegg side 5-7</x:v>
      </x:c>
      <x:c r="AV511" s="12" t="n">
        <x:f>IF(COUNT(O511,P511,Q511,R511,K511,L511,M511,N511)=8,O511*K511+P511*L511+Q511*M511+R511*N511,"")</x:f>
        <x:v>172.24</x:v>
      </x:c>
      <x:c r="AW511" s="12" t="n">
        <x:f>IF(AND(ISNUMBER(AV511),H511&gt;0),AV511/H511,"")</x:f>
        <x:v>0.02444507521998297</x:v>
      </x:c>
      <x:c r="AX511" s="12" t="n">
        <x:f>IF(AND(ISNUMBER(AD511),H511&gt;0),AD511*H511*3600,"")</x:f>
        <x:v>2029248000</x:v>
      </x:c>
      <x:c r="AY511" s="12" t="n">
        <x:f>IF(AND(ISNUMBER(Y511),H511&gt;0),Y511*H511,"")</x:f>
        <x:v>415714</x:v>
      </x:c>
      <x:c r="AZ511" t="str">
        <x:v>Høy</x:v>
      </x:c>
    </x:row>
    <x:row r="512" ht="22" customHeight="1">
      <x:c r="A512" t="str">
        <x:v>OT-9de19ea2decb</x:v>
      </x:c>
      <x:c r="B512" t="n">
        <x:v>2015</x:v>
      </x:c>
      <x:c r="C512" t="str">
        <x:v>Kontorbygg</x:v>
      </x:c>
      <x:c r="D512" t="str">
        <x:v>KONTORER, MED VENTILASJON OG KJØLEANLEGG</x:v>
      </x:c>
      <x:c r="E512" t="str">
        <x:v>F</x:v>
      </x:c>
      <x:c r="F512" t="str">
        <x:v>RED</x:v>
      </x:c>
      <x:c r="G512" t="n">
        <x:v>1987</x:v>
      </x:c>
      <x:c r="H512" t="n">
        <x:v>884</x:v>
      </x:c>
      <x:c r="I512" t="n">
        <x:v>221</x:v>
      </x:c>
      <x:c r="J512" t="str">
        <x:v>PDF/avansert</x:v>
      </x:c>
      <x:c r="K512" t="n">
        <x:v>541</x:v>
      </x:c>
      <x:c r="L512" t="n">
        <x:v>442</x:v>
      </x:c>
      <x:c r="M512" t="n">
        <x:v>442</x:v>
      </x:c>
      <x:c r="N512" t="n">
        <x:v>136</x:v>
      </x:c>
      <x:c r="O512" t="n">
        <x:v>0.3</x:v>
      </x:c>
      <x:c r="P512" t="n">
        <x:v>0.19</x:v>
      </x:c>
      <x:c r="Q512" t="n">
        <x:v>0.27</x:v>
      </x:c>
      <x:c r="R512" t="n">
        <x:v>2.34</x:v>
      </x:c>
      <x:c r="S512" t="n">
        <x:v>79</x:v>
      </x:c>
      <x:c r="T512" t="n">
        <x:v>79</x:v>
      </x:c>
      <x:c r="U512" t="n">
        <x:v>2.1</x:v>
      </x:c>
      <x:c r="V512" t="n">
        <x:v>0.53</x:v>
      </x:c>
      <x:c r="W512" t="n">
        <x:v>12.1</x:v>
      </x:c>
      <x:c r="X512" t="n">
        <x:v>98</x:v>
      </x:c>
      <x:c r="Y512" t="n">
        <x:v>82</x:v>
      </x:c>
      <x:c r="Z512" t="n">
        <x:v>30</x:v>
      </x:c>
      <x:c r="AA512" t="n">
        <x:v>21</x:v>
      </x:c>
      <x:c r="AB512" t="n">
        <x:v>22</x:v>
      </x:c>
      <x:c r="AC512" t="n">
        <x:v>5</x:v>
      </x:c>
      <x:c r="AD512" t="n">
        <x:v>22</x:v>
      </x:c>
      <x:c r="AE512" t="n">
        <x:v>0.05</x:v>
      </x:c>
      <x:c r="AF512" t="n">
        <x:v>12</x:v>
      </x:c>
      <x:c r="AG512" t="n">
        <x:v>12</x:v>
      </x:c>
      <x:c r="AH512" t="n">
        <x:v>24</x:v>
      </x:c>
      <x:c r="AI512" t="n">
        <x:v>8</x:v>
      </x:c>
      <x:c r="AJ512" t="n">
        <x:v>11</x:v>
      </x:c>
      <x:c r="AK512" t="n">
        <x:v>250</x:v>
      </x:c>
      <x:c r="AL512" t="str">
        <x:v>Direkte elektrisk;</x:v>
      </x:c>
      <x:c r="AM512"/>
      <x:c r="AN512"/>
      <x:c r="AO512"/>
      <x:c r="AP512"/>
      <x:c r="AQ512"/>
      <x:c r="AR512"/>
      <x:c r="AS512"/>
      <x:c r="AT512"/>
      <x:c r="AU512" t="str">
        <x:v>energiattester_export_2025-08-14.json | PDF vedlegg side 5-7</x:v>
      </x:c>
      <x:c r="AV512" s="12" t="n">
        <x:f>IF(COUNT(O512,P512,Q512,R512,K512,L512,M512,N512)=8,O512*K512+P512*L512+Q512*M512+R512*N512,"")</x:f>
        <x:v>683.86</x:v>
      </x:c>
      <x:c r="AW512" s="12" t="n">
        <x:f>IF(AND(ISNUMBER(AV512),H512&gt;0),AV512/H512,"")</x:f>
        <x:v>0.7735972850678733</x:v>
      </x:c>
      <x:c r="AX512" s="12" t="n">
        <x:f>IF(AND(ISNUMBER(AD512),H512&gt;0),AD512*H512*3600,"")</x:f>
        <x:v>70012800</x:v>
      </x:c>
      <x:c r="AY512" s="12" t="n">
        <x:f>IF(AND(ISNUMBER(Y512),H512&gt;0),Y512*H512,"")</x:f>
        <x:v>72488</x:v>
      </x:c>
      <x:c r="AZ512" t="str">
        <x:v>Høy</x:v>
      </x:c>
    </x:row>
    <x:row r="513" ht="22" customHeight="1">
      <x:c r="A513" t="str">
        <x:v>OT-9118ab1a128e</x:v>
      </x:c>
      <x:c r="B513" t="n">
        <x:v>2015</x:v>
      </x:c>
      <x:c r="C513" t="str">
        <x:v>Kontorbygg</x:v>
      </x:c>
      <x:c r="D513" t="str">
        <x:v>KONTORER, MED VENTILASJON OG KJØLEANLEGG</x:v>
      </x:c>
      <x:c r="E513" t="str">
        <x:v>E</x:v>
      </x:c>
      <x:c r="F513" t="str">
        <x:v>RED</x:v>
      </x:c>
      <x:c r="G513" t="n">
        <x:v>2006</x:v>
      </x:c>
      <x:c r="H513" t="n">
        <x:v>231</x:v>
      </x:c>
      <x:c r="I513" t="n">
        <x:v>197</x:v>
      </x:c>
      <x:c r="J513" t="str">
        <x:v>PDF/avansert</x:v>
      </x:c>
      <x:c r="K513" t="n">
        <x:v>226</x:v>
      </x:c>
      <x:c r="L513" t="n">
        <x:v>151</x:v>
      </x:c>
      <x:c r="M513" t="n">
        <x:v>157</x:v>
      </x:c>
      <x:c r="N513" t="n">
        <x:v>59</x:v>
      </x:c>
      <x:c r="O513" t="n">
        <x:v>0.22</x:v>
      </x:c>
      <x:c r="P513" t="n">
        <x:v>0.15</x:v>
      </x:c>
      <x:c r="Q513" t="n">
        <x:v>0.13</x:v>
      </x:c>
      <x:c r="R513" t="n">
        <x:v>1.6</x:v>
      </x:c>
      <x:c r="S513" t="n">
        <x:v>76</x:v>
      </x:c>
      <x:c r="T513" t="n">
        <x:v>76</x:v>
      </x:c>
      <x:c r="U513" t="n">
        <x:v>1.35</x:v>
      </x:c>
      <x:c r="V513" t="n">
        <x:v>0.1</x:v>
      </x:c>
      <x:c r="W513" t="n">
        <x:v>12.4</x:v>
      </x:c>
      <x:c r="X513" t="n">
        <x:v>98</x:v>
      </x:c>
      <x:c r="Y513" t="n">
        <x:v>119</x:v>
      </x:c>
      <x:c r="Z513" t="n">
        <x:v>85</x:v>
      </x:c>
      <x:c r="AA513" t="n">
        <x:v>21</x:v>
      </x:c>
      <x:c r="AB513" t="n">
        <x:v>22</x:v>
      </x:c>
      <x:c r="AC513" t="n">
        <x:v>3.5</x:v>
      </x:c>
      <x:c r="AD513" t="n">
        <x:v>86.5</x:v>
      </x:c>
      <x:c r="AE513" t="n">
        <x:v>0.09</x:v>
      </x:c>
      <x:c r="AF513" t="n">
        <x:v>12</x:v>
      </x:c>
      <x:c r="AG513" t="n">
        <x:v>12</x:v>
      </x:c>
      <x:c r="AH513" t="n">
        <x:v>24</x:v>
      </x:c>
      <x:c r="AI513" t="n">
        <x:v>8</x:v>
      </x:c>
      <x:c r="AJ513" t="n">
        <x:v>11</x:v>
      </x:c>
      <x:c r="AK513" t="n">
        <x:v>250</x:v>
      </x:c>
      <x:c r="AL513" t="str">
        <x:v>Direkte elektrisk;</x:v>
      </x:c>
      <x:c r="AM513"/>
      <x:c r="AN513"/>
      <x:c r="AO513"/>
      <x:c r="AP513"/>
      <x:c r="AQ513"/>
      <x:c r="AR513"/>
      <x:c r="AS513"/>
      <x:c r="AT513"/>
      <x:c r="AU513" t="str">
        <x:v>energiattester_export_2025-08-14.json | PDF vedlegg side 5-7</x:v>
      </x:c>
      <x:c r="AV513" s="12" t="n">
        <x:f>IF(COUNT(O513,P513,Q513,R513,K513,L513,M513,N513)=8,O513*K513+P513*L513+Q513*M513+R513*N513,"")</x:f>
        <x:v>187.18</x:v>
      </x:c>
      <x:c r="AW513" s="12" t="n">
        <x:f>IF(AND(ISNUMBER(AV513),H513&gt;0),AV513/H513,"")</x:f>
        <x:v>0.8103030303030303</x:v>
      </x:c>
      <x:c r="AX513" s="12" t="n">
        <x:f>IF(AND(ISNUMBER(AD513),H513&gt;0),AD513*H513*3600,"")</x:f>
        <x:v>71933400</x:v>
      </x:c>
      <x:c r="AY513" s="12" t="n">
        <x:f>IF(AND(ISNUMBER(Y513),H513&gt;0),Y513*H513,"")</x:f>
        <x:v>27489</x:v>
      </x:c>
      <x:c r="AZ513" t="str">
        <x:v>Høy</x:v>
      </x:c>
    </x:row>
    <x:row r="514" ht="22" customHeight="1">
      <x:c r="A514" t="str">
        <x:v>OT-56702afb6847</x:v>
      </x:c>
      <x:c r="B514" t="n">
        <x:v>2015</x:v>
      </x:c>
      <x:c r="C514" t="str">
        <x:v>Kontorbygg</x:v>
      </x:c>
      <x:c r="D514" t="str">
        <x:v>KONTORER, MED VENTILASJON OG KJØLEANLEGG</x:v>
      </x:c>
      <x:c r="E514" t="str">
        <x:v>G</x:v>
      </x:c>
      <x:c r="F514" t="str">
        <x:v>RED</x:v>
      </x:c>
      <x:c r="G514" t="n">
        <x:v>1952</x:v>
      </x:c>
      <x:c r="H514" t="n">
        <x:v>243</x:v>
      </x:c>
      <x:c r="I514" t="n">
        <x:v>434</x:v>
      </x:c>
      <x:c r="J514" t="str">
        <x:v>PDF/avansert</x:v>
      </x:c>
      <x:c r="K514" t="n">
        <x:v>158</x:v>
      </x:c>
      <x:c r="L514" t="n">
        <x:v>220</x:v>
      </x:c>
      <x:c r="M514" t="n">
        <x:v>243</x:v>
      </x:c>
      <x:c r="N514" t="n">
        <x:v>26</x:v>
      </x:c>
      <x:c r="O514" t="n">
        <x:v>1.05</x:v>
      </x:c>
      <x:c r="P514" t="n">
        <x:v>0.43</x:v>
      </x:c>
      <x:c r="Q514" t="n">
        <x:v>0.3</x:v>
      </x:c>
      <x:c r="R514" t="n">
        <x:v>1.06</x:v>
      </x:c>
      <x:c r="S514" t="n">
        <x:v>45</x:v>
      </x:c>
      <x:c r="T514" t="n">
        <x:v>45</x:v>
      </x:c>
      <x:c r="U514" t="n">
        <x:v>4.64</x:v>
      </x:c>
      <x:c r="V514" t="n">
        <x:v>0.36</x:v>
      </x:c>
      <x:c r="W514" t="n">
        <x:v>12.5</x:v>
      </x:c>
      <x:c r="X514" t="n">
        <x:v>90</x:v>
      </x:c>
      <x:c r="Y514" t="n">
        <x:v>145</x:v>
      </x:c>
      <x:c r="Z514" t="n">
        <x:v>55</x:v>
      </x:c>
      <x:c r="AA514" t="n">
        <x:v>21</x:v>
      </x:c>
      <x:c r="AB514" t="n">
        <x:v>22</x:v>
      </x:c>
      <x:c r="AC514" t="n">
        <x:v>4</x:v>
      </x:c>
      <x:c r="AD514" t="n">
        <x:v>77.6</x:v>
      </x:c>
      <x:c r="AE514" t="n">
        <x:v>0.12</x:v>
      </x:c>
      <x:c r="AF514" t="n">
        <x:v>12</x:v>
      </x:c>
      <x:c r="AG514" t="n">
        <x:v>12</x:v>
      </x:c>
      <x:c r="AH514" t="n">
        <x:v>24</x:v>
      </x:c>
      <x:c r="AI514" t="n">
        <x:v>8</x:v>
      </x:c>
      <x:c r="AJ514" t="n">
        <x:v>11</x:v>
      </x:c>
      <x:c r="AK514" t="n">
        <x:v>250</x:v>
      </x:c>
      <x:c r="AL514" t="str">
        <x:v>Direkte elektrisk;</x:v>
      </x:c>
      <x:c r="AM514"/>
      <x:c r="AN514"/>
      <x:c r="AO514"/>
      <x:c r="AP514"/>
      <x:c r="AQ514"/>
      <x:c r="AR514"/>
      <x:c r="AS514"/>
      <x:c r="AT514"/>
      <x:c r="AU514" t="str">
        <x:v>energiattester_export_2025-08-14.json | PDF vedlegg side 5-7</x:v>
      </x:c>
      <x:c r="AV514" s="12" t="n">
        <x:f>IF(COUNT(O514,P514,Q514,R514,K514,L514,M514,N514)=8,O514*K514+P514*L514+Q514*M514+R514*N514,"")</x:f>
        <x:v>360.96</x:v>
      </x:c>
      <x:c r="AW514" s="12" t="n">
        <x:f>IF(AND(ISNUMBER(AV514),H514&gt;0),AV514/H514,"")</x:f>
        <x:v>1.485432098765432</x:v>
      </x:c>
      <x:c r="AX514" s="12" t="n">
        <x:f>IF(AND(ISNUMBER(AD514),H514&gt;0),AD514*H514*3600,"")</x:f>
        <x:v>67884480</x:v>
      </x:c>
      <x:c r="AY514" s="12" t="n">
        <x:f>IF(AND(ISNUMBER(Y514),H514&gt;0),Y514*H514,"")</x:f>
        <x:v>35235</x:v>
      </x:c>
      <x:c r="AZ514" t="str">
        <x:v>Høy</x:v>
      </x:c>
    </x:row>
    <x:row r="515" ht="22" customHeight="1">
      <x:c r="A515" t="str">
        <x:v>OT-9cc69f915053</x:v>
      </x:c>
      <x:c r="B515" t="n">
        <x:v>2015</x:v>
      </x:c>
      <x:c r="C515" t="str">
        <x:v>Kontorbygg</x:v>
      </x:c>
      <x:c r="D515" t="str">
        <x:v>KONTORER, ENKLE</x:v>
      </x:c>
      <x:c r="E515" t="str">
        <x:v>G</x:v>
      </x:c>
      <x:c r="F515" t="str">
        <x:v>RED</x:v>
      </x:c>
      <x:c r="G515" t="n">
        <x:v>1961</x:v>
      </x:c>
      <x:c r="H515" t="n">
        <x:v>564</x:v>
      </x:c>
      <x:c r="I515" t="n">
        <x:v>369</x:v>
      </x:c>
      <x:c r="J515" t="str">
        <x:v>PDF/avansert</x:v>
      </x:c>
      <x:c r="K515" t="n">
        <x:v>223</x:v>
      </x:c>
      <x:c r="L515" t="n">
        <x:v>544</x:v>
      </x:c>
      <x:c r="M515" t="n">
        <x:v>0</x:v>
      </x:c>
      <x:c r="N515" t="n">
        <x:v>140</x:v>
      </x:c>
      <x:c r="O515" t="n">
        <x:v>0.62</x:v>
      </x:c>
      <x:c r="P515" t="n">
        <x:v>0.93</x:v>
      </x:c>
      <x:c r="Q515" t="n">
        <x:v>0</x:v>
      </x:c>
      <x:c r="R515" t="n">
        <x:v>2.27</x:v>
      </x:c>
      <x:c r="S515" t="n">
        <x:v>45</x:v>
      </x:c>
      <x:c r="T515" t="n">
        <x:v>45</x:v>
      </x:c>
      <x:c r="U515" t="n">
        <x:v>7</x:v>
      </x:c>
      <x:c r="V515" t="n">
        <x:v>0.71</x:v>
      </x:c>
      <x:c r="W515" t="n">
        <x:v>9</x:v>
      </x:c>
      <x:c r="X515" t="n">
        <x:v>90</x:v>
      </x:c>
      <x:c r="Y515" t="n">
        <x:v>100</x:v>
      </x:c>
      <x:c r="Z515" t="n">
        <x:v>30</x:v>
      </x:c>
      <x:c r="AA515" t="n">
        <x:v>21</x:v>
      </x:c>
      <x:c r="AB515" t="n">
        <x:v>22</x:v>
      </x:c>
      <x:c r="AC515" t="n">
        <x:v>3</x:v>
      </x:c>
      <x:c r="AD515" t="n">
        <x:v>61.8</x:v>
      </x:c>
      <x:c r="AE515" t="n">
        <x:v>0.12</x:v>
      </x:c>
      <x:c r="AF515" t="n">
        <x:v>12</x:v>
      </x:c>
      <x:c r="AG515" t="n">
        <x:v>12</x:v>
      </x:c>
      <x:c r="AH515" t="n">
        <x:v>24</x:v>
      </x:c>
      <x:c r="AI515" t="n">
        <x:v>8</x:v>
      </x:c>
      <x:c r="AJ515" t="n">
        <x:v>11</x:v>
      </x:c>
      <x:c r="AK515" t="n">
        <x:v>250</x:v>
      </x:c>
      <x:c r="AL515" t="str">
        <x:v>Direkte elektrisk;</x:v>
      </x:c>
      <x:c r="AM515"/>
      <x:c r="AN515"/>
      <x:c r="AO515"/>
      <x:c r="AP515"/>
      <x:c r="AQ515"/>
      <x:c r="AR515"/>
      <x:c r="AS515"/>
      <x:c r="AT515"/>
      <x:c r="AU515" t="str">
        <x:v>energiattester_export_2025-08-14.json | PDF vedlegg side 5-7</x:v>
      </x:c>
      <x:c r="AV515" s="12" t="n">
        <x:f>IF(COUNT(O515,P515,Q515,R515,K515,L515,M515,N515)=8,O515*K515+P515*L515+Q515*M515+R515*N515,"")</x:f>
        <x:v>961.98</x:v>
      </x:c>
      <x:c r="AW515" s="12" t="n">
        <x:f>IF(AND(ISNUMBER(AV515),H515&gt;0),AV515/H515,"")</x:f>
        <x:v>1.7056382978723406</x:v>
      </x:c>
      <x:c r="AX515" s="12" t="n">
        <x:f>IF(AND(ISNUMBER(AD515),H515&gt;0),AD515*H515*3600,"")</x:f>
        <x:v>125478719.99999999</x:v>
      </x:c>
      <x:c r="AY515" s="12" t="n">
        <x:f>IF(AND(ISNUMBER(Y515),H515&gt;0),Y515*H515,"")</x:f>
        <x:v>56400</x:v>
      </x:c>
      <x:c r="AZ515" t="str">
        <x:v>Høy</x:v>
      </x:c>
    </x:row>
    <x:row r="516" ht="22" customHeight="1">
      <x:c r="A516" t="str">
        <x:v>OT-6ef1f910623d</x:v>
      </x:c>
      <x:c r="B516" t="n">
        <x:v>2015</x:v>
      </x:c>
      <x:c r="C516" t="str">
        <x:v>Kontorbygg</x:v>
      </x:c>
      <x:c r="D516" t="str">
        <x:v>KONTORER, MED VENTILASJON OG KJØLEANLEGG</x:v>
      </x:c>
      <x:c r="E516" t="str">
        <x:v>E</x:v>
      </x:c>
      <x:c r="F516" t="str">
        <x:v>RED</x:v>
      </x:c>
      <x:c r="G516" t="n">
        <x:v>1952</x:v>
      </x:c>
      <x:c r="H516" t="n">
        <x:v>4955</x:v>
      </x:c>
      <x:c r="I516" t="n">
        <x:v>219</x:v>
      </x:c>
      <x:c r="J516" t="str">
        <x:v>PDF/avansert</x:v>
      </x:c>
      <x:c r="K516" t="n">
        <x:v>1518</x:v>
      </x:c>
      <x:c r="L516" t="n">
        <x:v>2289</x:v>
      </x:c>
      <x:c r="M516" t="n">
        <x:v>2202</x:v>
      </x:c>
      <x:c r="N516" t="n">
        <x:v>482</x:v>
      </x:c>
      <x:c r="O516" t="n">
        <x:v>0.43</x:v>
      </x:c>
      <x:c r="P516" t="n">
        <x:v>0.2</x:v>
      </x:c>
      <x:c r="Q516" t="n">
        <x:v>0.15</x:v>
      </x:c>
      <x:c r="R516" t="n">
        <x:v>2.17</x:v>
      </x:c>
      <x:c r="S516" t="n">
        <x:v>52</x:v>
      </x:c>
      <x:c r="T516" t="n">
        <x:v>52</x:v>
      </x:c>
      <x:c r="U516" t="n">
        <x:v>2.9</x:v>
      </x:c>
      <x:c r="V516" t="n">
        <x:v>0.3</x:v>
      </x:c>
      <x:c r="W516" t="n">
        <x:v>8.4</x:v>
      </x:c>
      <x:c r="X516" t="n">
        <x:v>91</x:v>
      </x:c>
      <x:c r="Y516" t="n">
        <x:v>106</x:v>
      </x:c>
      <x:c r="Z516" t="n">
        <x:v>28</x:v>
      </x:c>
      <x:c r="AA516" t="n">
        <x:v>21</x:v>
      </x:c>
      <x:c r="AB516" t="n">
        <x:v>22</x:v>
      </x:c>
      <x:c r="AC516" t="n">
        <x:v>4</x:v>
      </x:c>
      <x:c r="AD516" t="n">
        <x:v>91.5</x:v>
      </x:c>
      <x:c r="AE516" t="n">
        <x:v>0.12</x:v>
      </x:c>
      <x:c r="AF516" t="n">
        <x:v>12</x:v>
      </x:c>
      <x:c r="AG516" t="n">
        <x:v>12</x:v>
      </x:c>
      <x:c r="AH516" t="n">
        <x:v>24</x:v>
      </x:c>
      <x:c r="AI516" t="n">
        <x:v>8</x:v>
      </x:c>
      <x:c r="AJ516" t="n">
        <x:v>11</x:v>
      </x:c>
      <x:c r="AK516" t="n">
        <x:v>250</x:v>
      </x:c>
      <x:c r="AL516" t="str">
        <x:v>Direkte elektrisk;</x:v>
      </x:c>
      <x:c r="AM516"/>
      <x:c r="AN516"/>
      <x:c r="AO516"/>
      <x:c r="AP516"/>
      <x:c r="AQ516"/>
      <x:c r="AR516"/>
      <x:c r="AS516"/>
      <x:c r="AT516"/>
      <x:c r="AU516" t="str">
        <x:v>energiattester_export_2025-08-14.json | PDF vedlegg side 5-7</x:v>
      </x:c>
      <x:c r="AV516" s="12" t="n">
        <x:f>IF(COUNT(O516,P516,Q516,R516,K516,L516,M516,N516)=8,O516*K516+P516*L516+Q516*M516+R516*N516,"")</x:f>
        <x:v>2486.7799999999997</x:v>
      </x:c>
      <x:c r="AW516" s="12" t="n">
        <x:f>IF(AND(ISNUMBER(AV516),H516&gt;0),AV516/H516,"")</x:f>
        <x:v>0.5018728557013118</x:v>
      </x:c>
      <x:c r="AX516" s="12" t="n">
        <x:f>IF(AND(ISNUMBER(AD516),H516&gt;0),AD516*H516*3600,"")</x:f>
        <x:v>1632177000</x:v>
      </x:c>
      <x:c r="AY516" s="12" t="n">
        <x:f>IF(AND(ISNUMBER(Y516),H516&gt;0),Y516*H516,"")</x:f>
        <x:v>525230</x:v>
      </x:c>
      <x:c r="AZ516" t="str">
        <x:v>Høy</x:v>
      </x:c>
    </x:row>
    <x:row r="517" ht="22" customHeight="1">
      <x:c r="A517" t="str">
        <x:v>OT-6405df294309</x:v>
      </x:c>
      <x:c r="B517" t="n">
        <x:v>2015</x:v>
      </x:c>
      <x:c r="C517" t="str">
        <x:v>Kontorbygg</x:v>
      </x:c>
      <x:c r="D517" t="str">
        <x:v>KONTORER, MED VENTILASJON OG KJØLEANLEGG</x:v>
      </x:c>
      <x:c r="E517" t="str">
        <x:v>G</x:v>
      </x:c>
      <x:c r="F517" t="str">
        <x:v>RED</x:v>
      </x:c>
      <x:c r="G517" t="n">
        <x:v>1969</x:v>
      </x:c>
      <x:c r="H517" t="n">
        <x:v>1190</x:v>
      </x:c>
      <x:c r="I517" t="n">
        <x:v>296</x:v>
      </x:c>
      <x:c r="J517" t="str">
        <x:v>PDF/avansert</x:v>
      </x:c>
      <x:c r="K517" t="n">
        <x:v>652</x:v>
      </x:c>
      <x:c r="L517" t="n">
        <x:v>595</x:v>
      </x:c>
      <x:c r="M517" t="n">
        <x:v>595</x:v>
      </x:c>
      <x:c r="N517" t="n">
        <x:v>166</x:v>
      </x:c>
      <x:c r="O517" t="n">
        <x:v>0.85</x:v>
      </x:c>
      <x:c r="P517" t="n">
        <x:v>0.45</x:v>
      </x:c>
      <x:c r="Q517" t="n">
        <x:v>0.26</x:v>
      </x:c>
      <x:c r="R517" t="n">
        <x:v>2.45</x:v>
      </x:c>
      <x:c r="S517" t="n">
        <x:v>45</x:v>
      </x:c>
      <x:c r="T517" t="n">
        <x:v>45</x:v>
      </x:c>
      <x:c r="U517" t="n">
        <x:v>3.5</x:v>
      </x:c>
      <x:c r="V517" t="n">
        <x:v>0.44</x:v>
      </x:c>
      <x:c r="W517" t="n">
        <x:v>7</x:v>
      </x:c>
      <x:c r="X517" t="n">
        <x:v>98</x:v>
      </x:c>
      <x:c r="Y517" t="n">
        <x:v>115</x:v>
      </x:c>
      <x:c r="Z517" t="n">
        <x:v>30</x:v>
      </x:c>
      <x:c r="AA517" t="n">
        <x:v>21</x:v>
      </x:c>
      <x:c r="AB517" t="n">
        <x:v>22</x:v>
      </x:c>
      <x:c r="AC517" t="n">
        <x:v>4</x:v>
      </x:c>
      <x:c r="AD517" t="n">
        <x:v>113.5</x:v>
      </x:c>
      <x:c r="AE517" t="n">
        <x:v>0.12</x:v>
      </x:c>
      <x:c r="AF517" t="n">
        <x:v>12</x:v>
      </x:c>
      <x:c r="AG517" t="n">
        <x:v>12</x:v>
      </x:c>
      <x:c r="AH517" t="n">
        <x:v>24</x:v>
      </x:c>
      <x:c r="AI517" t="n">
        <x:v>8</x:v>
      </x:c>
      <x:c r="AJ517" t="n">
        <x:v>11</x:v>
      </x:c>
      <x:c r="AK517" t="n">
        <x:v>250</x:v>
      </x:c>
      <x:c r="AL517" t="str">
        <x:v>Direkte elektrisk;</x:v>
      </x:c>
      <x:c r="AM517"/>
      <x:c r="AN517"/>
      <x:c r="AO517"/>
      <x:c r="AP517"/>
      <x:c r="AQ517"/>
      <x:c r="AR517"/>
      <x:c r="AS517"/>
      <x:c r="AT517"/>
      <x:c r="AU517" t="str">
        <x:v>energiattester_export_2025-08-14.json | PDF vedlegg side 5-7</x:v>
      </x:c>
      <x:c r="AV517" s="12" t="n">
        <x:f>IF(COUNT(O517,P517,Q517,R517,K517,L517,M517,N517)=8,O517*K517+P517*L517+Q517*M517+R517*N517,"")</x:f>
        <x:v>1383.35</x:v>
      </x:c>
      <x:c r="AW517" s="12" t="n">
        <x:f>IF(AND(ISNUMBER(AV517),H517&gt;0),AV517/H517,"")</x:f>
        <x:v>1.1624789915966385</x:v>
      </x:c>
      <x:c r="AX517" s="12" t="n">
        <x:f>IF(AND(ISNUMBER(AD517),H517&gt;0),AD517*H517*3600,"")</x:f>
        <x:v>486234000</x:v>
      </x:c>
      <x:c r="AY517" s="12" t="n">
        <x:f>IF(AND(ISNUMBER(Y517),H517&gt;0),Y517*H517,"")</x:f>
        <x:v>136850</x:v>
      </x:c>
      <x:c r="AZ517" t="str">
        <x:v>Høy</x:v>
      </x:c>
    </x:row>
    <x:row r="518" ht="22" customHeight="1">
      <x:c r="A518" t="str">
        <x:v>OT-c07740b7cfc1</x:v>
      </x:c>
      <x:c r="B518" t="n">
        <x:v>2015</x:v>
      </x:c>
      <x:c r="C518" t="str">
        <x:v>Kontorbygg</x:v>
      </x:c>
      <x:c r="D518" t="str">
        <x:v>KONTORER, MED VENTILASJON OG KJØLEANLEGG</x:v>
      </x:c>
      <x:c r="E518" t="str">
        <x:v>F</x:v>
      </x:c>
      <x:c r="F518" t="str">
        <x:v>ORANGE</x:v>
      </x:c>
      <x:c r="G518" t="n">
        <x:v>1989</x:v>
      </x:c>
      <x:c r="H518" t="n">
        <x:v>360</x:v>
      </x:c>
      <x:c r="I518" t="n">
        <x:v>247</x:v>
      </x:c>
      <x:c r="J518" t="str">
        <x:v>PDF/avansert</x:v>
      </x:c>
      <x:c r="K518" t="n">
        <x:v>232</x:v>
      </x:c>
      <x:c r="L518" t="n">
        <x:v>158</x:v>
      </x:c>
      <x:c r="M518" t="n">
        <x:v>165</x:v>
      </x:c>
      <x:c r="N518" t="n">
        <x:v>84</x:v>
      </x:c>
      <x:c r="O518" t="n">
        <x:v>0.3</x:v>
      </x:c>
      <x:c r="P518" t="n">
        <x:v>0.16</x:v>
      </x:c>
      <x:c r="Q518" t="n">
        <x:v>0.16</x:v>
      </x:c>
      <x:c r="R518" t="n">
        <x:v>2.37</x:v>
      </x:c>
      <x:c r="S518" t="n">
        <x:v>15</x:v>
      </x:c>
      <x:c r="T518" t="n">
        <x:v>15</x:v>
      </x:c>
      <x:c r="U518" t="n">
        <x:v>2.72</x:v>
      </x:c>
      <x:c r="V518" t="n">
        <x:v>0.24</x:v>
      </x:c>
      <x:c r="W518" t="n">
        <x:v>7.8</x:v>
      </x:c>
      <x:c r="X518" t="n">
        <x:v>146</x:v>
      </x:c>
      <x:c r="Y518" t="n">
        <x:v>164</x:v>
      </x:c>
      <x:c r="Z518" t="n">
        <x:v>58</x:v>
      </x:c>
      <x:c r="AA518" t="n">
        <x:v>21</x:v>
      </x:c>
      <x:c r="AB518" t="n">
        <x:v>22</x:v>
      </x:c>
      <x:c r="AC518" t="n">
        <x:v>4</x:v>
      </x:c>
      <x:c r="AD518" t="n">
        <x:v>21.3</x:v>
      </x:c>
      <x:c r="AE518" t="n">
        <x:v>0.05</x:v>
      </x:c>
      <x:c r="AF518" t="n">
        <x:v>12</x:v>
      </x:c>
      <x:c r="AG518" t="n">
        <x:v>12</x:v>
      </x:c>
      <x:c r="AH518" t="n">
        <x:v>24</x:v>
      </x:c>
      <x:c r="AI518" t="n">
        <x:v>8</x:v>
      </x:c>
      <x:c r="AJ518" t="n">
        <x:v>11</x:v>
      </x:c>
      <x:c r="AK518" t="n">
        <x:v>250</x:v>
      </x:c>
      <x:c r="AL518" t="str">
        <x:v>Direkte elektrisk; Varmepumpe;</x:v>
      </x:c>
      <x:c r="AM518"/>
      <x:c r="AN518"/>
      <x:c r="AO518"/>
      <x:c r="AP518"/>
      <x:c r="AQ518"/>
      <x:c r="AR518"/>
      <x:c r="AS518"/>
      <x:c r="AT518"/>
      <x:c r="AU518" t="str">
        <x:v>energiattester_export_2025-08-14.json | PDF vedlegg side 5-7</x:v>
      </x:c>
      <x:c r="AV518" s="12" t="n">
        <x:f>IF(COUNT(O518,P518,Q518,R518,K518,L518,M518,N518)=8,O518*K518+P518*L518+Q518*M518+R518*N518,"")</x:f>
        <x:v>320.36</x:v>
      </x:c>
      <x:c r="AW518" s="12" t="n">
        <x:f>IF(AND(ISNUMBER(AV518),H518&gt;0),AV518/H518,"")</x:f>
        <x:v>0.889888888888889</x:v>
      </x:c>
      <x:c r="AX518" s="12" t="n">
        <x:f>IF(AND(ISNUMBER(AD518),H518&gt;0),AD518*H518*3600,"")</x:f>
        <x:v>27604800</x:v>
      </x:c>
      <x:c r="AY518" s="12" t="n">
        <x:f>IF(AND(ISNUMBER(Y518),H518&gt;0),Y518*H518,"")</x:f>
        <x:v>59040</x:v>
      </x:c>
      <x:c r="AZ518" t="str">
        <x:v>Høy</x:v>
      </x:c>
    </x:row>
    <x:row r="519" ht="22" customHeight="1">
      <x:c r="A519" t="str">
        <x:v>OT-8140ce79cf2c</x:v>
      </x:c>
      <x:c r="B519" t="n">
        <x:v>2015</x:v>
      </x:c>
      <x:c r="C519" t="str">
        <x:v>Kontorbygg</x:v>
      </x:c>
      <x:c r="D519" t="str">
        <x:v>KONTORER, ENKLE</x:v>
      </x:c>
      <x:c r="E519" t="str">
        <x:v>F</x:v>
      </x:c>
      <x:c r="F519" t="str">
        <x:v>RED</x:v>
      </x:c>
      <x:c r="G519" t="n">
        <x:v>1968</x:v>
      </x:c>
      <x:c r="H519" t="n">
        <x:v>21062</x:v>
      </x:c>
      <x:c r="I519" t="n">
        <x:v>235</x:v>
      </x:c>
      <x:c r="J519" t="str">
        <x:v>PDF/avansert</x:v>
      </x:c>
      <x:c r="K519" t="n">
        <x:v>252</x:v>
      </x:c>
      <x:c r="L519" t="n">
        <x:v>517</x:v>
      </x:c>
      <x:c r="M519" t="n">
        <x:v>0</x:v>
      </x:c>
      <x:c r="N519" t="n">
        <x:v>49</x:v>
      </x:c>
      <x:c r="O519" t="n">
        <x:v>0.31</x:v>
      </x:c>
      <x:c r="P519" t="n">
        <x:v>0.32</x:v>
      </x:c>
      <x:c r="Q519" t="n">
        <x:v>0</x:v>
      </x:c>
      <x:c r="R519" t="n">
        <x:v>1.6</x:v>
      </x:c>
      <x:c r="S519" t="n">
        <x:v>76</x:v>
      </x:c>
      <x:c r="T519" t="n">
        <x:v>76</x:v>
      </x:c>
      <x:c r="U519" t="n">
        <x:v>4.1</x:v>
      </x:c>
      <x:c r="V519" t="n">
        <x:v>0.36</x:v>
      </x:c>
      <x:c r="W519" t="n">
        <x:v>10.7</x:v>
      </x:c>
      <x:c r="X519" t="n">
        <x:v>98</x:v>
      </x:c>
      <x:c r="Y519" t="n">
        <x:v>97</x:v>
      </x:c>
      <x:c r="Z519" t="n">
        <x:v>46</x:v>
      </x:c>
      <x:c r="AA519" t="n">
        <x:v>21</x:v>
      </x:c>
      <x:c r="AB519" t="n">
        <x:v>22</x:v>
      </x:c>
      <x:c r="AC519" t="n">
        <x:v>7</x:v>
      </x:c>
      <x:c r="AD519" t="n">
        <x:v>144.8</x:v>
      </x:c>
      <x:c r="AE519" t="n">
        <x:v>0.08</x:v>
      </x:c>
      <x:c r="AF519" t="n">
        <x:v>12</x:v>
      </x:c>
      <x:c r="AG519" t="n">
        <x:v>12</x:v>
      </x:c>
      <x:c r="AH519" t="n">
        <x:v>24</x:v>
      </x:c>
      <x:c r="AI519" t="n">
        <x:v>8</x:v>
      </x:c>
      <x:c r="AJ519" t="n">
        <x:v>11</x:v>
      </x:c>
      <x:c r="AK519" t="n">
        <x:v>250</x:v>
      </x:c>
      <x:c r="AL519" t="str">
        <x:v>Direkte elektrisk;</x:v>
      </x:c>
      <x:c r="AM519"/>
      <x:c r="AN519"/>
      <x:c r="AO519"/>
      <x:c r="AP519"/>
      <x:c r="AQ519"/>
      <x:c r="AR519"/>
      <x:c r="AS519"/>
      <x:c r="AT519"/>
      <x:c r="AU519" t="str">
        <x:v>energiattester_export_2025-08-14.json | PDF vedlegg side 5-7</x:v>
      </x:c>
      <x:c r="AV519" s="12" t="n">
        <x:f>IF(COUNT(O519,P519,Q519,R519,K519,L519,M519,N519)=8,O519*K519+P519*L519+Q519*M519+R519*N519,"")</x:f>
        <x:v>321.96000000000004</x:v>
      </x:c>
      <x:c r="AW519" s="12" t="n">
        <x:f>IF(AND(ISNUMBER(AV519),H519&gt;0),AV519/H519,"")</x:f>
        <x:v>0.015286297597569084</x:v>
      </x:c>
      <x:c r="AX519" s="12" t="n">
        <x:f>IF(AND(ISNUMBER(AD519),H519&gt;0),AD519*H519*3600,"")</x:f>
        <x:v>10979199360</x:v>
      </x:c>
      <x:c r="AY519" s="12" t="n">
        <x:f>IF(AND(ISNUMBER(Y519),H519&gt;0),Y519*H519,"")</x:f>
        <x:v>2043014</x:v>
      </x:c>
      <x:c r="AZ519" t="str">
        <x:v>Høy</x:v>
      </x:c>
    </x:row>
    <x:row r="520" ht="22" customHeight="1">
      <x:c r="A520" t="str">
        <x:v>OT-107269a4381c</x:v>
      </x:c>
      <x:c r="B520" t="n">
        <x:v>2015</x:v>
      </x:c>
      <x:c r="C520" t="str">
        <x:v>Kontorbygg</x:v>
      </x:c>
      <x:c r="D520" t="str">
        <x:v>KONTORER, MED VENTILASJON OG KJØLEANLEGG</x:v>
      </x:c>
      <x:c r="E520" t="str">
        <x:v>D</x:v>
      </x:c>
      <x:c r="F520" t="str">
        <x:v>RED</x:v>
      </x:c>
      <x:c r="G520" t="n">
        <x:v>2005</x:v>
      </x:c>
      <x:c r="H520" t="n">
        <x:v>298</x:v>
      </x:c>
      <x:c r="I520" t="n">
        <x:v>156</x:v>
      </x:c>
      <x:c r="J520" t="str">
        <x:v>PDF/avansert</x:v>
      </x:c>
      <x:c r="K520" t="n">
        <x:v>262</x:v>
      </x:c>
      <x:c r="L520" t="n">
        <x:v>207</x:v>
      </x:c>
      <x:c r="M520" t="n">
        <x:v>207</x:v>
      </x:c>
      <x:c r="N520" t="n">
        <x:v>41</x:v>
      </x:c>
      <x:c r="O520" t="n">
        <x:v>0.16</x:v>
      </x:c>
      <x:c r="P520" t="n">
        <x:v>0.14</x:v>
      </x:c>
      <x:c r="Q520" t="n">
        <x:v>0.12</x:v>
      </x:c>
      <x:c r="R520" t="n">
        <x:v>1.6</x:v>
      </x:c>
      <x:c r="S520" t="n">
        <x:v>70</x:v>
      </x:c>
      <x:c r="T520" t="n">
        <x:v>70</x:v>
      </x:c>
      <x:c r="U520" t="n">
        <x:v>1.6</x:v>
      </x:c>
      <x:c r="V520" t="n">
        <x:v>0.17</x:v>
      </x:c>
      <x:c r="W520" t="n">
        <x:v>8.7</x:v>
      </x:c>
      <x:c r="X520" t="n">
        <x:v>98</x:v>
      </x:c>
      <x:c r="Y520" t="n">
        <x:v>59</x:v>
      </x:c>
      <x:c r="Z520" t="n">
        <x:v>6</x:v>
      </x:c>
      <x:c r="AA520" t="n">
        <x:v>21</x:v>
      </x:c>
      <x:c r="AB520" t="n">
        <x:v>22</x:v>
      </x:c>
      <x:c r="AC520" t="n">
        <x:v>3.5</x:v>
      </x:c>
      <x:c r="AD520" t="n">
        <x:v>63.6</x:v>
      </x:c>
      <x:c r="AE520" t="n">
        <x:v>0.04</x:v>
      </x:c>
      <x:c r="AF520" t="n">
        <x:v>12</x:v>
      </x:c>
      <x:c r="AG520" t="n">
        <x:v>12</x:v>
      </x:c>
      <x:c r="AH520" t="n">
        <x:v>24</x:v>
      </x:c>
      <x:c r="AI520" t="n">
        <x:v>8</x:v>
      </x:c>
      <x:c r="AJ520" t="n">
        <x:v>11</x:v>
      </x:c>
      <x:c r="AK520" t="n">
        <x:v>250</x:v>
      </x:c>
      <x:c r="AL520" t="str">
        <x:v>Direkte elektrisk;</x:v>
      </x:c>
      <x:c r="AM520"/>
      <x:c r="AN520"/>
      <x:c r="AO520"/>
      <x:c r="AP520"/>
      <x:c r="AQ520"/>
      <x:c r="AR520"/>
      <x:c r="AS520"/>
      <x:c r="AT520"/>
      <x:c r="AU520" t="str">
        <x:v>energiattester_export_2025-08-14.json | PDF vedlegg side 5-7</x:v>
      </x:c>
      <x:c r="AV520" s="12" t="n">
        <x:f>IF(COUNT(O520,P520,Q520,R520,K520,L520,M520,N520)=8,O520*K520+P520*L520+Q520*M520+R520*N520,"")</x:f>
        <x:v>161.34000000000003</x:v>
      </x:c>
      <x:c r="AW520" s="12" t="n">
        <x:f>IF(AND(ISNUMBER(AV520),H520&gt;0),AV520/H520,"")</x:f>
        <x:v>0.5414093959731545</x:v>
      </x:c>
      <x:c r="AX520" s="12" t="n">
        <x:f>IF(AND(ISNUMBER(AD520),H520&gt;0),AD520*H520*3600,"")</x:f>
        <x:v>68230080</x:v>
      </x:c>
      <x:c r="AY520" s="12" t="n">
        <x:f>IF(AND(ISNUMBER(Y520),H520&gt;0),Y520*H520,"")</x:f>
        <x:v>17582</x:v>
      </x:c>
      <x:c r="AZ520" t="str">
        <x:v>Høy</x:v>
      </x:c>
    </x:row>
    <x:row r="521" ht="22" customHeight="1">
      <x:c r="A521" t="str">
        <x:v>OT-ab0627b31fcb</x:v>
      </x:c>
      <x:c r="B521" t="n">
        <x:v>2015</x:v>
      </x:c>
      <x:c r="C521" t="str">
        <x:v>Kontorbygg</x:v>
      </x:c>
      <x:c r="D521" t="str">
        <x:v>KONTORER, MED VENTILASJON OG KJØLEANLEGG</x:v>
      </x:c>
      <x:c r="E521" t="str">
        <x:v>E</x:v>
      </x:c>
      <x:c r="F521" t="str">
        <x:v>RED</x:v>
      </x:c>
      <x:c r="G521" t="n">
        <x:v>1997</x:v>
      </x:c>
      <x:c r="H521" t="n">
        <x:v>1011</x:v>
      </x:c>
      <x:c r="I521" t="n">
        <x:v>1</x:v>
      </x:c>
      <x:c r="J521" t="str">
        <x:v>PDF/avansert</x:v>
      </x:c>
      <x:c r="K521" t="n">
        <x:v>278</x:v>
      </x:c>
      <x:c r="L521" t="n">
        <x:v>492</x:v>
      </x:c>
      <x:c r="M521" t="n">
        <x:v>0</x:v>
      </x:c>
      <x:c r="N521" t="n">
        <x:v>163</x:v>
      </x:c>
      <x:c r="O521" t="n">
        <x:v>0.26</x:v>
      </x:c>
      <x:c r="P521" t="n">
        <x:v>0.15</x:v>
      </x:c>
      <x:c r="Q521" t="n">
        <x:v>0</x:v>
      </x:c>
      <x:c r="R521" t="n">
        <x:v>1.99</x:v>
      </x:c>
      <x:c r="S521" t="n">
        <x:v>50</x:v>
      </x:c>
      <x:c r="T521" t="n">
        <x:v>50</x:v>
      </x:c>
      <x:c r="U521" t="n">
        <x:v>2.1</x:v>
      </x:c>
      <x:c r="V521" t="n">
        <x:v>0.38</x:v>
      </x:c>
      <x:c r="W521" t="n">
        <x:v>8</x:v>
      </x:c>
      <x:c r="X521" t="n">
        <x:v>93</x:v>
      </x:c>
      <x:c r="Y521" t="n">
        <x:v>80</x:v>
      </x:c>
      <x:c r="Z521" t="n">
        <x:v>30</x:v>
      </x:c>
      <x:c r="AA521" t="n">
        <x:v>21</x:v>
      </x:c>
      <x:c r="AB521" t="n">
        <x:v>22</x:v>
      </x:c>
      <x:c r="AC521" t="n">
        <x:v>3.5</x:v>
      </x:c>
      <x:c r="AD521" t="n">
        <x:v>70.6</x:v>
      </x:c>
      <x:c r="AE521" t="n">
        <x:v>0.06</x:v>
      </x:c>
      <x:c r="AF521"/>
      <x:c r="AG521"/>
      <x:c r="AH521"/>
      <x:c r="AI521"/>
      <x:c r="AJ521"/>
      <x:c r="AK521" t="n">
        <x:v>250</x:v>
      </x:c>
      <x:c r="AL521"/>
      <x:c r="AM521" t="n">
        <x:v>0</x:v>
      </x:c>
      <x:c r="AN521" t="n">
        <x:v>0</x:v>
      </x:c>
      <x:c r="AO521" t="n">
        <x:v>1</x:v>
      </x:c>
      <x:c r="AP521" t="n">
        <x:v>0</x:v>
      </x:c>
      <x:c r="AQ521" t="n">
        <x:v>1</x:v>
      </x:c>
      <x:c r="AR521" t="n">
        <x:v>1</x:v>
      </x:c>
      <x:c r="AS521" t="n">
        <x:v>1</x:v>
      </x:c>
      <x:c r="AT521" t="n">
        <x:v>1</x:v>
      </x:c>
      <x:c r="AU521" t="str">
        <x:v>energiattester_export_2025-08-14.json | PDF vedlegg side 5-7</x:v>
      </x:c>
      <x:c r="AV521" s="12" t="n">
        <x:f>IF(COUNT(O521,P521,Q521,R521,K521,L521,M521,N521)=8,O521*K521+P521*L521+Q521*M521+R521*N521,"")</x:f>
        <x:v>470.45</x:v>
      </x:c>
      <x:c r="AW521" s="12" t="n">
        <x:f>IF(AND(ISNUMBER(AV521),H521&gt;0),AV521/H521,"")</x:f>
        <x:v>0.46533135509396634</x:v>
      </x:c>
      <x:c r="AX521" s="12" t="n">
        <x:f>IF(AND(ISNUMBER(AD521),H521&gt;0),AD521*H521*3600,"")</x:f>
        <x:v>256955759.99999997</x:v>
      </x:c>
      <x:c r="AY521" s="12" t="n">
        <x:f>IF(AND(ISNUMBER(Y521),H521&gt;0),Y521*H521,"")</x:f>
        <x:v>80880</x:v>
      </x:c>
      <x:c r="AZ521" t="str">
        <x:v>Høy</x:v>
      </x:c>
    </x:row>
    <x:row r="522" ht="22" customHeight="1">
      <x:c r="A522" t="str">
        <x:v>OT-dcd010d92923</x:v>
      </x:c>
      <x:c r="B522" t="n">
        <x:v>2015</x:v>
      </x:c>
      <x:c r="C522" t="str">
        <x:v>Kontorbygg</x:v>
      </x:c>
      <x:c r="D522" t="str">
        <x:v>KONTORER, ENKLE</x:v>
      </x:c>
      <x:c r="E522" t="str">
        <x:v>E</x:v>
      </x:c>
      <x:c r="F522" t="str">
        <x:v>RED</x:v>
      </x:c>
      <x:c r="G522" t="n">
        <x:v>2005</x:v>
      </x:c>
      <x:c r="H522" t="n">
        <x:v>320</x:v>
      </x:c>
      <x:c r="I522" t="n">
        <x:v>214</x:v>
      </x:c>
      <x:c r="J522" t="str">
        <x:v>PDF/avansert</x:v>
      </x:c>
      <x:c r="K522" t="n">
        <x:v>243</x:v>
      </x:c>
      <x:c r="L522" t="n">
        <x:v>167</x:v>
      </x:c>
      <x:c r="M522" t="n">
        <x:v>167</x:v>
      </x:c>
      <x:c r="N522" t="n">
        <x:v>69</x:v>
      </x:c>
      <x:c r="O522" t="n">
        <x:v>0.22</x:v>
      </x:c>
      <x:c r="P522" t="n">
        <x:v>0.15</x:v>
      </x:c>
      <x:c r="Q522" t="n">
        <x:v>0.15</x:v>
      </x:c>
      <x:c r="R522" t="n">
        <x:v>1.6</x:v>
      </x:c>
      <x:c r="S522" t="n">
        <x:v>58</x:v>
      </x:c>
      <x:c r="T522" t="n">
        <x:v>58</x:v>
      </x:c>
      <x:c r="U522" t="n">
        <x:v>8.81</x:v>
      </x:c>
      <x:c r="V522" t="n">
        <x:v>1.1</x:v>
      </x:c>
      <x:c r="W522" t="n">
        <x:v>7.4</x:v>
      </x:c>
      <x:c r="X522" t="n">
        <x:v>90</x:v>
      </x:c>
      <x:c r="Y522" t="n">
        <x:v>80</x:v>
      </x:c>
      <x:c r="Z522" t="n">
        <x:v>0</x:v>
      </x:c>
      <x:c r="AA522" t="n">
        <x:v>21</x:v>
      </x:c>
      <x:c r="AB522" t="n">
        <x:v>22</x:v>
      </x:c>
      <x:c r="AC522" t="n">
        <x:v>3</x:v>
      </x:c>
      <x:c r="AD522" t="n">
        <x:v>31.3</x:v>
      </x:c>
      <x:c r="AE522" t="n">
        <x:v>0.09</x:v>
      </x:c>
      <x:c r="AF522" t="n">
        <x:v>12</x:v>
      </x:c>
      <x:c r="AG522" t="n">
        <x:v>12</x:v>
      </x:c>
      <x:c r="AH522" t="n">
        <x:v>24</x:v>
      </x:c>
      <x:c r="AI522" t="n">
        <x:v>8</x:v>
      </x:c>
      <x:c r="AJ522" t="n">
        <x:v>11</x:v>
      </x:c>
      <x:c r="AK522" t="n">
        <x:v>250</x:v>
      </x:c>
      <x:c r="AL522" t="str">
        <x:v>Direkte elektrisk;</x:v>
      </x:c>
      <x:c r="AM522" t="n">
        <x:v>1</x:v>
      </x:c>
      <x:c r="AN522" t="n">
        <x:v>0</x:v>
      </x:c>
      <x:c r="AO522" t="n">
        <x:v>1</x:v>
      </x:c>
      <x:c r="AP522" t="n">
        <x:v>0</x:v>
      </x:c>
      <x:c r="AQ522" t="n">
        <x:v>1</x:v>
      </x:c>
      <x:c r="AR522" t="n">
        <x:v>1</x:v>
      </x:c>
      <x:c r="AS522" t="n">
        <x:v>1</x:v>
      </x:c>
      <x:c r="AT522" t="n">
        <x:v>1</x:v>
      </x:c>
      <x:c r="AU522" t="str">
        <x:v>energiattester_export_2025-08-14.json | PDF vedlegg side 5-7</x:v>
      </x:c>
      <x:c r="AV522" s="12" t="n">
        <x:f>IF(COUNT(O522,P522,Q522,R522,K522,L522,M522,N522)=8,O522*K522+P522*L522+Q522*M522+R522*N522,"")</x:f>
        <x:v>213.96</x:v>
      </x:c>
      <x:c r="AW522" s="12" t="n">
        <x:f>IF(AND(ISNUMBER(AV522),H522&gt;0),AV522/H522,"")</x:f>
        <x:v>0.668625</x:v>
      </x:c>
      <x:c r="AX522" s="12" t="n">
        <x:f>IF(AND(ISNUMBER(AD522),H522&gt;0),AD522*H522*3600,"")</x:f>
        <x:v>36057600</x:v>
      </x:c>
      <x:c r="AY522" s="12" t="n">
        <x:f>IF(AND(ISNUMBER(Y522),H522&gt;0),Y522*H522,"")</x:f>
        <x:v>25600</x:v>
      </x:c>
      <x:c r="AZ522" t="str">
        <x:v>Høy</x:v>
      </x:c>
    </x:row>
    <x:row r="523" ht="22" customHeight="1">
      <x:c r="A523" t="str">
        <x:v>OT-be30e671c910</x:v>
      </x:c>
      <x:c r="B523" t="n">
        <x:v>2015</x:v>
      </x:c>
      <x:c r="C523" t="str">
        <x:v>Kontorbygg</x:v>
      </x:c>
      <x:c r="D523" t="str">
        <x:v>KONTORER, MED VENTILASJON OG KJØLEANLEGG</x:v>
      </x:c>
      <x:c r="E523" t="str">
        <x:v>D</x:v>
      </x:c>
      <x:c r="F523" t="str">
        <x:v>RED</x:v>
      </x:c>
      <x:c r="G523" t="n">
        <x:v>2000</x:v>
      </x:c>
      <x:c r="H523" t="n">
        <x:v>2845</x:v>
      </x:c>
      <x:c r="I523" t="n">
        <x:v>149.6</x:v>
      </x:c>
      <x:c r="J523" t="str">
        <x:v>PDF/avansert</x:v>
      </x:c>
      <x:c r="K523" t="n">
        <x:v>721</x:v>
      </x:c>
      <x:c r="L523" t="n">
        <x:v>2821</x:v>
      </x:c>
      <x:c r="M523" t="n">
        <x:v>0</x:v>
      </x:c>
      <x:c r="N523" t="n">
        <x:v>435</x:v>
      </x:c>
      <x:c r="O523" t="n">
        <x:v>0.22</x:v>
      </x:c>
      <x:c r="P523" t="n">
        <x:v>0.18</x:v>
      </x:c>
      <x:c r="Q523" t="n">
        <x:v>0</x:v>
      </x:c>
      <x:c r="R523" t="n">
        <x:v>1.75</x:v>
      </x:c>
      <x:c r="S523" t="n">
        <x:v>80</x:v>
      </x:c>
      <x:c r="T523" t="n">
        <x:v>80</x:v>
      </x:c>
      <x:c r="U523" t="n">
        <x:v>2</x:v>
      </x:c>
      <x:c r="V523" t="n">
        <x:v>0.23</x:v>
      </x:c>
      <x:c r="W523" t="n">
        <x:v>8</x:v>
      </x:c>
      <x:c r="X523" t="n">
        <x:v>98</x:v>
      </x:c>
      <x:c r="Y523" t="n">
        <x:v>80</x:v>
      </x:c>
      <x:c r="Z523" t="n">
        <x:v>30</x:v>
      </x:c>
      <x:c r="AA523" t="n">
        <x:v>21</x:v>
      </x:c>
      <x:c r="AB523" t="n">
        <x:v>22</x:v>
      </x:c>
      <x:c r="AC523" t="n">
        <x:v>3</x:v>
      </x:c>
      <x:c r="AD523" t="n">
        <x:v>80.3</x:v>
      </x:c>
      <x:c r="AE523" t="n">
        <x:v>0.12</x:v>
      </x:c>
      <x:c r="AF523" t="n">
        <x:v>12</x:v>
      </x:c>
      <x:c r="AG523" t="n">
        <x:v>12</x:v>
      </x:c>
      <x:c r="AH523" t="n">
        <x:v>24</x:v>
      </x:c>
      <x:c r="AI523" t="n">
        <x:v>8</x:v>
      </x:c>
      <x:c r="AJ523" t="n">
        <x:v>11</x:v>
      </x:c>
      <x:c r="AK523" t="n">
        <x:v>250</x:v>
      </x:c>
      <x:c r="AL523" t="str">
        <x:v>Direkte elektrisk;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1</x:v>
      </x:c>
      <x:c r="AU523" t="str">
        <x:v>energiattester_export_2025-08-14.json | PDF vedlegg side 5-7</x:v>
      </x:c>
      <x:c r="AV523" s="12" t="n">
        <x:f>IF(COUNT(O523,P523,Q523,R523,K523,L523,M523,N523)=8,O523*K523+P523*L523+Q523*M523+R523*N523,"")</x:f>
        <x:v>1427.65</x:v>
      </x:c>
      <x:c r="AW523" s="12" t="n">
        <x:f>IF(AND(ISNUMBER(AV523),H523&gt;0),AV523/H523,"")</x:f>
        <x:v>0.5018101933216169</x:v>
      </x:c>
      <x:c r="AX523" s="12" t="n">
        <x:f>IF(AND(ISNUMBER(AD523),H523&gt;0),AD523*H523*3600,"")</x:f>
        <x:v>822432600</x:v>
      </x:c>
      <x:c r="AY523" s="12" t="n">
        <x:f>IF(AND(ISNUMBER(Y523),H523&gt;0),Y523*H523,"")</x:f>
        <x:v>227600</x:v>
      </x:c>
      <x:c r="AZ523" t="str">
        <x:v>Høy</x:v>
      </x:c>
    </x:row>
    <x:row r="524" ht="22" customHeight="1">
      <x:c r="A524" t="str">
        <x:v>OT-68feea8ceba2</x:v>
      </x:c>
      <x:c r="B524" t="n">
        <x:v>2015</x:v>
      </x:c>
      <x:c r="C524" t="str">
        <x:v>Kontorbygg</x:v>
      </x:c>
      <x:c r="D524" t="str">
        <x:v>KONTORER, MED VENTILASJON OG KJØLEANLEGG</x:v>
      </x:c>
      <x:c r="E524" t="str">
        <x:v>E</x:v>
      </x:c>
      <x:c r="F524" t="str">
        <x:v>RED</x:v>
      </x:c>
      <x:c r="G524" t="n">
        <x:v>1993</x:v>
      </x:c>
      <x:c r="H524" t="n">
        <x:v>1551</x:v>
      </x:c>
      <x:c r="I524" t="n">
        <x:v>186</x:v>
      </x:c>
      <x:c r="J524" t="str">
        <x:v>PDF/avansert</x:v>
      </x:c>
      <x:c r="K524" t="n">
        <x:v>789</x:v>
      </x:c>
      <x:c r="L524" t="n">
        <x:v>381</x:v>
      </x:c>
      <x:c r="M524" t="n">
        <x:v>357</x:v>
      </x:c>
      <x:c r="N524" t="n">
        <x:v>227</x:v>
      </x:c>
      <x:c r="O524" t="n">
        <x:v>0.3</x:v>
      </x:c>
      <x:c r="P524" t="n">
        <x:v>0.2</x:v>
      </x:c>
      <x:c r="Q524" t="n">
        <x:v>0.3</x:v>
      </x:c>
      <x:c r="R524" t="n">
        <x:v>2.4</x:v>
      </x:c>
      <x:c r="S524" t="n">
        <x:v>72</x:v>
      </x:c>
      <x:c r="T524" t="n">
        <x:v>72</x:v>
      </x:c>
      <x:c r="U524" t="n">
        <x:v>3.85</x:v>
      </x:c>
      <x:c r="V524" t="n">
        <x:v>0.48</x:v>
      </x:c>
      <x:c r="W524" t="n">
        <x:v>7.2</x:v>
      </x:c>
      <x:c r="X524" t="n">
        <x:v>90</x:v>
      </x:c>
      <x:c r="Y524" t="n">
        <x:v>69</x:v>
      </x:c>
      <x:c r="Z524" t="n">
        <x:v>51</x:v>
      </x:c>
      <x:c r="AA524" t="n">
        <x:v>21</x:v>
      </x:c>
      <x:c r="AB524" t="n">
        <x:v>22</x:v>
      </x:c>
      <x:c r="AC524" t="n">
        <x:v>1.5</x:v>
      </x:c>
      <x:c r="AD524" t="n">
        <x:v>58.6</x:v>
      </x:c>
      <x:c r="AE524" t="n">
        <x:v>0.12</x:v>
      </x:c>
      <x:c r="AF524" t="n">
        <x:v>12</x:v>
      </x:c>
      <x:c r="AG524" t="n">
        <x:v>12</x:v>
      </x:c>
      <x:c r="AH524" t="n">
        <x:v>24</x:v>
      </x:c>
      <x:c r="AI524" t="n">
        <x:v>8</x:v>
      </x:c>
      <x:c r="AJ524" t="n">
        <x:v>11</x:v>
      </x:c>
      <x:c r="AK524" t="n">
        <x:v>250</x:v>
      </x:c>
      <x:c r="AL524" t="str">
        <x:v>Direkte elektrisk;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1</x:v>
      </x:c>
      <x:c r="AS524" t="n">
        <x:v>1</x:v>
      </x:c>
      <x:c r="AT524" t="n">
        <x:v>1</x:v>
      </x:c>
      <x:c r="AU524" t="str">
        <x:v>energiattester_export_2025-08-14.json | PDF vedlegg side 5-7</x:v>
      </x:c>
      <x:c r="AV524" s="12" t="n">
        <x:f>IF(COUNT(O524,P524,Q524,R524,K524,L524,M524,N524)=8,O524*K524+P524*L524+Q524*M524+R524*N524,"")</x:f>
        <x:v>964.8</x:v>
      </x:c>
      <x:c r="AW524" s="12" t="n">
        <x:f>IF(AND(ISNUMBER(AV524),H524&gt;0),AV524/H524,"")</x:f>
        <x:v>0.6220502901353965</x:v>
      </x:c>
      <x:c r="AX524" s="12" t="n">
        <x:f>IF(AND(ISNUMBER(AD524),H524&gt;0),AD524*H524*3600,"")</x:f>
        <x:v>327198960</x:v>
      </x:c>
      <x:c r="AY524" s="12" t="n">
        <x:f>IF(AND(ISNUMBER(Y524),H524&gt;0),Y524*H524,"")</x:f>
        <x:v>107019</x:v>
      </x:c>
      <x:c r="AZ524" t="str">
        <x:v>Høy</x:v>
      </x:c>
    </x:row>
    <x:row r="525" ht="22" customHeight="1">
      <x:c r="A525" t="str">
        <x:v>OT-273d46a50501</x:v>
      </x:c>
      <x:c r="B525" t="n">
        <x:v>2015</x:v>
      </x:c>
      <x:c r="C525" t="str">
        <x:v>Kontorbygg</x:v>
      </x:c>
      <x:c r="D525" t="str">
        <x:v>KONTORER, MED VENTILASJON OG KJØLEANLEGG</x:v>
      </x:c>
      <x:c r="E525" t="str">
        <x:v>E</x:v>
      </x:c>
      <x:c r="F525" t="str">
        <x:v>RED</x:v>
      </x:c>
      <x:c r="G525" t="n">
        <x:v>1993</x:v>
      </x:c>
      <x:c r="H525" t="n">
        <x:v>1551</x:v>
      </x:c>
      <x:c r="I525" t="n">
        <x:v>186</x:v>
      </x:c>
      <x:c r="J525" t="str">
        <x:v>PDF/avansert</x:v>
      </x:c>
      <x:c r="K525" t="n">
        <x:v>789</x:v>
      </x:c>
      <x:c r="L525" t="n">
        <x:v>381</x:v>
      </x:c>
      <x:c r="M525" t="n">
        <x:v>357</x:v>
      </x:c>
      <x:c r="N525" t="n">
        <x:v>227</x:v>
      </x:c>
      <x:c r="O525" t="n">
        <x:v>0.3</x:v>
      </x:c>
      <x:c r="P525" t="n">
        <x:v>0.2</x:v>
      </x:c>
      <x:c r="Q525" t="n">
        <x:v>0.3</x:v>
      </x:c>
      <x:c r="R525" t="n">
        <x:v>2.4</x:v>
      </x:c>
      <x:c r="S525" t="n">
        <x:v>67</x:v>
      </x:c>
      <x:c r="T525" t="n">
        <x:v>67</x:v>
      </x:c>
      <x:c r="U525" t="n">
        <x:v>3.85</x:v>
      </x:c>
      <x:c r="V525" t="n">
        <x:v>0.49</x:v>
      </x:c>
      <x:c r="W525" t="n">
        <x:v>7</x:v>
      </x:c>
      <x:c r="X525" t="n">
        <x:v>90</x:v>
      </x:c>
      <x:c r="Y525" t="n">
        <x:v>69</x:v>
      </x:c>
      <x:c r="Z525" t="n">
        <x:v>48</x:v>
      </x:c>
      <x:c r="AA525" t="n">
        <x:v>21</x:v>
      </x:c>
      <x:c r="AB525" t="n">
        <x:v>22</x:v>
      </x:c>
      <x:c r="AC525" t="n">
        <x:v>1.5</x:v>
      </x:c>
      <x:c r="AD525" t="n">
        <x:v>58.6</x:v>
      </x:c>
      <x:c r="AE525" t="n">
        <x:v>0.12</x:v>
      </x:c>
      <x:c r="AF525" t="n">
        <x:v>12</x:v>
      </x:c>
      <x:c r="AG525" t="n">
        <x:v>12</x:v>
      </x:c>
      <x:c r="AH525" t="n">
        <x:v>24</x:v>
      </x:c>
      <x:c r="AI525" t="n">
        <x:v>8</x:v>
      </x:c>
      <x:c r="AJ525" t="n">
        <x:v>11</x:v>
      </x:c>
      <x:c r="AK525" t="n">
        <x:v>250</x:v>
      </x:c>
      <x:c r="AL525" t="str">
        <x:v>Direkte elektrisk;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1</x:v>
      </x:c>
      <x:c r="AS525" t="n">
        <x:v>1</x:v>
      </x:c>
      <x:c r="AT525" t="n">
        <x:v>1</x:v>
      </x:c>
      <x:c r="AU525" t="str">
        <x:v>energiattester_export_2025-08-14.json | PDF vedlegg side 5-7</x:v>
      </x:c>
      <x:c r="AV525" s="12" t="n">
        <x:f>IF(COUNT(O525,P525,Q525,R525,K525,L525,M525,N525)=8,O525*K525+P525*L525+Q525*M525+R525*N525,"")</x:f>
        <x:v>964.8</x:v>
      </x:c>
      <x:c r="AW525" s="12" t="n">
        <x:f>IF(AND(ISNUMBER(AV525),H525&gt;0),AV525/H525,"")</x:f>
        <x:v>0.6220502901353965</x:v>
      </x:c>
      <x:c r="AX525" s="12" t="n">
        <x:f>IF(AND(ISNUMBER(AD525),H525&gt;0),AD525*H525*3600,"")</x:f>
        <x:v>327198960</x:v>
      </x:c>
      <x:c r="AY525" s="12" t="n">
        <x:f>IF(AND(ISNUMBER(Y525),H525&gt;0),Y525*H525,"")</x:f>
        <x:v>107019</x:v>
      </x:c>
      <x:c r="AZ525" t="str">
        <x:v>Høy</x:v>
      </x:c>
    </x:row>
    <x:row r="526" ht="22" customHeight="1">
      <x:c r="A526" t="str">
        <x:v>OT-af12d96bfc12</x:v>
      </x:c>
      <x:c r="B526" t="n">
        <x:v>2015</x:v>
      </x:c>
      <x:c r="C526" t="str">
        <x:v>Kontorbygg</x:v>
      </x:c>
      <x:c r="D526" t="str">
        <x:v>KONTORER, ENKLE</x:v>
      </x:c>
      <x:c r="E526" t="str">
        <x:v>E</x:v>
      </x:c>
      <x:c r="F526" t="str">
        <x:v>RED</x:v>
      </x:c>
      <x:c r="G526" t="n">
        <x:v>1982</x:v>
      </x:c>
      <x:c r="H526" t="n">
        <x:v>1508</x:v>
      </x:c>
      <x:c r="I526" t="n">
        <x:v>202</x:v>
      </x:c>
      <x:c r="J526" t="str">
        <x:v>PDF/avansert</x:v>
      </x:c>
      <x:c r="K526" t="n">
        <x:v>482</x:v>
      </x:c>
      <x:c r="L526" t="n">
        <x:v>1560</x:v>
      </x:c>
      <x:c r="M526" t="n">
        <x:v>0</x:v>
      </x:c>
      <x:c r="N526" t="n">
        <x:v>171</x:v>
      </x:c>
      <x:c r="O526" t="n">
        <x:v>0.3</x:v>
      </x:c>
      <x:c r="P526" t="n">
        <x:v>0.3</x:v>
      </x:c>
      <x:c r="Q526" t="n">
        <x:v>0</x:v>
      </x:c>
      <x:c r="R526" t="n">
        <x:v>2.12</x:v>
      </x:c>
      <x:c r="S526" t="n">
        <x:v>70</x:v>
      </x:c>
      <x:c r="T526" t="n">
        <x:v>70</x:v>
      </x:c>
      <x:c r="U526" t="n">
        <x:v>3</x:v>
      </x:c>
      <x:c r="V526" t="n">
        <x:v>0.28</x:v>
      </x:c>
      <x:c r="W526" t="n">
        <x:v>10</x:v>
      </x:c>
      <x:c r="X526" t="n">
        <x:v>90</x:v>
      </x:c>
      <x:c r="Y526" t="n">
        <x:v>80</x:v>
      </x:c>
      <x:c r="Z526" t="n">
        <x:v>30</x:v>
      </x:c>
      <x:c r="AA526" t="n">
        <x:v>21</x:v>
      </x:c>
      <x:c r="AB526" t="n">
        <x:v>22</x:v>
      </x:c>
      <x:c r="AC526" t="n">
        <x:v>1.5</x:v>
      </x:c>
      <x:c r="AD526" t="n">
        <x:v>11.2</x:v>
      </x:c>
      <x:c r="AE526" t="n">
        <x:v>0.06</x:v>
      </x:c>
      <x:c r="AF526" t="n">
        <x:v>12</x:v>
      </x:c>
      <x:c r="AG526" t="n">
        <x:v>12</x:v>
      </x:c>
      <x:c r="AH526" t="n">
        <x:v>24</x:v>
      </x:c>
      <x:c r="AI526" t="n">
        <x:v>8</x:v>
      </x:c>
      <x:c r="AJ526" t="n">
        <x:v>11</x:v>
      </x:c>
      <x:c r="AK526" t="n">
        <x:v>250</x:v>
      </x:c>
      <x:c r="AL526" t="str">
        <x:v>Direkte elektrisk;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1</x:v>
      </x:c>
      <x:c r="AS526" t="n">
        <x:v>1</x:v>
      </x:c>
      <x:c r="AT526" t="n">
        <x:v>0</x:v>
      </x:c>
      <x:c r="AU526" t="str">
        <x:v>energiattester_export_2025-08-14.json | PDF vedlegg side 5-7</x:v>
      </x:c>
      <x:c r="AV526" s="12" t="n">
        <x:f>IF(COUNT(O526,P526,Q526,R526,K526,L526,M526,N526)=8,O526*K526+P526*L526+Q526*M526+R526*N526,"")</x:f>
        <x:v>975.1200000000001</x:v>
      </x:c>
      <x:c r="AW526" s="12" t="n">
        <x:f>IF(AND(ISNUMBER(AV526),H526&gt;0),AV526/H526,"")</x:f>
        <x:v>0.6466312997347481</x:v>
      </x:c>
      <x:c r="AX526" s="12" t="n">
        <x:f>IF(AND(ISNUMBER(AD526),H526&gt;0),AD526*H526*3600,"")</x:f>
        <x:v>60802559.99999999</x:v>
      </x:c>
      <x:c r="AY526" s="12" t="n">
        <x:f>IF(AND(ISNUMBER(Y526),H526&gt;0),Y526*H526,"")</x:f>
        <x:v>120640</x:v>
      </x:c>
      <x:c r="AZ526" t="str">
        <x:v>Høy</x:v>
      </x:c>
    </x:row>
    <x:row r="527" ht="22" customHeight="1">
      <x:c r="A527" t="str">
        <x:v>OT-0347fb4f468b</x:v>
      </x:c>
      <x:c r="B527" t="n">
        <x:v>2015</x:v>
      </x:c>
      <x:c r="C527" t="str">
        <x:v>Kontorbygg</x:v>
      </x:c>
      <x:c r="D527" t="str">
        <x:v>KONTORER, MED VENTILASJON OG KJØLEANLEGG</x:v>
      </x:c>
      <x:c r="E527" t="str">
        <x:v>F</x:v>
      </x:c>
      <x:c r="F527" t="str">
        <x:v>RED</x:v>
      </x:c>
      <x:c r="G527" t="n">
        <x:v>1981</x:v>
      </x:c>
      <x:c r="H527" t="n">
        <x:v>1238</x:v>
      </x:c>
      <x:c r="I527" t="n">
        <x:v>1</x:v>
      </x:c>
      <x:c r="J527" t="str">
        <x:v>PDF/avansert</x:v>
      </x:c>
      <x:c r="K527" t="n">
        <x:v>516</x:v>
      </x:c>
      <x:c r="L527" t="n">
        <x:v>448</x:v>
      </x:c>
      <x:c r="M527" t="n">
        <x:v>387</x:v>
      </x:c>
      <x:c r="N527" t="n">
        <x:v>269</x:v>
      </x:c>
      <x:c r="O527" t="n">
        <x:v>0.81</x:v>
      </x:c>
      <x:c r="P527" t="n">
        <x:v>0.5</x:v>
      </x:c>
      <x:c r="Q527" t="n">
        <x:v>0.15</x:v>
      </x:c>
      <x:c r="R527" t="n">
        <x:v>3</x:v>
      </x:c>
      <x:c r="S527" t="n">
        <x:v>77</x:v>
      </x:c>
      <x:c r="T527" t="n">
        <x:v>77</x:v>
      </x:c>
      <x:c r="U527" t="n">
        <x:v>3.02</x:v>
      </x:c>
      <x:c r="V527" t="n">
        <x:v>0.31</x:v>
      </x:c>
      <x:c r="W527" t="n">
        <x:v>7</x:v>
      </x:c>
      <x:c r="X527" t="n">
        <x:v>95</x:v>
      </x:c>
      <x:c r="Y527" t="n">
        <x:v>100</x:v>
      </x:c>
      <x:c r="Z527" t="n">
        <x:v>38</x:v>
      </x:c>
      <x:c r="AA527" t="n">
        <x:v>21</x:v>
      </x:c>
      <x:c r="AB527" t="n">
        <x:v>22</x:v>
      </x:c>
      <x:c r="AC527" t="n">
        <x:v>7</x:v>
      </x:c>
      <x:c r="AD527" t="n">
        <x:v>91.9</x:v>
      </x:c>
      <x:c r="AE527" t="n">
        <x:v>0.12</x:v>
      </x:c>
      <x:c r="AF527"/>
      <x:c r="AG527"/>
      <x:c r="AH527"/>
      <x:c r="AI527"/>
      <x:c r="AJ527"/>
      <x:c r="AK527" t="n">
        <x:v>250</x:v>
      </x:c>
      <x:c r="AL527"/>
      <x:c r="AM527" t="n">
        <x:v>0</x:v>
      </x:c>
      <x:c r="AN527" t="n">
        <x:v>0</x:v>
      </x:c>
      <x:c r="AO527" t="n">
        <x:v>1</x:v>
      </x:c>
      <x:c r="AP527" t="n">
        <x:v>1</x:v>
      </x:c>
      <x:c r="AQ527" t="n">
        <x:v>0</x:v>
      </x:c>
      <x:c r="AR527" t="n">
        <x:v>1</x:v>
      </x:c>
      <x:c r="AS527" t="n">
        <x:v>0</x:v>
      </x:c>
      <x:c r="AT527" t="n">
        <x:v>1</x:v>
      </x:c>
      <x:c r="AU527" t="str">
        <x:v>energiattester_export_2025-08-14.json | PDF vedlegg side 5-7</x:v>
      </x:c>
      <x:c r="AV527" s="12" t="n">
        <x:f>IF(COUNT(O527,P527,Q527,R527,K527,L527,M527,N527)=8,O527*K527+P527*L527+Q527*M527+R527*N527,"")</x:f>
        <x:v>1507.01</x:v>
      </x:c>
      <x:c r="AW527" s="12" t="n">
        <x:f>IF(AND(ISNUMBER(AV527),H527&gt;0),AV527/H527,"")</x:f>
        <x:v>1.2172940226171245</x:v>
      </x:c>
      <x:c r="AX527" s="12" t="n">
        <x:f>IF(AND(ISNUMBER(AD527),H527&gt;0),AD527*H527*3600,"")</x:f>
        <x:v>409579920.00000006</x:v>
      </x:c>
      <x:c r="AY527" s="12" t="n">
        <x:f>IF(AND(ISNUMBER(Y527),H527&gt;0),Y527*H527,"")</x:f>
        <x:v>123800</x:v>
      </x:c>
      <x:c r="AZ527" t="str">
        <x:v>Høy</x:v>
      </x:c>
    </x:row>
    <x:row r="528" ht="22" customHeight="1">
      <x:c r="A528" t="str">
        <x:v>OT-91fc05be4f51</x:v>
      </x:c>
      <x:c r="B528" t="n">
        <x:v>2015</x:v>
      </x:c>
      <x:c r="C528" t="str">
        <x:v>Kontorbygg</x:v>
      </x:c>
      <x:c r="D528" t="str">
        <x:v>KONTORER, MED VENTILASJON OG KJØLEANLEGG</x:v>
      </x:c>
      <x:c r="E528" t="str">
        <x:v>E</x:v>
      </x:c>
      <x:c r="F528" t="str">
        <x:v>RED</x:v>
      </x:c>
      <x:c r="G528" t="n">
        <x:v>1988</x:v>
      </x:c>
      <x:c r="H528" t="n">
        <x:v>2545</x:v>
      </x:c>
      <x:c r="I528" t="n">
        <x:v>1</x:v>
      </x:c>
      <x:c r="J528" t="str">
        <x:v>PDF/avansert</x:v>
      </x:c>
      <x:c r="K528" t="n">
        <x:v>927</x:v>
      </x:c>
      <x:c r="L528" t="n">
        <x:v>636</x:v>
      </x:c>
      <x:c r="M528" t="n">
        <x:v>636</x:v>
      </x:c>
      <x:c r="N528" t="n">
        <x:v>461</x:v>
      </x:c>
      <x:c r="O528" t="n">
        <x:v>0.35</x:v>
      </x:c>
      <x:c r="P528" t="n">
        <x:v>0.23</x:v>
      </x:c>
      <x:c r="Q528" t="n">
        <x:v>0.15</x:v>
      </x:c>
      <x:c r="R528" t="n">
        <x:v>2.7</x:v>
      </x:c>
      <x:c r="S528" t="n">
        <x:v>74</x:v>
      </x:c>
      <x:c r="T528" t="n">
        <x:v>74</x:v>
      </x:c>
      <x:c r="U528" t="n">
        <x:v>2.32</x:v>
      </x:c>
      <x:c r="V528" t="n">
        <x:v>0</x:v>
      </x:c>
      <x:c r="W528" t="n">
        <x:v>10</x:v>
      </x:c>
      <x:c r="X528" t="n">
        <x:v>95</x:v>
      </x:c>
      <x:c r="Y528" t="n">
        <x:v>74</x:v>
      </x:c>
      <x:c r="Z528" t="n">
        <x:v>30</x:v>
      </x:c>
      <x:c r="AA528" t="n">
        <x:v>21</x:v>
      </x:c>
      <x:c r="AB528" t="n">
        <x:v>22</x:v>
      </x:c>
      <x:c r="AC528" t="n">
        <x:v>5</x:v>
      </x:c>
      <x:c r="AD528" t="n">
        <x:v>71.1</x:v>
      </x:c>
      <x:c r="AE528" t="n">
        <x:v>0.09</x:v>
      </x:c>
      <x:c r="AF528"/>
      <x:c r="AG528"/>
      <x:c r="AH528"/>
      <x:c r="AI528"/>
      <x:c r="AJ528"/>
      <x:c r="AK528" t="n">
        <x:v>250</x:v>
      </x:c>
      <x:c r="AL528"/>
      <x:c r="AM528" t="n">
        <x:v>0</x:v>
      </x:c>
      <x:c r="AN528" t="n">
        <x:v>0</x:v>
      </x:c>
      <x:c r="AO528" t="n">
        <x:v>1</x:v>
      </x:c>
      <x:c r="AP528" t="n">
        <x:v>1</x:v>
      </x:c>
      <x:c r="AQ528" t="n">
        <x:v>0</x:v>
      </x:c>
      <x:c r="AR528" t="n">
        <x:v>1</x:v>
      </x:c>
      <x:c r="AS528" t="n">
        <x:v>1</x:v>
      </x:c>
      <x:c r="AT528" t="n">
        <x:v>1</x:v>
      </x:c>
      <x:c r="AU528" t="str">
        <x:v>energiattester_export_2025-08-14.json | PDF vedlegg side 5-7</x:v>
      </x:c>
      <x:c r="AV528" s="12" t="n">
        <x:f>IF(COUNT(O528,P528,Q528,R528,K528,L528,M528,N528)=8,O528*K528+P528*L528+Q528*M528+R528*N528,"")</x:f>
        <x:v>1810.83</x:v>
      </x:c>
      <x:c r="AW528" s="12" t="n">
        <x:f>IF(AND(ISNUMBER(AV528),H528&gt;0),AV528/H528,"")</x:f>
        <x:v>0.7115245579567779</x:v>
      </x:c>
      <x:c r="AX528" s="12" t="n">
        <x:f>IF(AND(ISNUMBER(AD528),H528&gt;0),AD528*H528*3600,"")</x:f>
        <x:v>651418200</x:v>
      </x:c>
      <x:c r="AY528" s="12" t="n">
        <x:f>IF(AND(ISNUMBER(Y528),H528&gt;0),Y528*H528,"")</x:f>
        <x:v>188330</x:v>
      </x:c>
      <x:c r="AZ528" t="str">
        <x:v>Høy</x:v>
      </x:c>
    </x:row>
    <x:row r="529" ht="22" customHeight="1">
      <x:c r="A529" t="str">
        <x:v>OT-c639020ee420</x:v>
      </x:c>
      <x:c r="B529" t="n">
        <x:v>2015</x:v>
      </x:c>
      <x:c r="C529" t="str">
        <x:v>Forretningsbygg</x:v>
      </x:c>
      <x:c r="D529" t="str">
        <x:v>BUTIKK</x:v>
      </x:c>
      <x:c r="E529" t="str">
        <x:v>C</x:v>
      </x:c>
      <x:c r="F529" t="str">
        <x:v>RED</x:v>
      </x:c>
      <x:c r="G529" t="n">
        <x:v>2007</x:v>
      </x:c>
      <x:c r="H529" t="n">
        <x:v>1420</x:v>
      </x:c>
      <x:c r="I529" t="n">
        <x:v>170.6</x:v>
      </x:c>
      <x:c r="J529" t="str">
        <x:v>PDF/avansert</x:v>
      </x:c>
      <x:c r="K529" t="n">
        <x:v>292</x:v>
      </x:c>
      <x:c r="L529" t="n">
        <x:v>454</x:v>
      </x:c>
      <x:c r="M529" t="n">
        <x:v>0</x:v>
      </x:c>
      <x:c r="N529" t="n">
        <x:v>212</x:v>
      </x:c>
      <x:c r="O529" t="n">
        <x:v>0.23</x:v>
      </x:c>
      <x:c r="P529" t="n">
        <x:v>0.15</x:v>
      </x:c>
      <x:c r="Q529" t="n">
        <x:v>0</x:v>
      </x:c>
      <x:c r="R529" t="n">
        <x:v>1.6</x:v>
      </x:c>
      <x:c r="S529" t="n">
        <x:v>75</x:v>
      </x:c>
      <x:c r="T529" t="n">
        <x:v>75</x:v>
      </x:c>
      <x:c r="U529" t="n">
        <x:v>2.5</x:v>
      </x:c>
      <x:c r="V529" t="n">
        <x:v>0.19</x:v>
      </x:c>
      <x:c r="W529" t="n">
        <x:v>13</x:v>
      </x:c>
      <x:c r="X529" t="n">
        <x:v>98</x:v>
      </x:c>
      <x:c r="Y529" t="n">
        <x:v>80</x:v>
      </x:c>
      <x:c r="Z529" t="n">
        <x:v>30</x:v>
      </x:c>
      <x:c r="AA529" t="n">
        <x:v>21</x:v>
      </x:c>
      <x:c r="AB529" t="n">
        <x:v>22</x:v>
      </x:c>
      <x:c r="AC529" t="n">
        <x:v>1.5</x:v>
      </x:c>
      <x:c r="AD529" t="n">
        <x:v>143.1</x:v>
      </x:c>
      <x:c r="AE529" t="n">
        <x:v>0.12</x:v>
      </x:c>
      <x:c r="AF529" t="n">
        <x:v>12</x:v>
      </x:c>
      <x:c r="AG529" t="n">
        <x:v>12</x:v>
      </x:c>
      <x:c r="AH529" t="n">
        <x:v>24</x:v>
      </x:c>
      <x:c r="AI529" t="n">
        <x:v>15</x:v>
      </x:c>
      <x:c r="AJ529" t="n">
        <x:v>1</x:v>
      </x:c>
      <x:c r="AK529" t="n">
        <x:v>250</x:v>
      </x:c>
      <x:c r="AL529" t="str">
        <x:v>Direkte elektrisk;</x:v>
      </x:c>
      <x:c r="AM529"/>
      <x:c r="AN529"/>
      <x:c r="AO529"/>
      <x:c r="AP529"/>
      <x:c r="AQ529"/>
      <x:c r="AR529"/>
      <x:c r="AS529"/>
      <x:c r="AT529"/>
      <x:c r="AU529" t="str">
        <x:v>energiattester_export_2025-08-14.json | PDF vedlegg side 5-7</x:v>
      </x:c>
      <x:c r="AV529" s="12" t="n">
        <x:f>IF(COUNT(O529,P529,Q529,R529,K529,L529,M529,N529)=8,O529*K529+P529*L529+Q529*M529+R529*N529,"")</x:f>
        <x:v>474.46000000000004</x:v>
      </x:c>
      <x:c r="AW529" s="12" t="n">
        <x:f>IF(AND(ISNUMBER(AV529),H529&gt;0),AV529/H529,"")</x:f>
        <x:v>0.3341267605633803</x:v>
      </x:c>
      <x:c r="AX529" s="12" t="n">
        <x:f>IF(AND(ISNUMBER(AD529),H529&gt;0),AD529*H529*3600,"")</x:f>
        <x:v>731527200</x:v>
      </x:c>
      <x:c r="AY529" s="12" t="n">
        <x:f>IF(AND(ISNUMBER(Y529),H529&gt;0),Y529*H529,"")</x:f>
        <x:v>113600</x:v>
      </x:c>
      <x:c r="AZ529" t="str">
        <x:v>Høy</x:v>
      </x:c>
    </x:row>
    <x:row r="530" ht="22" customHeight="1">
      <x:c r="A530" t="str">
        <x:v>OT-1053154f9563</x:v>
      </x:c>
      <x:c r="B530" t="n">
        <x:v>2015</x:v>
      </x:c>
      <x:c r="C530" t="str">
        <x:v>Kontorbygg</x:v>
      </x:c>
      <x:c r="D530" t="str">
        <x:v>KONTORER, ENKLE</x:v>
      </x:c>
      <x:c r="E530" t="str">
        <x:v>D</x:v>
      </x:c>
      <x:c r="F530" t="str">
        <x:v>RED</x:v>
      </x:c>
      <x:c r="G530" t="n">
        <x:v>1987</x:v>
      </x:c>
      <x:c r="H530" t="n">
        <x:v>2133</x:v>
      </x:c>
      <x:c r="I530" t="n">
        <x:v>169</x:v>
      </x:c>
      <x:c r="J530" t="str">
        <x:v>PDF/avansert</x:v>
      </x:c>
      <x:c r="K530" t="n">
        <x:v>1086</x:v>
      </x:c>
      <x:c r="L530" t="n">
        <x:v>1040</x:v>
      </x:c>
      <x:c r="M530" t="n">
        <x:v>1040</x:v>
      </x:c>
      <x:c r="N530" t="n">
        <x:v>328</x:v>
      </x:c>
      <x:c r="O530" t="n">
        <x:v>0.29</x:v>
      </x:c>
      <x:c r="P530" t="n">
        <x:v>0.23</x:v>
      </x:c>
      <x:c r="Q530" t="n">
        <x:v>0.17</x:v>
      </x:c>
      <x:c r="R530" t="n">
        <x:v>2.1</x:v>
      </x:c>
      <x:c r="S530" t="n">
        <x:v>70</x:v>
      </x:c>
      <x:c r="T530" t="n">
        <x:v>70</x:v>
      </x:c>
      <x:c r="U530" t="n">
        <x:v>2.2</x:v>
      </x:c>
      <x:c r="V530" t="n">
        <x:v>0.28</x:v>
      </x:c>
      <x:c r="W530" t="n">
        <x:v>7</x:v>
      </x:c>
      <x:c r="X530" t="n">
        <x:v>88</x:v>
      </x:c>
      <x:c r="Y530" t="n">
        <x:v>85</x:v>
      </x:c>
      <x:c r="Z530" t="n">
        <x:v>100</x:v>
      </x:c>
      <x:c r="AA530" t="n">
        <x:v>21</x:v>
      </x:c>
      <x:c r="AB530" t="n">
        <x:v>22</x:v>
      </x:c>
      <x:c r="AC530" t="n">
        <x:v>1.5</x:v>
      </x:c>
      <x:c r="AD530" t="n">
        <x:v>120.4</x:v>
      </x:c>
      <x:c r="AE530" t="n">
        <x:v>0.06</x:v>
      </x:c>
      <x:c r="AF530" t="n">
        <x:v>12</x:v>
      </x:c>
      <x:c r="AG530" t="n">
        <x:v>12</x:v>
      </x:c>
      <x:c r="AH530" t="n">
        <x:v>24</x:v>
      </x:c>
      <x:c r="AI530" t="n">
        <x:v>8</x:v>
      </x:c>
      <x:c r="AJ530" t="n">
        <x:v>11</x:v>
      </x:c>
      <x:c r="AK530" t="n">
        <x:v>250</x:v>
      </x:c>
      <x:c r="AL530" t="str">
        <x:v>Direkte elektrisk;</x:v>
      </x:c>
      <x:c r="AM530"/>
      <x:c r="AN530"/>
      <x:c r="AO530"/>
      <x:c r="AP530"/>
      <x:c r="AQ530"/>
      <x:c r="AR530"/>
      <x:c r="AS530"/>
      <x:c r="AT530"/>
      <x:c r="AU530" t="str">
        <x:v>energiattester_export_2025-08-14.json | PDF vedlegg side 5-7</x:v>
      </x:c>
      <x:c r="AV530" s="12" t="n">
        <x:f>IF(COUNT(O530,P530,Q530,R530,K530,L530,M530,N530)=8,O530*K530+P530*L530+Q530*M530+R530*N530,"")</x:f>
        <x:v>1419.7400000000002</x:v>
      </x:c>
      <x:c r="AW530" s="12" t="n">
        <x:f>IF(AND(ISNUMBER(AV530),H530&gt;0),AV530/H530,"")</x:f>
        <x:v>0.6656071261134553</x:v>
      </x:c>
      <x:c r="AX530" s="12" t="n">
        <x:f>IF(AND(ISNUMBER(AD530),H530&gt;0),AD530*H530*3600,"")</x:f>
        <x:v>924527520</x:v>
      </x:c>
      <x:c r="AY530" s="12" t="n">
        <x:f>IF(AND(ISNUMBER(Y530),H530&gt;0),Y530*H530,"")</x:f>
        <x:v>181305</x:v>
      </x:c>
      <x:c r="AZ530" t="str">
        <x:v>Høy</x:v>
      </x:c>
    </x:row>
    <x:row r="531" ht="22" customHeight="1">
      <x:c r="A531" t="str">
        <x:v>OT-4102be3092ec</x:v>
      </x:c>
      <x:c r="B531" t="n">
        <x:v>2015</x:v>
      </x:c>
      <x:c r="C531" t="str">
        <x:v>Forretningsbygg</x:v>
      </x:c>
      <x:c r="D531" t="str">
        <x:v>BUTIKK</x:v>
      </x:c>
      <x:c r="E531" t="str">
        <x:v>D</x:v>
      </x:c>
      <x:c r="F531" t="str">
        <x:v>RED</x:v>
      </x:c>
      <x:c r="G531" t="n">
        <x:v>1991</x:v>
      </x:c>
      <x:c r="H531" t="n">
        <x:v>4550</x:v>
      </x:c>
      <x:c r="I531" t="n">
        <x:v>242.7</x:v>
      </x:c>
      <x:c r="J531" t="str">
        <x:v>PDF/avansert</x:v>
      </x:c>
      <x:c r="K531" t="n">
        <x:v>591</x:v>
      </x:c>
      <x:c r="L531" t="n">
        <x:v>2275</x:v>
      </x:c>
      <x:c r="M531" t="n">
        <x:v>2275</x:v>
      </x:c>
      <x:c r="N531" t="n">
        <x:v>459</x:v>
      </x:c>
      <x:c r="O531" t="n">
        <x:v>0.25</x:v>
      </x:c>
      <x:c r="P531" t="n">
        <x:v>0.2</x:v>
      </x:c>
      <x:c r="Q531" t="n">
        <x:v>0.01</x:v>
      </x:c>
      <x:c r="R531" t="n">
        <x:v>1.91</x:v>
      </x:c>
      <x:c r="S531" t="n">
        <x:v>60</x:v>
      </x:c>
      <x:c r="T531" t="n">
        <x:v>60</x:v>
      </x:c>
      <x:c r="U531" t="n">
        <x:v>2.5</x:v>
      </x:c>
      <x:c r="V531" t="n">
        <x:v>0.14</x:v>
      </x:c>
      <x:c r="W531" t="n">
        <x:v>18</x:v>
      </x:c>
      <x:c r="X531" t="n">
        <x:v>94</x:v>
      </x:c>
      <x:c r="Y531" t="n">
        <x:v>110</x:v>
      </x:c>
      <x:c r="Z531" t="n">
        <x:v>40</x:v>
      </x:c>
      <x:c r="AA531" t="n">
        <x:v>21</x:v>
      </x:c>
      <x:c r="AB531" t="n">
        <x:v>22</x:v>
      </x:c>
      <x:c r="AC531" t="n">
        <x:v>2.1</x:v>
      </x:c>
      <x:c r="AD531" t="n">
        <x:v>37.4</x:v>
      </x:c>
      <x:c r="AE531" t="n">
        <x:v>0.09</x:v>
      </x:c>
      <x:c r="AF531" t="n">
        <x:v>12</x:v>
      </x:c>
      <x:c r="AG531" t="n">
        <x:v>12</x:v>
      </x:c>
      <x:c r="AH531" t="n">
        <x:v>24</x:v>
      </x:c>
      <x:c r="AI531" t="n">
        <x:v>15</x:v>
      </x:c>
      <x:c r="AJ531" t="n">
        <x:v>1</x:v>
      </x:c>
      <x:c r="AK531" t="n">
        <x:v>250</x:v>
      </x:c>
      <x:c r="AL531" t="str">
        <x:v>Direkte elektrisk; Biobrensel;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1</x:v>
      </x:c>
      <x:c r="AR531" t="n">
        <x:v>0</x:v>
      </x:c>
      <x:c r="AS531" t="n">
        <x:v>0</x:v>
      </x:c>
      <x:c r="AT531" t="n">
        <x:v>0</x:v>
      </x:c>
      <x:c r="AU531" t="str">
        <x:v>energiattester_export_2025-08-14.json | PDF vedlegg side 5-7</x:v>
      </x:c>
      <x:c r="AV531" s="12" t="n">
        <x:f>IF(COUNT(O531,P531,Q531,R531,K531,L531,M531,N531)=8,O531*K531+P531*L531+Q531*M531+R531*N531,"")</x:f>
        <x:v>1502.19</x:v>
      </x:c>
      <x:c r="AW531" s="12" t="n">
        <x:f>IF(AND(ISNUMBER(AV531),H531&gt;0),AV531/H531,"")</x:f>
        <x:v>0.33015164835164834</x:v>
      </x:c>
      <x:c r="AX531" s="12" t="n">
        <x:f>IF(AND(ISNUMBER(AD531),H531&gt;0),AD531*H531*3600,"")</x:f>
        <x:v>612612000</x:v>
      </x:c>
      <x:c r="AY531" s="12" t="n">
        <x:f>IF(AND(ISNUMBER(Y531),H531&gt;0),Y531*H531,"")</x:f>
        <x:v>500500</x:v>
      </x:c>
      <x:c r="AZ531" t="str">
        <x:v>Høy</x:v>
      </x:c>
    </x:row>
    <x:row r="532" ht="22" customHeight="1">
      <x:c r="A532" t="str">
        <x:v>OT-d51fd849cb43</x:v>
      </x:c>
      <x:c r="B532" t="n">
        <x:v>2015</x:v>
      </x:c>
      <x:c r="C532" t="str">
        <x:v>Kontorbygg</x:v>
      </x:c>
      <x:c r="D532" t="str">
        <x:v>Kontorer, enkle</x:v>
      </x:c>
      <x:c r="E532" t="str">
        <x:v>G</x:v>
      </x:c>
      <x:c r="F532" t="str">
        <x:v>RED</x:v>
      </x:c>
      <x:c r="G532" t="n">
        <x:v>1915</x:v>
      </x:c>
      <x:c r="H532" t="n">
        <x:v>375</x:v>
      </x:c>
      <x:c r="I532" t="n">
        <x:v>663.75</x:v>
      </x:c>
      <x:c r="J532" t="str">
        <x:v>PDF/avansert</x:v>
      </x:c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 t="n">
        <x:v>0</x:v>
      </x:c>
      <x:c r="AN532" t="n">
        <x:v>0</x:v>
      </x:c>
      <x:c r="AO532" t="n">
        <x:v>0</x:v>
      </x:c>
      <x:c r="AP532" t="n">
        <x:v>1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str">
        <x:v>energiattester_export_2025-08-14.json | PDF vedlegg side 5-7</x:v>
      </x:c>
      <x:c r="AV532" s="12" t="str">
        <x:f>IF(COUNT(O532,P532,Q532,R532,K532,L532,M532,N532)=8,O532*K532+P532*L532+Q532*M532+R532*N532,"")</x:f>
      </x:c>
      <x:c r="AW532" s="12" t="str">
        <x:f>IF(AND(ISNUMBER(AV532),H532&gt;0),AV532/H532,"")</x:f>
      </x:c>
      <x:c r="AX532" s="12" t="str">
        <x:f>IF(AND(ISNUMBER(AD532),H532&gt;0),AD532*H532*3600,"")</x:f>
      </x:c>
      <x:c r="AY532" s="12" t="str">
        <x:f>IF(AND(ISNUMBER(Y532),H532&gt;0),Y532*H532,"")</x:f>
      </x:c>
      <x:c r="AZ532" t="str">
        <x:v>Mangler data</x:v>
      </x:c>
    </x:row>
    <x:row r="533" ht="22" customHeight="1">
      <x:c r="A533" t="str">
        <x:v>OT-ef475b5baca0</x:v>
      </x:c>
      <x:c r="B533" t="n">
        <x:v>2015</x:v>
      </x:c>
      <x:c r="C533" t="str">
        <x:v>Kontorbygg</x:v>
      </x:c>
      <x:c r="D533" t="str">
        <x:v>KONTORER, ENKLE</x:v>
      </x:c>
      <x:c r="E533" t="str">
        <x:v>G</x:v>
      </x:c>
      <x:c r="F533" t="str">
        <x:v>RED</x:v>
      </x:c>
      <x:c r="G533" t="n">
        <x:v>1990</x:v>
      </x:c>
      <x:c r="H533" t="n">
        <x:v>180</x:v>
      </x:c>
      <x:c r="I533" t="n">
        <x:v>288</x:v>
      </x:c>
      <x:c r="J533" t="str">
        <x:v>PDF/avansert</x:v>
      </x:c>
      <x:c r="K533" t="n">
        <x:v>133</x:v>
      </x:c>
      <x:c r="L533" t="n">
        <x:v>180</x:v>
      </x:c>
      <x:c r="M533" t="n">
        <x:v>180</x:v>
      </x:c>
      <x:c r="N533" t="n">
        <x:v>35</x:v>
      </x:c>
      <x:c r="O533" t="n">
        <x:v>0.3</x:v>
      </x:c>
      <x:c r="P533" t="n">
        <x:v>0.2</x:v>
      </x:c>
      <x:c r="Q533" t="n">
        <x:v>0.16</x:v>
      </x:c>
      <x:c r="R533" t="n">
        <x:v>2.4</x:v>
      </x:c>
      <x:c r="S533" t="n">
        <x:v>0</x:v>
      </x:c>
      <x:c r="T533" t="n">
        <x:v>0</x:v>
      </x:c>
      <x:c r="U533" t="n">
        <x:v>2</x:v>
      </x:c>
      <x:c r="V533" t="n">
        <x:v>0.25</x:v>
      </x:c>
      <x:c r="W533" t="n">
        <x:v>7</x:v>
      </x:c>
      <x:c r="X533" t="n">
        <x:v>90</x:v>
      </x:c>
      <x:c r="Y533" t="n">
        <x:v>50</x:v>
      </x:c>
      <x:c r="Z533" t="n">
        <x:v>0</x:v>
      </x:c>
      <x:c r="AA533" t="n">
        <x:v>21</x:v>
      </x:c>
      <x:c r="AB533" t="n">
        <x:v>22</x:v>
      </x:c>
      <x:c r="AC533" t="n">
        <x:v>2.5</x:v>
      </x:c>
      <x:c r="AD533" t="n">
        <x:v>72.2</x:v>
      </x:c>
      <x:c r="AE533" t="n">
        <x:v>0.12</x:v>
      </x:c>
      <x:c r="AF533" t="n">
        <x:v>12</x:v>
      </x:c>
      <x:c r="AG533" t="n">
        <x:v>12</x:v>
      </x:c>
      <x:c r="AH533" t="n">
        <x:v>24</x:v>
      </x:c>
      <x:c r="AI533" t="n">
        <x:v>8</x:v>
      </x:c>
      <x:c r="AJ533" t="n">
        <x:v>11</x:v>
      </x:c>
      <x:c r="AK533" t="n">
        <x:v>250</x:v>
      </x:c>
      <x:c r="AL533" t="str">
        <x:v>Direkte elektrisk;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1</x:v>
      </x:c>
      <x:c r="AS533" t="n">
        <x:v>0</x:v>
      </x:c>
      <x:c r="AT533" t="n">
        <x:v>0</x:v>
      </x:c>
      <x:c r="AU533" t="str">
        <x:v>energiattester_export_2025-08-14.json | PDF vedlegg side 5-7</x:v>
      </x:c>
      <x:c r="AV533" s="12" t="n">
        <x:f>IF(COUNT(O533,P533,Q533,R533,K533,L533,M533,N533)=8,O533*K533+P533*L533+Q533*M533+R533*N533,"")</x:f>
        <x:v>188.7</x:v>
      </x:c>
      <x:c r="AW533" s="12" t="n">
        <x:f>IF(AND(ISNUMBER(AV533),H533&gt;0),AV533/H533,"")</x:f>
        <x:v>1.0483333333333333</x:v>
      </x:c>
      <x:c r="AX533" s="12" t="n">
        <x:f>IF(AND(ISNUMBER(AD533),H533&gt;0),AD533*H533*3600,"")</x:f>
        <x:v>46785600</x:v>
      </x:c>
      <x:c r="AY533" s="12" t="n">
        <x:f>IF(AND(ISNUMBER(Y533),H533&gt;0),Y533*H533,"")</x:f>
        <x:v>9000</x:v>
      </x:c>
      <x:c r="AZ533" t="str">
        <x:v>Høy</x:v>
      </x:c>
    </x:row>
    <x:row r="534" ht="22" customHeight="1">
      <x:c r="A534" t="str">
        <x:v>OT-99f169e63ff4</x:v>
      </x:c>
      <x:c r="B534" t="n">
        <x:v>2015</x:v>
      </x:c>
      <x:c r="C534" t="str">
        <x:v>Kontorbygg</x:v>
      </x:c>
      <x:c r="D534" t="str">
        <x:v>KONTORER, ENKLE</x:v>
      </x:c>
      <x:c r="E534" t="str">
        <x:v>F</x:v>
      </x:c>
      <x:c r="F534" t="str">
        <x:v>RED</x:v>
      </x:c>
      <x:c r="G534" t="n">
        <x:v>1903</x:v>
      </x:c>
      <x:c r="H534" t="n">
        <x:v>693</x:v>
      </x:c>
      <x:c r="I534" t="n">
        <x:v>245</x:v>
      </x:c>
      <x:c r="J534" t="str">
        <x:v>PDF/avansert</x:v>
      </x:c>
      <x:c r="K534" t="n">
        <x:v>651</x:v>
      </x:c>
      <x:c r="L534" t="n">
        <x:v>231</x:v>
      </x:c>
      <x:c r="M534" t="n">
        <x:v>231</x:v>
      </x:c>
      <x:c r="N534" t="n">
        <x:v>184</x:v>
      </x:c>
      <x:c r="O534" t="n">
        <x:v>0.57</x:v>
      </x:c>
      <x:c r="P534" t="n">
        <x:v>0.28</x:v>
      </x:c>
      <x:c r="Q534" t="n">
        <x:v>0.14</x:v>
      </x:c>
      <x:c r="R534" t="n">
        <x:v>2.03</x:v>
      </x:c>
      <x:c r="S534" t="n">
        <x:v>70</x:v>
      </x:c>
      <x:c r="T534" t="n">
        <x:v>70</x:v>
      </x:c>
      <x:c r="U534" t="n">
        <x:v>3.28</x:v>
      </x:c>
      <x:c r="V534" t="n">
        <x:v>0.42</x:v>
      </x:c>
      <x:c r="W534" t="n">
        <x:v>7</x:v>
      </x:c>
      <x:c r="X534" t="n">
        <x:v>88</x:v>
      </x:c>
      <x:c r="Y534" t="n">
        <x:v>80</x:v>
      </x:c>
      <x:c r="Z534" t="n">
        <x:v>0</x:v>
      </x:c>
      <x:c r="AA534" t="n">
        <x:v>21</x:v>
      </x:c>
      <x:c r="AB534" t="n">
        <x:v>22</x:v>
      </x:c>
      <x:c r="AC534" t="n">
        <x:v>2.43</x:v>
      </x:c>
      <x:c r="AD534" t="n">
        <x:v>19.5</x:v>
      </x:c>
      <x:c r="AE534" t="n">
        <x:v>0.12</x:v>
      </x:c>
      <x:c r="AF534" t="n">
        <x:v>12</x:v>
      </x:c>
      <x:c r="AG534" t="n">
        <x:v>12</x:v>
      </x:c>
      <x:c r="AH534" t="n">
        <x:v>24</x:v>
      </x:c>
      <x:c r="AI534" t="n">
        <x:v>8</x:v>
      </x:c>
      <x:c r="AJ534" t="n">
        <x:v>11</x:v>
      </x:c>
      <x:c r="AK534" t="n">
        <x:v>250</x:v>
      </x:c>
      <x:c r="AL534" t="str">
        <x:v>Direkte elektrisk;</x:v>
      </x:c>
      <x:c r="AM534" t="n">
        <x:v>0</x:v>
      </x:c>
      <x:c r="AN534" t="n">
        <x:v>0</x:v>
      </x:c>
      <x:c r="AO534" t="n">
        <x:v>1</x:v>
      </x:c>
      <x:c r="AP534" t="n">
        <x:v>0</x:v>
      </x:c>
      <x:c r="AQ534" t="n">
        <x:v>1</x:v>
      </x:c>
      <x:c r="AR534" t="n">
        <x:v>1</x:v>
      </x:c>
      <x:c r="AS534" t="n">
        <x:v>0</x:v>
      </x:c>
      <x:c r="AT534" t="n">
        <x:v>0</x:v>
      </x:c>
      <x:c r="AU534" t="str">
        <x:v>energiattester_export_2025-08-14.json | PDF vedlegg side 5-7</x:v>
      </x:c>
      <x:c r="AV534" s="12" t="n">
        <x:f>IF(COUNT(O534,P534,Q534,R534,K534,L534,M534,N534)=8,O534*K534+P534*L534+Q534*M534+R534*N534,"")</x:f>
        <x:v>841.61</x:v>
      </x:c>
      <x:c r="AW534" s="12" t="n">
        <x:f>IF(AND(ISNUMBER(AV534),H534&gt;0),AV534/H534,"")</x:f>
        <x:v>1.2144444444444444</x:v>
      </x:c>
      <x:c r="AX534" s="12" t="n">
        <x:f>IF(AND(ISNUMBER(AD534),H534&gt;0),AD534*H534*3600,"")</x:f>
        <x:v>48648600</x:v>
      </x:c>
      <x:c r="AY534" s="12" t="n">
        <x:f>IF(AND(ISNUMBER(Y534),H534&gt;0),Y534*H534,"")</x:f>
        <x:v>55440</x:v>
      </x:c>
      <x:c r="AZ534" t="str">
        <x:v>Høy</x:v>
      </x:c>
    </x:row>
    <x:row r="535" ht="22" customHeight="1">
      <x:c r="A535" t="str">
        <x:v>OT-0dcf04fccdc6</x:v>
      </x:c>
      <x:c r="B535" t="n">
        <x:v>2015</x:v>
      </x:c>
      <x:c r="C535" t="str">
        <x:v>Kontorbygg</x:v>
      </x:c>
      <x:c r="D535" t="str">
        <x:v>KONTORER, MED VENTILASJON OG KJØLEANLEGG</x:v>
      </x:c>
      <x:c r="E535" t="str">
        <x:v>G</x:v>
      </x:c>
      <x:c r="F535" t="str">
        <x:v>RED</x:v>
      </x:c>
      <x:c r="G535" t="n">
        <x:v>1897</x:v>
      </x:c>
      <x:c r="H535" t="n">
        <x:v>1045</x:v>
      </x:c>
      <x:c r="I535" t="n">
        <x:v>440</x:v>
      </x:c>
      <x:c r="J535" t="str">
        <x:v>PDF/avansert</x:v>
      </x:c>
      <x:c r="K535" t="n">
        <x:v>458</x:v>
      </x:c>
      <x:c r="L535" t="n">
        <x:v>354</x:v>
      </x:c>
      <x:c r="M535" t="n">
        <x:v>357</x:v>
      </x:c>
      <x:c r="N535" t="n">
        <x:v>114</x:v>
      </x:c>
      <x:c r="O535" t="n">
        <x:v>1.2</x:v>
      </x:c>
      <x:c r="P535" t="n">
        <x:v>0.74</x:v>
      </x:c>
      <x:c r="Q535" t="n">
        <x:v>0.28</x:v>
      </x:c>
      <x:c r="R535" t="n">
        <x:v>2.5</x:v>
      </x:c>
      <x:c r="S535" t="n">
        <x:v>73</x:v>
      </x:c>
      <x:c r="T535" t="n">
        <x:v>73</x:v>
      </x:c>
      <x:c r="U535" t="n">
        <x:v>2.4</x:v>
      </x:c>
      <x:c r="V535" t="n">
        <x:v>0.27</x:v>
      </x:c>
      <x:c r="W535" t="n">
        <x:v>8</x:v>
      </x:c>
      <x:c r="X535" t="n">
        <x:v>88</x:v>
      </x:c>
      <x:c r="Y535" t="n">
        <x:v>140</x:v>
      </x:c>
      <x:c r="Z535" t="n">
        <x:v>0</x:v>
      </x:c>
      <x:c r="AA535" t="n">
        <x:v>21</x:v>
      </x:c>
      <x:c r="AB535" t="n">
        <x:v>22</x:v>
      </x:c>
      <x:c r="AC535" t="n">
        <x:v>3</x:v>
      </x:c>
      <x:c r="AD535" t="n">
        <x:v>87.8</x:v>
      </x:c>
      <x:c r="AE535" t="n">
        <x:v>0.09</x:v>
      </x:c>
      <x:c r="AF535" t="n">
        <x:v>12</x:v>
      </x:c>
      <x:c r="AG535" t="n">
        <x:v>12</x:v>
      </x:c>
      <x:c r="AH535" t="n">
        <x:v>24</x:v>
      </x:c>
      <x:c r="AI535" t="n">
        <x:v>8</x:v>
      </x:c>
      <x:c r="AJ535" t="n">
        <x:v>11</x:v>
      </x:c>
      <x:c r="AK535" t="n">
        <x:v>240</x:v>
      </x:c>
      <x:c r="AL535" t="str">
        <x:v>Direkte elektrisk;</x:v>
      </x:c>
      <x:c r="AM535" t="n">
        <x:v>0</x:v>
      </x:c>
      <x:c r="AN535" t="n">
        <x:v>0</x:v>
      </x:c>
      <x:c r="AO535" t="n">
        <x:v>0</x:v>
      </x:c>
      <x:c r="AP535" t="n">
        <x:v>1</x:v>
      </x:c>
      <x:c r="AQ535" t="n">
        <x:v>0</x:v>
      </x:c>
      <x:c r="AR535" t="n">
        <x:v>0</x:v>
      </x:c>
      <x:c r="AS535" t="n">
        <x:v>1</x:v>
      </x:c>
      <x:c r="AT535" t="n">
        <x:v>1</x:v>
      </x:c>
      <x:c r="AU535" t="str">
        <x:v>energiattester_export_2025-08-14.json | PDF vedlegg side 5-7</x:v>
      </x:c>
      <x:c r="AV535" s="12" t="n">
        <x:f>IF(COUNT(O535,P535,Q535,R535,K535,L535,M535,N535)=8,O535*K535+P535*L535+Q535*M535+R535*N535,"")</x:f>
        <x:v>1196.52</x:v>
      </x:c>
      <x:c r="AW535" s="12" t="n">
        <x:f>IF(AND(ISNUMBER(AV535),H535&gt;0),AV535/H535,"")</x:f>
        <x:v>1.1449952153110048</x:v>
      </x:c>
      <x:c r="AX535" s="12" t="n">
        <x:f>IF(AND(ISNUMBER(AD535),H535&gt;0),AD535*H535*3600,"")</x:f>
        <x:v>330303600</x:v>
      </x:c>
      <x:c r="AY535" s="12" t="n">
        <x:f>IF(AND(ISNUMBER(Y535),H535&gt;0),Y535*H535,"")</x:f>
        <x:v>146300</x:v>
      </x:c>
      <x:c r="AZ535" t="str">
        <x:v>Høy</x:v>
      </x:c>
    </x:row>
    <x:row r="536" ht="22" customHeight="1">
      <x:c r="A536" t="str">
        <x:v>OT-16d30821eae2</x:v>
      </x:c>
      <x:c r="B536" t="n">
        <x:v>2015</x:v>
      </x:c>
      <x:c r="C536" t="str">
        <x:v>Kontorbygg</x:v>
      </x:c>
      <x:c r="D536" t="str">
        <x:v>KONTORER, ENKLE</x:v>
      </x:c>
      <x:c r="E536" t="str">
        <x:v>F</x:v>
      </x:c>
      <x:c r="F536" t="str">
        <x:v>RED</x:v>
      </x:c>
      <x:c r="G536" t="n">
        <x:v>1985</x:v>
      </x:c>
      <x:c r="H536" t="n">
        <x:v>312</x:v>
      </x:c>
      <x:c r="I536" t="n">
        <x:v>272</x:v>
      </x:c>
      <x:c r="J536" t="str">
        <x:v>PDF/avansert</x:v>
      </x:c>
      <x:c r="K536" t="n">
        <x:v>358</x:v>
      </x:c>
      <x:c r="L536" t="n">
        <x:v>225</x:v>
      </x:c>
      <x:c r="M536" t="n">
        <x:v>225</x:v>
      </x:c>
      <x:c r="N536" t="n">
        <x:v>32</x:v>
      </x:c>
      <x:c r="O536" t="n">
        <x:v>0.55</x:v>
      </x:c>
      <x:c r="P536" t="n">
        <x:v>0.27</x:v>
      </x:c>
      <x:c r="Q536" t="n">
        <x:v>0.19</x:v>
      </x:c>
      <x:c r="R536" t="n">
        <x:v>1.79</x:v>
      </x:c>
      <x:c r="S536" t="n">
        <x:v>70</x:v>
      </x:c>
      <x:c r="T536" t="n">
        <x:v>70</x:v>
      </x:c>
      <x:c r="U536" t="n">
        <x:v>4</x:v>
      </x:c>
      <x:c r="V536" t="n">
        <x:v>0.8</x:v>
      </x:c>
      <x:c r="W536" t="n">
        <x:v>7</x:v>
      </x:c>
      <x:c r="X536" t="n">
        <x:v>118</x:v>
      </x:c>
      <x:c r="Y536" t="n">
        <x:v>91</x:v>
      </x:c>
      <x:c r="Z536" t="n">
        <x:v>36</x:v>
      </x:c>
      <x:c r="AA536" t="n">
        <x:v>21</x:v>
      </x:c>
      <x:c r="AB536" t="n">
        <x:v>22</x:v>
      </x:c>
      <x:c r="AC536" t="n">
        <x:v>3.5</x:v>
      </x:c>
      <x:c r="AD536" t="n">
        <x:v>181</x:v>
      </x:c>
      <x:c r="AE536" t="n">
        <x:v>0.08</x:v>
      </x:c>
      <x:c r="AF536" t="n">
        <x:v>12</x:v>
      </x:c>
      <x:c r="AG536" t="n">
        <x:v>12</x:v>
      </x:c>
      <x:c r="AH536" t="n">
        <x:v>24</x:v>
      </x:c>
      <x:c r="AI536" t="n">
        <x:v>8</x:v>
      </x:c>
      <x:c r="AJ536" t="n">
        <x:v>11</x:v>
      </x:c>
      <x:c r="AK536" t="n">
        <x:v>250</x:v>
      </x:c>
      <x:c r="AL536" t="str">
        <x:v>Direkte elektrisk; Varmepumpe;</x:v>
      </x:c>
      <x:c r="AM536" t="n">
        <x:v>1</x:v>
      </x:c>
      <x:c r="AN536" t="n">
        <x:v>0</x:v>
      </x:c>
      <x:c r="AO536" t="n">
        <x:v>0</x:v>
      </x:c>
      <x:c r="AP536" t="n">
        <x:v>1</x:v>
      </x:c>
      <x:c r="AQ536" t="n">
        <x:v>0</x:v>
      </x:c>
      <x:c r="AR536" t="n">
        <x:v>0</x:v>
      </x:c>
      <x:c r="AS536" t="n">
        <x:v>1</x:v>
      </x:c>
      <x:c r="AT536" t="n">
        <x:v>0</x:v>
      </x:c>
      <x:c r="AU536" t="str">
        <x:v>energiattester_export_2025-08-14.json | PDF vedlegg side 5-7</x:v>
      </x:c>
      <x:c r="AV536" s="12" t="n">
        <x:f>IF(COUNT(O536,P536,Q536,R536,K536,L536,M536,N536)=8,O536*K536+P536*L536+Q536*M536+R536*N536,"")</x:f>
        <x:v>357.68000000000006</x:v>
      </x:c>
      <x:c r="AW536" s="12" t="n">
        <x:f>IF(AND(ISNUMBER(AV536),H536&gt;0),AV536/H536,"")</x:f>
        <x:v>1.1464102564102565</x:v>
      </x:c>
      <x:c r="AX536" s="12" t="n">
        <x:f>IF(AND(ISNUMBER(AD536),H536&gt;0),AD536*H536*3600,"")</x:f>
        <x:v>203299200</x:v>
      </x:c>
      <x:c r="AY536" s="12" t="n">
        <x:f>IF(AND(ISNUMBER(Y536),H536&gt;0),Y536*H536,"")</x:f>
        <x:v>28392</x:v>
      </x:c>
      <x:c r="AZ536" t="str">
        <x:v>Høy</x:v>
      </x:c>
    </x:row>
    <x:row r="537" ht="22" customHeight="1">
      <x:c r="A537" t="str">
        <x:v>OT-d33550ff5c35</x:v>
      </x:c>
      <x:c r="B537" t="n">
        <x:v>2015</x:v>
      </x:c>
      <x:c r="C537" t="str">
        <x:v>Kontorbygg</x:v>
      </x:c>
      <x:c r="D537" t="str">
        <x:v>Kontorer, enkle</x:v>
      </x:c>
      <x:c r="E537" t="str">
        <x:v>G</x:v>
      </x:c>
      <x:c r="F537" t="str">
        <x:v>RED</x:v>
      </x:c>
      <x:c r="G537" t="n">
        <x:v>1885</x:v>
      </x:c>
      <x:c r="H537" t="n">
        <x:v>256</x:v>
      </x:c>
      <x:c r="I537" t="n">
        <x:v>653.74</x:v>
      </x:c>
      <x:c r="J537" t="str">
        <x:v>PDF/avansert</x:v>
      </x:c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 t="n">
        <x:v>0</x:v>
      </x:c>
      <x:c r="AN537" t="n">
        <x:v>0</x:v>
      </x:c>
      <x:c r="AO537" t="n">
        <x:v>1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str">
        <x:v>energiattester_export_2025-08-14.json | PDF vedlegg side 5-7</x:v>
      </x:c>
      <x:c r="AV537" s="12" t="str">
        <x:f>IF(COUNT(O537,P537,Q537,R537,K537,L537,M537,N537)=8,O537*K537+P537*L537+Q537*M537+R537*N537,"")</x:f>
      </x:c>
      <x:c r="AW537" s="12" t="str">
        <x:f>IF(AND(ISNUMBER(AV537),H537&gt;0),AV537/H537,"")</x:f>
      </x:c>
      <x:c r="AX537" s="12" t="str">
        <x:f>IF(AND(ISNUMBER(AD537),H537&gt;0),AD537*H537*3600,"")</x:f>
      </x:c>
      <x:c r="AY537" s="12" t="str">
        <x:f>IF(AND(ISNUMBER(Y537),H537&gt;0),Y537*H537,"")</x:f>
      </x:c>
      <x:c r="AZ537" t="str">
        <x:v>Mangler data</x:v>
      </x:c>
    </x:row>
  </x:sheetData>
  <x:pageMargins left="0.7" right="0.7" top="0.75" bottom="0.75" header="0.3" footer="0.3"/>
  <x:tableParts count="1">
    <x:tablePart xmlns:r="http://schemas.openxmlformats.org/officeDocument/2006/relationships" r:id="R9bf1fa7256734fe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76" hidden="0" customWidth="1"/>
  </x:cols>
  <x:sheetData>
    <x:row r="1" ht="38" customHeight="1">
      <x:c r="A1" s="5" t="str">
        <x:v>Attestår</x:v>
      </x:c>
      <x:c r="B1" s="5" t="str">
        <x:v>Byggkategori</x:v>
      </x:c>
      <x:c r="C1" s="5" t="str">
        <x:v>Energikarakter</x:v>
      </x:c>
      <x:c r="D1" s="5" t="str">
        <x:v>N attest total</x:v>
      </x:c>
      <x:c r="E1" s="5" t="str">
        <x:v>N gyldig kWh/m²</x:v>
      </x:c>
      <x:c r="F1" s="5" t="str">
        <x:v>P10 kWh/m²år</x:v>
      </x:c>
      <x:c r="G1" s="5" t="str">
        <x:v>Median kWh/m²år</x:v>
      </x:c>
      <x:c r="H1" s="5" t="str">
        <x:v>P90 kWh/m²år</x:v>
      </x:c>
      <x:c r="I1" s="5" t="str">
        <x:v>Snitt kWh/m²år</x:v>
      </x:c>
      <x:c r="J1" s="5" t="str">
        <x:v>Merknad</x:v>
      </x:c>
    </x:row>
    <x:row r="2" ht="22" customHeight="1">
      <x:c r="A2" t="n">
        <x:v>2015</x:v>
      </x:c>
      <x:c r="B2" t="str">
        <x:v>Barnehager</x:v>
      </x:c>
      <x:c r="C2" t="str">
        <x:v>A</x:v>
      </x:c>
      <x:c r="D2" t="n">
        <x:v>12</x:v>
      </x:c>
      <x:c r="E2" t="n">
        <x:v>12</x:v>
      </x:c>
      <x:c r="F2" t="n">
        <x:v>48.7</x:v>
      </x:c>
      <x:c r="G2" t="n">
        <x:v>61.3</x:v>
      </x:c>
      <x:c r="H2" t="n">
        <x:v>69.2</x:v>
      </x:c>
      <x:c r="I2" t="n">
        <x:v>60.9</x:v>
      </x:c>
      <x:c r="J2" t="str">
        <x:v>Enova årsfil; sammenlign kun innen samme kategori, år og metode</x:v>
      </x:c>
    </x:row>
    <x:row r="3" ht="22" customHeight="1">
      <x:c r="A3" t="n">
        <x:v>2015</x:v>
      </x:c>
      <x:c r="B3" t="str">
        <x:v>Barnehager</x:v>
      </x:c>
      <x:c r="C3" t="str">
        <x:v>B</x:v>
      </x:c>
      <x:c r="D3" t="n">
        <x:v>17</x:v>
      </x:c>
      <x:c r="E3" t="n">
        <x:v>17</x:v>
      </x:c>
      <x:c r="F3" t="n">
        <x:v>92</x:v>
      </x:c>
      <x:c r="G3" t="n">
        <x:v>101</x:v>
      </x:c>
      <x:c r="H3" t="n">
        <x:v>113.6</x:v>
      </x:c>
      <x:c r="I3" t="n">
        <x:v>101.6</x:v>
      </x:c>
      <x:c r="J3" t="str">
        <x:v>Enova årsfil; sammenlign kun innen samme kategori, år og metode</x:v>
      </x:c>
    </x:row>
    <x:row r="4" ht="22" customHeight="1">
      <x:c r="A4" t="n">
        <x:v>2015</x:v>
      </x:c>
      <x:c r="B4" t="str">
        <x:v>Barnehager</x:v>
      </x:c>
      <x:c r="C4" t="str">
        <x:v>C</x:v>
      </x:c>
      <x:c r="D4" t="n">
        <x:v>18</x:v>
      </x:c>
      <x:c r="E4" t="n">
        <x:v>18</x:v>
      </x:c>
      <x:c r="F4" t="n">
        <x:v>116.4</x:v>
      </x:c>
      <x:c r="G4" t="n">
        <x:v>129.8</x:v>
      </x:c>
      <x:c r="H4" t="n">
        <x:v>144.4</x:v>
      </x:c>
      <x:c r="I4" t="n">
        <x:v>131.1</x:v>
      </x:c>
      <x:c r="J4" t="str">
        <x:v>Enova årsfil; sammenlign kun innen samme kategori, år og metode</x:v>
      </x:c>
    </x:row>
    <x:row r="5" ht="22" customHeight="1">
      <x:c r="A5" t="n">
        <x:v>2015</x:v>
      </x:c>
      <x:c r="B5" t="str">
        <x:v>Barnehager</x:v>
      </x:c>
      <x:c r="C5" t="str">
        <x:v>D</x:v>
      </x:c>
      <x:c r="D5" t="n">
        <x:v>21</x:v>
      </x:c>
      <x:c r="E5" t="n">
        <x:v>21</x:v>
      </x:c>
      <x:c r="F5" t="n">
        <x:v>148</x:v>
      </x:c>
      <x:c r="G5" t="n">
        <x:v>172.3</x:v>
      </x:c>
      <x:c r="H5" t="n">
        <x:v>179.1</x:v>
      </x:c>
      <x:c r="I5" t="n">
        <x:v>167.8</x:v>
      </x:c>
      <x:c r="J5" t="str">
        <x:v>Enova årsfil; sammenlign kun innen samme kategori, år og metode</x:v>
      </x:c>
    </x:row>
    <x:row r="6" ht="22" customHeight="1">
      <x:c r="A6" t="n">
        <x:v>2015</x:v>
      </x:c>
      <x:c r="B6" t="str">
        <x:v>Barnehager</x:v>
      </x:c>
      <x:c r="C6" t="str">
        <x:v>E</x:v>
      </x:c>
      <x:c r="D6" t="n">
        <x:v>29</x:v>
      </x:c>
      <x:c r="E6" t="n">
        <x:v>29</x:v>
      </x:c>
      <x:c r="F6" t="n">
        <x:v>190.4</x:v>
      </x:c>
      <x:c r="G6" t="n">
        <x:v>201.1</x:v>
      </x:c>
      <x:c r="H6" t="n">
        <x:v>215.8</x:v>
      </x:c>
      <x:c r="I6" t="n">
        <x:v>201.5</x:v>
      </x:c>
      <x:c r="J6" t="str">
        <x:v>Enova årsfil; sammenlign kun innen samme kategori, år og metode</x:v>
      </x:c>
    </x:row>
    <x:row r="7" ht="22" customHeight="1">
      <x:c r="A7" t="n">
        <x:v>2015</x:v>
      </x:c>
      <x:c r="B7" t="str">
        <x:v>Barnehager</x:v>
      </x:c>
      <x:c r="C7" t="str">
        <x:v>F</x:v>
      </x:c>
      <x:c r="D7" t="n">
        <x:v>21</x:v>
      </x:c>
      <x:c r="E7" t="n">
        <x:v>21</x:v>
      </x:c>
      <x:c r="F7" t="n">
        <x:v>222.7</x:v>
      </x:c>
      <x:c r="G7" t="n">
        <x:v>241.9</x:v>
      </x:c>
      <x:c r="H7" t="n">
        <x:v>260.4</x:v>
      </x:c>
      <x:c r="I7" t="n">
        <x:v>242.1</x:v>
      </x:c>
      <x:c r="J7" t="str">
        <x:v>Enova årsfil; sammenlign kun innen samme kategori, år og metode</x:v>
      </x:c>
    </x:row>
    <x:row r="8" ht="22" customHeight="1">
      <x:c r="A8" t="n">
        <x:v>2015</x:v>
      </x:c>
      <x:c r="B8" t="str">
        <x:v>Barnehager</x:v>
      </x:c>
      <x:c r="C8" t="str">
        <x:v>G</x:v>
      </x:c>
      <x:c r="D8" t="n">
        <x:v>16</x:v>
      </x:c>
      <x:c r="E8" t="n">
        <x:v>16</x:v>
      </x:c>
      <x:c r="F8" t="n">
        <x:v>284.8</x:v>
      </x:c>
      <x:c r="G8" t="n">
        <x:v>320.4</x:v>
      </x:c>
      <x:c r="H8" t="n">
        <x:v>395.3</x:v>
      </x:c>
      <x:c r="I8" t="n">
        <x:v>337.3</x:v>
      </x:c>
      <x:c r="J8" t="str">
        <x:v>Enova årsfil; sammenlign kun innen samme kategori, år og metode</x:v>
      </x:c>
    </x:row>
    <x:row r="9" ht="22" customHeight="1">
      <x:c r="A9" t="n">
        <x:v>2015</x:v>
      </x:c>
      <x:c r="B9" t="str">
        <x:v>Boligblokker</x:v>
      </x:c>
      <x:c r="C9" t="str">
        <x:v>A</x:v>
      </x:c>
      <x:c r="D9" t="n">
        <x:v>828</x:v>
      </x:c>
      <x:c r="E9" t="n">
        <x:v>828</x:v>
      </x:c>
      <x:c r="F9" t="n">
        <x:v>65</x:v>
      </x:c>
      <x:c r="G9" t="n">
        <x:v>77.3</x:v>
      </x:c>
      <x:c r="H9" t="n">
        <x:v>90.9</x:v>
      </x:c>
      <x:c r="I9" t="n">
        <x:v>77.9</x:v>
      </x:c>
      <x:c r="J9" t="str">
        <x:v>Enova årsfil; sammenlign kun innen samme kategori, år og metode</x:v>
      </x:c>
    </x:row>
    <x:row r="10" ht="22" customHeight="1">
      <x:c r="A10" t="n">
        <x:v>2015</x:v>
      </x:c>
      <x:c r="B10" t="str">
        <x:v>Boligblokker</x:v>
      </x:c>
      <x:c r="C10" t="str">
        <x:v>B</x:v>
      </x:c>
      <x:c r="D10" t="n">
        <x:v>2549</x:v>
      </x:c>
      <x:c r="E10" t="n">
        <x:v>2549</x:v>
      </x:c>
      <x:c r="F10" t="n">
        <x:v>89</x:v>
      </x:c>
      <x:c r="G10" t="n">
        <x:v>100.6</x:v>
      </x:c>
      <x:c r="H10" t="n">
        <x:v>110.4</x:v>
      </x:c>
      <x:c r="I10" t="n">
        <x:v>100.5</x:v>
      </x:c>
      <x:c r="J10" t="str">
        <x:v>Enova årsfil; sammenlign kun innen samme kategori, år og metode</x:v>
      </x:c>
    </x:row>
    <x:row r="11" ht="22" customHeight="1">
      <x:c r="A11" t="n">
        <x:v>2015</x:v>
      </x:c>
      <x:c r="B11" t="str">
        <x:v>Boligblokker</x:v>
      </x:c>
      <x:c r="C11" t="str">
        <x:v>C</x:v>
      </x:c>
      <x:c r="D11" t="n">
        <x:v>4019</x:v>
      </x:c>
      <x:c r="E11" t="n">
        <x:v>4019</x:v>
      </x:c>
      <x:c r="F11" t="n">
        <x:v>111.2</x:v>
      </x:c>
      <x:c r="G11" t="n">
        <x:v>123.4</x:v>
      </x:c>
      <x:c r="H11" t="n">
        <x:v>141</x:v>
      </x:c>
      <x:c r="I11" t="n">
        <x:v>124.7</x:v>
      </x:c>
      <x:c r="J11" t="str">
        <x:v>Enova årsfil; sammenlign kun innen samme kategori, år og metode</x:v>
      </x:c>
    </x:row>
    <x:row r="12" ht="22" customHeight="1">
      <x:c r="A12" t="n">
        <x:v>2015</x:v>
      </x:c>
      <x:c r="B12" t="str">
        <x:v>Boligblokker</x:v>
      </x:c>
      <x:c r="C12" t="str">
        <x:v>D</x:v>
      </x:c>
      <x:c r="D12" t="n">
        <x:v>6584</x:v>
      </x:c>
      <x:c r="E12" t="n">
        <x:v>6584</x:v>
      </x:c>
      <x:c r="F12" t="n">
        <x:v>134</x:v>
      </x:c>
      <x:c r="G12" t="n">
        <x:v>150.2</x:v>
      </x:c>
      <x:c r="H12" t="n">
        <x:v>169.7</x:v>
      </x:c>
      <x:c r="I12" t="n">
        <x:v>151.8</x:v>
      </x:c>
      <x:c r="J12" t="str">
        <x:v>Enova årsfil; sammenlign kun innen samme kategori, år og metode</x:v>
      </x:c>
    </x:row>
    <x:row r="13" ht="22" customHeight="1">
      <x:c r="A13" t="n">
        <x:v>2015</x:v>
      </x:c>
      <x:c r="B13" t="str">
        <x:v>Boligblokker</x:v>
      </x:c>
      <x:c r="C13" t="str">
        <x:v>E</x:v>
      </x:c>
      <x:c r="D13" t="n">
        <x:v>6023</x:v>
      </x:c>
      <x:c r="E13" t="n">
        <x:v>6022</x:v>
      </x:c>
      <x:c r="F13" t="n">
        <x:v>165.9</x:v>
      </x:c>
      <x:c r="G13" t="n">
        <x:v>183.7</x:v>
      </x:c>
      <x:c r="H13" t="n">
        <x:v>210.6</x:v>
      </x:c>
      <x:c r="I13" t="n">
        <x:v>186.9</x:v>
      </x:c>
      <x:c r="J13" t="str">
        <x:v>Enova årsfil; sammenlign kun innen samme kategori, år og metode</x:v>
      </x:c>
    </x:row>
    <x:row r="14" ht="22" customHeight="1">
      <x:c r="A14" t="n">
        <x:v>2015</x:v>
      </x:c>
      <x:c r="B14" t="str">
        <x:v>Boligblokker</x:v>
      </x:c>
      <x:c r="C14" t="str">
        <x:v>F</x:v>
      </x:c>
      <x:c r="D14" t="n">
        <x:v>6817</x:v>
      </x:c>
      <x:c r="E14" t="n">
        <x:v>6817</x:v>
      </x:c>
      <x:c r="F14" t="n">
        <x:v>203.7</x:v>
      </x:c>
      <x:c r="G14" t="n">
        <x:v>231.9</x:v>
      </x:c>
      <x:c r="H14" t="n">
        <x:v>273.5</x:v>
      </x:c>
      <x:c r="I14" t="n">
        <x:v>236.2</x:v>
      </x:c>
      <x:c r="J14" t="str">
        <x:v>Enova årsfil; sammenlign kun innen samme kategori, år og metode</x:v>
      </x:c>
    </x:row>
    <x:row r="15" ht="22" customHeight="1">
      <x:c r="A15" t="n">
        <x:v>2015</x:v>
      </x:c>
      <x:c r="B15" t="str">
        <x:v>Boligblokker</x:v>
      </x:c>
      <x:c r="C15" t="str">
        <x:v>G</x:v>
      </x:c>
      <x:c r="D15" t="n">
        <x:v>8557</x:v>
      </x:c>
      <x:c r="E15" t="n">
        <x:v>8503</x:v>
      </x:c>
      <x:c r="F15" t="n">
        <x:v>266.8</x:v>
      </x:c>
      <x:c r="G15" t="n">
        <x:v>335.5</x:v>
      </x:c>
      <x:c r="H15" t="n">
        <x:v>492.3</x:v>
      </x:c>
      <x:c r="I15" t="n">
        <x:v>367</x:v>
      </x:c>
      <x:c r="J15" t="str">
        <x:v>Enova årsfil; sammenlign kun innen samme kategori, år og metode</x:v>
      </x:c>
    </x:row>
    <x:row r="16" ht="22" customHeight="1">
      <x:c r="A16" t="n">
        <x:v>2015</x:v>
      </x:c>
      <x:c r="B16" t="str">
        <x:v>Forretningsbygg</x:v>
      </x:c>
      <x:c r="C16" t="str">
        <x:v>A</x:v>
      </x:c>
      <x:c r="D16" t="n">
        <x:v>4</x:v>
      </x:c>
      <x:c r="E16" t="n">
        <x:v>4</x:v>
      </x:c>
      <x:c r="F16" t="n">
        <x:v>72.9</x:v>
      </x:c>
      <x:c r="G16" t="n">
        <x:v>91.5</x:v>
      </x:c>
      <x:c r="H16" t="n">
        <x:v>102.3</x:v>
      </x:c>
      <x:c r="I16" t="n">
        <x:v>88.7</x:v>
      </x:c>
      <x:c r="J16" t="str">
        <x:v>Enova årsfil; sammenlign kun innen samme kategori, år og metode</x:v>
      </x:c>
    </x:row>
    <x:row r="17" ht="22" customHeight="1">
      <x:c r="A17" t="n">
        <x:v>2015</x:v>
      </x:c>
      <x:c r="B17" t="str">
        <x:v>Forretningsbygg</x:v>
      </x:c>
      <x:c r="C17" t="str">
        <x:v>B</x:v>
      </x:c>
      <x:c r="D17" t="n">
        <x:v>34</x:v>
      </x:c>
      <x:c r="E17" t="n">
        <x:v>34</x:v>
      </x:c>
      <x:c r="F17" t="n">
        <x:v>119.7</x:v>
      </x:c>
      <x:c r="G17" t="n">
        <x:v>139.8</x:v>
      </x:c>
      <x:c r="H17" t="n">
        <x:v>154.8</x:v>
      </x:c>
      <x:c r="I17" t="n">
        <x:v>138</x:v>
      </x:c>
      <x:c r="J17" t="str">
        <x:v>Enova årsfil; sammenlign kun innen samme kategori, år og metode</x:v>
      </x:c>
    </x:row>
    <x:row r="18" ht="22" customHeight="1">
      <x:c r="A18" t="n">
        <x:v>2015</x:v>
      </x:c>
      <x:c r="B18" t="str">
        <x:v>Forretningsbygg</x:v>
      </x:c>
      <x:c r="C18" t="str">
        <x:v>C</x:v>
      </x:c>
      <x:c r="D18" t="n">
        <x:v>50</x:v>
      </x:c>
      <x:c r="E18" t="n">
        <x:v>50</x:v>
      </x:c>
      <x:c r="F18" t="n">
        <x:v>164.2</x:v>
      </x:c>
      <x:c r="G18" t="n">
        <x:v>183.2</x:v>
      </x:c>
      <x:c r="H18" t="n">
        <x:v>207</x:v>
      </x:c>
      <x:c r="I18" t="n">
        <x:v>183.3</x:v>
      </x:c>
      <x:c r="J18" t="str">
        <x:v>Enova årsfil; sammenlign kun innen samme kategori, år og metode</x:v>
      </x:c>
    </x:row>
    <x:row r="19" ht="22" customHeight="1">
      <x:c r="A19" t="n">
        <x:v>2015</x:v>
      </x:c>
      <x:c r="B19" t="str">
        <x:v>Forretningsbygg</x:v>
      </x:c>
      <x:c r="C19" t="str">
        <x:v>D</x:v>
      </x:c>
      <x:c r="D19" t="n">
        <x:v>28</x:v>
      </x:c>
      <x:c r="E19" t="n">
        <x:v>28</x:v>
      </x:c>
      <x:c r="F19" t="n">
        <x:v>212.3</x:v>
      </x:c>
      <x:c r="G19" t="n">
        <x:v>226.4</x:v>
      </x:c>
      <x:c r="H19" t="n">
        <x:v>243.9</x:v>
      </x:c>
      <x:c r="I19" t="n">
        <x:v>228</x:v>
      </x:c>
      <x:c r="J19" t="str">
        <x:v>Enova årsfil; sammenlign kun innen samme kategori, år og metode</x:v>
      </x:c>
    </x:row>
    <x:row r="20" ht="22" customHeight="1">
      <x:c r="A20" t="n">
        <x:v>2015</x:v>
      </x:c>
      <x:c r="B20" t="str">
        <x:v>Forretningsbygg</x:v>
      </x:c>
      <x:c r="C20" t="str">
        <x:v>E</x:v>
      </x:c>
      <x:c r="D20" t="n">
        <x:v>19</x:v>
      </x:c>
      <x:c r="E20" t="n">
        <x:v>19</x:v>
      </x:c>
      <x:c r="F20" t="n">
        <x:v>258.4</x:v>
      </x:c>
      <x:c r="G20" t="n">
        <x:v>267.7</x:v>
      </x:c>
      <x:c r="H20" t="n">
        <x:v>288.5</x:v>
      </x:c>
      <x:c r="I20" t="n">
        <x:v>272.1</x:v>
      </x:c>
      <x:c r="J20" t="str">
        <x:v>Enova årsfil; sammenlign kun innen samme kategori, år og metode</x:v>
      </x:c>
    </x:row>
    <x:row r="21" ht="22" customHeight="1">
      <x:c r="A21" t="n">
        <x:v>2015</x:v>
      </x:c>
      <x:c r="B21" t="str">
        <x:v>Forretningsbygg</x:v>
      </x:c>
      <x:c r="C21" t="str">
        <x:v>F</x:v>
      </x:c>
      <x:c r="D21" t="n">
        <x:v>17</x:v>
      </x:c>
      <x:c r="E21" t="n">
        <x:v>17</x:v>
      </x:c>
      <x:c r="F21" t="n">
        <x:v>308.8</x:v>
      </x:c>
      <x:c r="G21" t="n">
        <x:v>347.1</x:v>
      </x:c>
      <x:c r="H21" t="n">
        <x:v>372.4</x:v>
      </x:c>
      <x:c r="I21" t="n">
        <x:v>347.2</x:v>
      </x:c>
      <x:c r="J21" t="str">
        <x:v>Enova årsfil; sammenlign kun innen samme kategori, år og metode</x:v>
      </x:c>
    </x:row>
    <x:row r="22" ht="22" customHeight="1">
      <x:c r="A22" t="n">
        <x:v>2015</x:v>
      </x:c>
      <x:c r="B22" t="str">
        <x:v>Forretningsbygg</x:v>
      </x:c>
      <x:c r="C22" t="str">
        <x:v>G</x:v>
      </x:c>
      <x:c r="D22" t="n">
        <x:v>40</x:v>
      </x:c>
      <x:c r="E22" t="n">
        <x:v>40</x:v>
      </x:c>
      <x:c r="F22" t="n">
        <x:v>393.3</x:v>
      </x:c>
      <x:c r="G22" t="n">
        <x:v>448.5</x:v>
      </x:c>
      <x:c r="H22" t="n">
        <x:v>639.8</x:v>
      </x:c>
      <x:c r="I22" t="n">
        <x:v>484.3</x:v>
      </x:c>
      <x:c r="J22" t="str">
        <x:v>Enova årsfil; sammenlign kun innen samme kategori, år og metode</x:v>
      </x:c>
    </x:row>
    <x:row r="23" ht="22" customHeight="1">
      <x:c r="A23" t="n">
        <x:v>2015</x:v>
      </x:c>
      <x:c r="B23" t="str">
        <x:v>Hoteller</x:v>
      </x:c>
      <x:c r="C23" t="str">
        <x:v>A</x:v>
      </x:c>
      <x:c r="D23" t="n">
        <x:v>4</x:v>
      </x:c>
      <x:c r="E23" t="n">
        <x:v>4</x:v>
      </x:c>
      <x:c r="F23" t="n">
        <x:v>116.5</x:v>
      </x:c>
      <x:c r="G23" t="n">
        <x:v>118.5</x:v>
      </x:c>
      <x:c r="H23" t="n">
        <x:v>119.8</x:v>
      </x:c>
      <x:c r="I23" t="n">
        <x:v>118.2</x:v>
      </x:c>
      <x:c r="J23" t="str">
        <x:v>Enova årsfil; sammenlign kun innen samme kategori, år og metode</x:v>
      </x:c>
    </x:row>
    <x:row r="24" ht="22" customHeight="1">
      <x:c r="A24" t="n">
        <x:v>2015</x:v>
      </x:c>
      <x:c r="B24" t="str">
        <x:v>Hoteller</x:v>
      </x:c>
      <x:c r="C24" t="str">
        <x:v>B</x:v>
      </x:c>
      <x:c r="D24" t="n">
        <x:v>3</x:v>
      </x:c>
      <x:c r="E24" t="n">
        <x:v>3</x:v>
      </x:c>
      <x:c r="F24" t="n">
        <x:v>131.4</x:v>
      </x:c>
      <x:c r="G24" t="n">
        <x:v>140.9</x:v>
      </x:c>
      <x:c r="H24" t="n">
        <x:v>170.3</x:v>
      </x:c>
      <x:c r="I24" t="n">
        <x:v>149.2</x:v>
      </x:c>
      <x:c r="J24" t="str">
        <x:v>Enova årsfil; sammenlign kun innen samme kategori, år og metode</x:v>
      </x:c>
    </x:row>
    <x:row r="25" ht="22" customHeight="1">
      <x:c r="A25" t="n">
        <x:v>2015</x:v>
      </x:c>
      <x:c r="B25" t="str">
        <x:v>Hoteller</x:v>
      </x:c>
      <x:c r="C25" t="str">
        <x:v>C</x:v>
      </x:c>
      <x:c r="D25" t="n">
        <x:v>4</x:v>
      </x:c>
      <x:c r="E25" t="n">
        <x:v>4</x:v>
      </x:c>
      <x:c r="F25" t="n">
        <x:v>211.8</x:v>
      </x:c>
      <x:c r="G25" t="n">
        <x:v>219.1</x:v>
      </x:c>
      <x:c r="H25" t="n">
        <x:v>228</x:v>
      </x:c>
      <x:c r="I25" t="n">
        <x:v>219.7</x:v>
      </x:c>
      <x:c r="J25" t="str">
        <x:v>Enova årsfil; sammenlign kun innen samme kategori, år og metode</x:v>
      </x:c>
    </x:row>
    <x:row r="26" ht="22" customHeight="1">
      <x:c r="A26" t="n">
        <x:v>2015</x:v>
      </x:c>
      <x:c r="B26" t="str">
        <x:v>Hoteller</x:v>
      </x:c>
      <x:c r="C26" t="str">
        <x:v>D</x:v>
      </x:c>
      <x:c r="D26" t="n">
        <x:v>6</x:v>
      </x:c>
      <x:c r="E26" t="n">
        <x:v>6</x:v>
      </x:c>
      <x:c r="F26" t="n">
        <x:v>245.1</x:v>
      </x:c>
      <x:c r="G26" t="n">
        <x:v>258</x:v>
      </x:c>
      <x:c r="H26" t="n">
        <x:v>278</x:v>
      </x:c>
      <x:c r="I26" t="n">
        <x:v>260.4</x:v>
      </x:c>
      <x:c r="J26" t="str">
        <x:v>Enova årsfil; sammenlign kun innen samme kategori, år og metode</x:v>
      </x:c>
    </x:row>
    <x:row r="27" ht="22" customHeight="1">
      <x:c r="A27" t="n">
        <x:v>2015</x:v>
      </x:c>
      <x:c r="B27" t="str">
        <x:v>Hoteller</x:v>
      </x:c>
      <x:c r="C27" t="str">
        <x:v>E</x:v>
      </x:c>
      <x:c r="D27" t="n">
        <x:v>12</x:v>
      </x:c>
      <x:c r="E27" t="n">
        <x:v>12</x:v>
      </x:c>
      <x:c r="F27" t="n">
        <x:v>300.3</x:v>
      </x:c>
      <x:c r="G27" t="n">
        <x:v>313</x:v>
      </x:c>
      <x:c r="H27" t="n">
        <x:v>328.6</x:v>
      </x:c>
      <x:c r="I27" t="n">
        <x:v>313.6</x:v>
      </x:c>
      <x:c r="J27" t="str">
        <x:v>Enova årsfil; sammenlign kun innen samme kategori, år og metode</x:v>
      </x:c>
    </x:row>
    <x:row r="28" ht="22" customHeight="1">
      <x:c r="A28" t="n">
        <x:v>2015</x:v>
      </x:c>
      <x:c r="B28" t="str">
        <x:v>Hoteller</x:v>
      </x:c>
      <x:c r="C28" t="str">
        <x:v>F</x:v>
      </x:c>
      <x:c r="D28" t="n">
        <x:v>5</x:v>
      </x:c>
      <x:c r="E28" t="n">
        <x:v>5</x:v>
      </x:c>
      <x:c r="F28" t="n">
        <x:v>354.1</x:v>
      </x:c>
      <x:c r="G28" t="n">
        <x:v>359.7</x:v>
      </x:c>
      <x:c r="H28" t="n">
        <x:v>364.7</x:v>
      </x:c>
      <x:c r="I28" t="n">
        <x:v>359.6</x:v>
      </x:c>
      <x:c r="J28" t="str">
        <x:v>Enova årsfil; sammenlign kun innen samme kategori, år og metode</x:v>
      </x:c>
    </x:row>
    <x:row r="29" ht="22" customHeight="1">
      <x:c r="A29" t="n">
        <x:v>2015</x:v>
      </x:c>
      <x:c r="B29" t="str">
        <x:v>Hoteller</x:v>
      </x:c>
      <x:c r="C29" t="str">
        <x:v>G</x:v>
      </x:c>
      <x:c r="D29" t="n">
        <x:v>11</x:v>
      </x:c>
      <x:c r="E29" t="n">
        <x:v>11</x:v>
      </x:c>
      <x:c r="F29" t="n">
        <x:v>431.7</x:v>
      </x:c>
      <x:c r="G29" t="n">
        <x:v>511.4</x:v>
      </x:c>
      <x:c r="H29" t="n">
        <x:v>706.8</x:v>
      </x:c>
      <x:c r="I29" t="n">
        <x:v>547.7</x:v>
      </x:c>
      <x:c r="J29" t="str">
        <x:v>Enova årsfil; sammenlign kun innen samme kategori, år og metode</x:v>
      </x:c>
    </x:row>
    <x:row r="30" ht="22" customHeight="1">
      <x:c r="A30" t="n">
        <x:v>2015</x:v>
      </x:c>
      <x:c r="B30" t="str">
        <x:v>Idrettsbygg</x:v>
      </x:c>
      <x:c r="C30" t="str">
        <x:v>A</x:v>
      </x:c>
      <x:c r="D30" t="n">
        <x:v>11</x:v>
      </x:c>
      <x:c r="E30" t="n">
        <x:v>11</x:v>
      </x:c>
      <x:c r="F30" t="n">
        <x:v>72.5</x:v>
      </x:c>
      <x:c r="G30" t="n">
        <x:v>78</x:v>
      </x:c>
      <x:c r="H30" t="n">
        <x:v>120.4</x:v>
      </x:c>
      <x:c r="I30" t="n">
        <x:v>87.5</x:v>
      </x:c>
      <x:c r="J30" t="str">
        <x:v>Enova årsfil; sammenlign kun innen samme kategori, år og metode</x:v>
      </x:c>
    </x:row>
    <x:row r="31" ht="22" customHeight="1">
      <x:c r="A31" t="n">
        <x:v>2015</x:v>
      </x:c>
      <x:c r="B31" t="str">
        <x:v>Idrettsbygg</x:v>
      </x:c>
      <x:c r="C31" t="str">
        <x:v>B</x:v>
      </x:c>
      <x:c r="D31" t="n">
        <x:v>13</x:v>
      </x:c>
      <x:c r="E31" t="n">
        <x:v>13</x:v>
      </x:c>
      <x:c r="F31" t="n">
        <x:v>128.4</x:v>
      </x:c>
      <x:c r="G31" t="n">
        <x:v>142.6</x:v>
      </x:c>
      <x:c r="H31" t="n">
        <x:v>152.5</x:v>
      </x:c>
      <x:c r="I31" t="n">
        <x:v>141.3</x:v>
      </x:c>
      <x:c r="J31" t="str">
        <x:v>Enova årsfil; sammenlign kun innen samme kategori, år og metode</x:v>
      </x:c>
    </x:row>
    <x:row r="32" ht="22" customHeight="1">
      <x:c r="A32" t="n">
        <x:v>2015</x:v>
      </x:c>
      <x:c r="B32" t="str">
        <x:v>Idrettsbygg</x:v>
      </x:c>
      <x:c r="C32" t="str">
        <x:v>C</x:v>
      </x:c>
      <x:c r="D32" t="n">
        <x:v>14</x:v>
      </x:c>
      <x:c r="E32" t="n">
        <x:v>14</x:v>
      </x:c>
      <x:c r="F32" t="n">
        <x:v>168.3</x:v>
      </x:c>
      <x:c r="G32" t="n">
        <x:v>194.4</x:v>
      </x:c>
      <x:c r="H32" t="n">
        <x:v>203.5</x:v>
      </x:c>
      <x:c r="I32" t="n">
        <x:v>189</x:v>
      </x:c>
      <x:c r="J32" t="str">
        <x:v>Enova årsfil; sammenlign kun innen samme kategori, år og metode</x:v>
      </x:c>
    </x:row>
    <x:row r="33" ht="22" customHeight="1">
      <x:c r="A33" t="n">
        <x:v>2015</x:v>
      </x:c>
      <x:c r="B33" t="str">
        <x:v>Idrettsbygg</x:v>
      </x:c>
      <x:c r="C33" t="str">
        <x:v>D</x:v>
      </x:c>
      <x:c r="D33" t="n">
        <x:v>19</x:v>
      </x:c>
      <x:c r="E33" t="n">
        <x:v>19</x:v>
      </x:c>
      <x:c r="F33" t="n">
        <x:v>217</x:v>
      </x:c>
      <x:c r="G33" t="n">
        <x:v>234</x:v>
      </x:c>
      <x:c r="H33" t="n">
        <x:v>256.8</x:v>
      </x:c>
      <x:c r="I33" t="n">
        <x:v>237.5</x:v>
      </x:c>
      <x:c r="J33" t="str">
        <x:v>Enova årsfil; sammenlign kun innen samme kategori, år og metode</x:v>
      </x:c>
    </x:row>
    <x:row r="34" ht="22" customHeight="1">
      <x:c r="A34" t="n">
        <x:v>2015</x:v>
      </x:c>
      <x:c r="B34" t="str">
        <x:v>Idrettsbygg</x:v>
      </x:c>
      <x:c r="C34" t="str">
        <x:v>E</x:v>
      </x:c>
      <x:c r="D34" t="n">
        <x:v>9</x:v>
      </x:c>
      <x:c r="E34" t="n">
        <x:v>9</x:v>
      </x:c>
      <x:c r="F34" t="n">
        <x:v>286.2</x:v>
      </x:c>
      <x:c r="G34" t="n">
        <x:v>303</x:v>
      </x:c>
      <x:c r="H34" t="n">
        <x:v>320.4</x:v>
      </x:c>
      <x:c r="I34" t="n">
        <x:v>304.2</x:v>
      </x:c>
      <x:c r="J34" t="str">
        <x:v>Enova årsfil; sammenlign kun innen samme kategori, år og metode</x:v>
      </x:c>
    </x:row>
    <x:row r="35" ht="22" customHeight="1">
      <x:c r="A35" t="n">
        <x:v>2015</x:v>
      </x:c>
      <x:c r="B35" t="str">
        <x:v>Idrettsbygg</x:v>
      </x:c>
      <x:c r="C35" t="str">
        <x:v>F</x:v>
      </x:c>
      <x:c r="D35" t="n">
        <x:v>5</x:v>
      </x:c>
      <x:c r="E35" t="n">
        <x:v>5</x:v>
      </x:c>
      <x:c r="F35" t="n">
        <x:v>353.4</x:v>
      </x:c>
      <x:c r="G35" t="n">
        <x:v>355.2</x:v>
      </x:c>
      <x:c r="H35" t="n">
        <x:v>389.8</x:v>
      </x:c>
      <x:c r="I35" t="n">
        <x:v>367.4</x:v>
      </x:c>
      <x:c r="J35" t="str">
        <x:v>Enova årsfil; sammenlign kun innen samme kategori, år og metode</x:v>
      </x:c>
    </x:row>
    <x:row r="36" ht="22" customHeight="1">
      <x:c r="A36" t="n">
        <x:v>2015</x:v>
      </x:c>
      <x:c r="B36" t="str">
        <x:v>Kontorbygg</x:v>
      </x:c>
      <x:c r="C36" t="str">
        <x:v>A</x:v>
      </x:c>
      <x:c r="D36" t="n">
        <x:v>10</x:v>
      </x:c>
      <x:c r="E36" t="n">
        <x:v>10</x:v>
      </x:c>
      <x:c r="F36" t="n">
        <x:v>72</x:v>
      </x:c>
      <x:c r="G36" t="n">
        <x:v>82</x:v>
      </x:c>
      <x:c r="H36" t="n">
        <x:v>85.4</x:v>
      </x:c>
      <x:c r="I36" t="n">
        <x:v>80.7</x:v>
      </x:c>
      <x:c r="J36" t="str">
        <x:v>Enova årsfil; sammenlign kun innen samme kategori, år og metode</x:v>
      </x:c>
    </x:row>
    <x:row r="37" ht="22" customHeight="1">
      <x:c r="A37" t="n">
        <x:v>2015</x:v>
      </x:c>
      <x:c r="B37" t="str">
        <x:v>Kontorbygg</x:v>
      </x:c>
      <x:c r="C37" t="str">
        <x:v>B</x:v>
      </x:c>
      <x:c r="D37" t="n">
        <x:v>36</x:v>
      </x:c>
      <x:c r="E37" t="n">
        <x:v>36</x:v>
      </x:c>
      <x:c r="F37" t="n">
        <x:v>93.7</x:v>
      </x:c>
      <x:c r="G37" t="n">
        <x:v>110.5</x:v>
      </x:c>
      <x:c r="H37" t="n">
        <x:v>114.9</x:v>
      </x:c>
      <x:c r="I37" t="n">
        <x:v>107.1</x:v>
      </x:c>
      <x:c r="J37" t="str">
        <x:v>Enova årsfil; sammenlign kun innen samme kategori, år og metode</x:v>
      </x:c>
    </x:row>
    <x:row r="38" ht="22" customHeight="1">
      <x:c r="A38" t="n">
        <x:v>2015</x:v>
      </x:c>
      <x:c r="B38" t="str">
        <x:v>Kontorbygg</x:v>
      </x:c>
      <x:c r="C38" t="str">
        <x:v>C</x:v>
      </x:c>
      <x:c r="D38" t="n">
        <x:v>53</x:v>
      </x:c>
      <x:c r="E38" t="n">
        <x:v>53</x:v>
      </x:c>
      <x:c r="F38" t="n">
        <x:v>119.5</x:v>
      </x:c>
      <x:c r="G38" t="n">
        <x:v>134</x:v>
      </x:c>
      <x:c r="H38" t="n">
        <x:v>143.4</x:v>
      </x:c>
      <x:c r="I38" t="n">
        <x:v>131.6</x:v>
      </x:c>
      <x:c r="J38" t="str">
        <x:v>Enova årsfil; sammenlign kun innen samme kategori, år og metode</x:v>
      </x:c>
    </x:row>
    <x:row r="39" ht="22" customHeight="1">
      <x:c r="A39" t="n">
        <x:v>2015</x:v>
      </x:c>
      <x:c r="B39" t="str">
        <x:v>Kontorbygg</x:v>
      </x:c>
      <x:c r="C39" t="str">
        <x:v>D</x:v>
      </x:c>
      <x:c r="D39" t="n">
        <x:v>124</x:v>
      </x:c>
      <x:c r="E39" t="n">
        <x:v>124</x:v>
      </x:c>
      <x:c r="F39" t="n">
        <x:v>150.9</x:v>
      </x:c>
      <x:c r="G39" t="n">
        <x:v>169.6</x:v>
      </x:c>
      <x:c r="H39" t="n">
        <x:v>178.1</x:v>
      </x:c>
      <x:c r="I39" t="n">
        <x:v>166.9</x:v>
      </x:c>
      <x:c r="J39" t="str">
        <x:v>Enova årsfil; sammenlign kun innen samme kategori, år og metode</x:v>
      </x:c>
    </x:row>
    <x:row r="40" ht="22" customHeight="1">
      <x:c r="A40" t="n">
        <x:v>2015</x:v>
      </x:c>
      <x:c r="B40" t="str">
        <x:v>Kontorbygg</x:v>
      </x:c>
      <x:c r="C40" t="str">
        <x:v>E</x:v>
      </x:c>
      <x:c r="D40" t="n">
        <x:v>103</x:v>
      </x:c>
      <x:c r="E40" t="n">
        <x:v>103</x:v>
      </x:c>
      <x:c r="F40" t="n">
        <x:v>187.6</x:v>
      </x:c>
      <x:c r="G40" t="n">
        <x:v>201.6</x:v>
      </x:c>
      <x:c r="H40" t="n">
        <x:v>217</x:v>
      </x:c>
      <x:c r="I40" t="n">
        <x:v>202.2</x:v>
      </x:c>
      <x:c r="J40" t="str">
        <x:v>Enova årsfil; sammenlign kun innen samme kategori, år og metode</x:v>
      </x:c>
    </x:row>
    <x:row r="41" ht="22" customHeight="1">
      <x:c r="A41" t="n">
        <x:v>2015</x:v>
      </x:c>
      <x:c r="B41" t="str">
        <x:v>Kontorbygg</x:v>
      </x:c>
      <x:c r="C41" t="str">
        <x:v>F</x:v>
      </x:c>
      <x:c r="D41" t="n">
        <x:v>75</x:v>
      </x:c>
      <x:c r="E41" t="n">
        <x:v>75</x:v>
      </x:c>
      <x:c r="F41" t="n">
        <x:v>225.9</x:v>
      </x:c>
      <x:c r="G41" t="n">
        <x:v>245</x:v>
      </x:c>
      <x:c r="H41" t="n">
        <x:v>265.4</x:v>
      </x:c>
      <x:c r="I41" t="n">
        <x:v>243.9</x:v>
      </x:c>
      <x:c r="J41" t="str">
        <x:v>Enova årsfil; sammenlign kun innen samme kategori, år og metode</x:v>
      </x:c>
    </x:row>
    <x:row r="42" ht="22" customHeight="1">
      <x:c r="A42" t="n">
        <x:v>2015</x:v>
      </x:c>
      <x:c r="B42" t="str">
        <x:v>Kontorbygg</x:v>
      </x:c>
      <x:c r="C42" t="str">
        <x:v>G</x:v>
      </x:c>
      <x:c r="D42" t="n">
        <x:v>127</x:v>
      </x:c>
      <x:c r="E42" t="n">
        <x:v>127</x:v>
      </x:c>
      <x:c r="F42" t="n">
        <x:v>285.8</x:v>
      </x:c>
      <x:c r="G42" t="n">
        <x:v>346.5</x:v>
      </x:c>
      <x:c r="H42" t="n">
        <x:v>483.6</x:v>
      </x:c>
      <x:c r="I42" t="n">
        <x:v>372.1</x:v>
      </x:c>
      <x:c r="J42" t="str">
        <x:v>Enova årsfil; sammenlign kun innen samme kategori, år og metode</x:v>
      </x:c>
    </x:row>
    <x:row r="43" ht="22" customHeight="1">
      <x:c r="A43" t="n">
        <x:v>2015</x:v>
      </x:c>
      <x:c r="B43" t="str">
        <x:v>Kulturbygg</x:v>
      </x:c>
      <x:c r="C43" t="str">
        <x:v>C</x:v>
      </x:c>
      <x:c r="D43" t="n">
        <x:v>3</x:v>
      </x:c>
      <x:c r="E43" t="n">
        <x:v>3</x:v>
      </x:c>
      <x:c r="F43" t="n">
        <x:v>134.6</x:v>
      </x:c>
      <x:c r="G43" t="n">
        <x:v>136.3</x:v>
      </x:c>
      <x:c r="H43" t="n">
        <x:v>165.9</x:v>
      </x:c>
      <x:c r="I43" t="n">
        <x:v>147.9</x:v>
      </x:c>
      <x:c r="J43" t="str">
        <x:v>Enova årsfil; sammenlign kun innen samme kategori, år og metode</x:v>
      </x:c>
    </x:row>
    <x:row r="44" ht="22" customHeight="1">
      <x:c r="A44" t="n">
        <x:v>2015</x:v>
      </x:c>
      <x:c r="B44" t="str">
        <x:v>Kulturbygg</x:v>
      </x:c>
      <x:c r="C44" t="str">
        <x:v>D</x:v>
      </x:c>
      <x:c r="D44" t="n">
        <x:v>7</x:v>
      </x:c>
      <x:c r="E44" t="n">
        <x:v>7</x:v>
      </x:c>
      <x:c r="F44" t="n">
        <x:v>184.4</x:v>
      </x:c>
      <x:c r="G44" t="n">
        <x:v>196.5</x:v>
      </x:c>
      <x:c r="H44" t="n">
        <x:v>211.4</x:v>
      </x:c>
      <x:c r="I44" t="n">
        <x:v>198.9</x:v>
      </x:c>
      <x:c r="J44" t="str">
        <x:v>Enova årsfil; sammenlign kun innen samme kategori, år og metode</x:v>
      </x:c>
    </x:row>
    <x:row r="45" ht="22" customHeight="1">
      <x:c r="A45" t="n">
        <x:v>2015</x:v>
      </x:c>
      <x:c r="B45" t="str">
        <x:v>Kulturbygg</x:v>
      </x:c>
      <x:c r="C45" t="str">
        <x:v>E</x:v>
      </x:c>
      <x:c r="D45" t="n">
        <x:v>4</x:v>
      </x:c>
      <x:c r="E45" t="n">
        <x:v>4</x:v>
      </x:c>
      <x:c r="F45" t="n">
        <x:v>223.7</x:v>
      </x:c>
      <x:c r="G45" t="n">
        <x:v>238</x:v>
      </x:c>
      <x:c r="H45" t="n">
        <x:v>240.7</x:v>
      </x:c>
      <x:c r="I45" t="n">
        <x:v>233.8</x:v>
      </x:c>
      <x:c r="J45" t="str">
        <x:v>Enova årsfil; sammenlign kun innen samme kategori, år og metode</x:v>
      </x:c>
    </x:row>
    <x:row r="46" ht="22" customHeight="1">
      <x:c r="A46" t="n">
        <x:v>2015</x:v>
      </x:c>
      <x:c r="B46" t="str">
        <x:v>Kulturbygg</x:v>
      </x:c>
      <x:c r="C46" t="str">
        <x:v>F</x:v>
      </x:c>
      <x:c r="D46" t="n">
        <x:v>16</x:v>
      </x:c>
      <x:c r="E46" t="n">
        <x:v>16</x:v>
      </x:c>
      <x:c r="F46" t="n">
        <x:v>282</x:v>
      </x:c>
      <x:c r="G46" t="n">
        <x:v>295</x:v>
      </x:c>
      <x:c r="H46" t="n">
        <x:v>317.9</x:v>
      </x:c>
      <x:c r="I46" t="n">
        <x:v>297.2</x:v>
      </x:c>
      <x:c r="J46" t="str">
        <x:v>Enova årsfil; sammenlign kun innen samme kategori, år og metode</x:v>
      </x:c>
    </x:row>
    <x:row r="47" ht="22" customHeight="1">
      <x:c r="A47" t="n">
        <x:v>2015</x:v>
      </x:c>
      <x:c r="B47" t="str">
        <x:v>Kulturbygg</x:v>
      </x:c>
      <x:c r="C47" t="str">
        <x:v>G</x:v>
      </x:c>
      <x:c r="D47" t="n">
        <x:v>24</x:v>
      </x:c>
      <x:c r="E47" t="n">
        <x:v>24</x:v>
      </x:c>
      <x:c r="F47" t="n">
        <x:v>332.1</x:v>
      </x:c>
      <x:c r="G47" t="n">
        <x:v>383.4</x:v>
      </x:c>
      <x:c r="H47" t="n">
        <x:v>502.9</x:v>
      </x:c>
      <x:c r="I47" t="n">
        <x:v>403.4</x:v>
      </x:c>
      <x:c r="J47" t="str">
        <x:v>Enova årsfil; sammenlign kun innen samme kategori, år og metode</x:v>
      </x:c>
    </x:row>
    <x:row r="48" ht="22" customHeight="1">
      <x:c r="A48" t="n">
        <x:v>2015</x:v>
      </x:c>
      <x:c r="B48" t="str">
        <x:v>Lett Industri, Verksteder</x:v>
      </x:c>
      <x:c r="C48" t="str">
        <x:v>A</x:v>
      </x:c>
      <x:c r="D48" t="n">
        <x:v>4</x:v>
      </x:c>
      <x:c r="E48" t="n">
        <x:v>4</x:v>
      </x:c>
      <x:c r="F48" t="n">
        <x:v>89.6</x:v>
      </x:c>
      <x:c r="G48" t="n">
        <x:v>98.7</x:v>
      </x:c>
      <x:c r="H48" t="n">
        <x:v>103.7</x:v>
      </x:c>
      <x:c r="I48" t="n">
        <x:v>97.2</x:v>
      </x:c>
      <x:c r="J48" t="str">
        <x:v>Enova årsfil; sammenlign kun innen samme kategori, år og metode</x:v>
      </x:c>
    </x:row>
    <x:row r="49" ht="22" customHeight="1">
      <x:c r="A49" t="n">
        <x:v>2015</x:v>
      </x:c>
      <x:c r="B49" t="str">
        <x:v>Lett Industri, Verksteder</x:v>
      </x:c>
      <x:c r="C49" t="str">
        <x:v>B</x:v>
      </x:c>
      <x:c r="D49" t="n">
        <x:v>19</x:v>
      </x:c>
      <x:c r="E49" t="n">
        <x:v>19</x:v>
      </x:c>
      <x:c r="F49" t="n">
        <x:v>107.9</x:v>
      </x:c>
      <x:c r="G49" t="n">
        <x:v>119.2</x:v>
      </x:c>
      <x:c r="H49" t="n">
        <x:v>131.6</x:v>
      </x:c>
      <x:c r="I49" t="n">
        <x:v>120</x:v>
      </x:c>
      <x:c r="J49" t="str">
        <x:v>Enova årsfil; sammenlign kun innen samme kategori, år og metode</x:v>
      </x:c>
    </x:row>
    <x:row r="50" ht="22" customHeight="1">
      <x:c r="A50" t="n">
        <x:v>2015</x:v>
      </x:c>
      <x:c r="B50" t="str">
        <x:v>Lett Industri, Verksteder</x:v>
      </x:c>
      <x:c r="C50" t="str">
        <x:v>C</x:v>
      </x:c>
      <x:c r="D50" t="n">
        <x:v>37</x:v>
      </x:c>
      <x:c r="E50" t="n">
        <x:v>37</x:v>
      </x:c>
      <x:c r="F50" t="n">
        <x:v>147.5</x:v>
      </x:c>
      <x:c r="G50" t="n">
        <x:v>164</x:v>
      </x:c>
      <x:c r="H50" t="n">
        <x:v>180.8</x:v>
      </x:c>
      <x:c r="I50" t="n">
        <x:v>164.1</x:v>
      </x:c>
      <x:c r="J50" t="str">
        <x:v>Enova årsfil; sammenlign kun innen samme kategori, år og metode</x:v>
      </x:c>
    </x:row>
    <x:row r="51" ht="22" customHeight="1">
      <x:c r="A51" t="n">
        <x:v>2015</x:v>
      </x:c>
      <x:c r="B51" t="str">
        <x:v>Lett Industri, Verksteder</x:v>
      </x:c>
      <x:c r="C51" t="str">
        <x:v>D</x:v>
      </x:c>
      <x:c r="D51" t="n">
        <x:v>58</x:v>
      </x:c>
      <x:c r="E51" t="n">
        <x:v>58</x:v>
      </x:c>
      <x:c r="F51" t="n">
        <x:v>190.6</x:v>
      </x:c>
      <x:c r="G51" t="n">
        <x:v>210.3</x:v>
      </x:c>
      <x:c r="H51" t="n">
        <x:v>245.9</x:v>
      </x:c>
      <x:c r="I51" t="n">
        <x:v>215</x:v>
      </x:c>
      <x:c r="J51" t="str">
        <x:v>Enova årsfil; sammenlign kun innen samme kategori, år og metode</x:v>
      </x:c>
    </x:row>
    <x:row r="52" ht="22" customHeight="1">
      <x:c r="A52" t="n">
        <x:v>2015</x:v>
      </x:c>
      <x:c r="B52" t="str">
        <x:v>Lett Industri, Verksteder</x:v>
      </x:c>
      <x:c r="C52" t="str">
        <x:v>E</x:v>
      </x:c>
      <x:c r="D52" t="n">
        <x:v>55</x:v>
      </x:c>
      <x:c r="E52" t="n">
        <x:v>55</x:v>
      </x:c>
      <x:c r="F52" t="n">
        <x:v>260</x:v>
      </x:c>
      <x:c r="G52" t="n">
        <x:v>286.5</x:v>
      </x:c>
      <x:c r="H52" t="n">
        <x:v>312.3</x:v>
      </x:c>
      <x:c r="I52" t="n">
        <x:v>286.2</x:v>
      </x:c>
      <x:c r="J52" t="str">
        <x:v>Enova årsfil; sammenlign kun innen samme kategori, år og metode</x:v>
      </x:c>
    </x:row>
    <x:row r="53" ht="22" customHeight="1">
      <x:c r="A53" t="n">
        <x:v>2015</x:v>
      </x:c>
      <x:c r="B53" t="str">
        <x:v>Lett Industri, Verksteder</x:v>
      </x:c>
      <x:c r="C53" t="str">
        <x:v>F</x:v>
      </x:c>
      <x:c r="D53" t="n">
        <x:v>60</x:v>
      </x:c>
      <x:c r="E53" t="n">
        <x:v>60</x:v>
      </x:c>
      <x:c r="F53" t="n">
        <x:v>321.9</x:v>
      </x:c>
      <x:c r="G53" t="n">
        <x:v>357.3</x:v>
      </x:c>
      <x:c r="H53" t="n">
        <x:v>392.1</x:v>
      </x:c>
      <x:c r="I53" t="n">
        <x:v>356.4</x:v>
      </x:c>
      <x:c r="J53" t="str">
        <x:v>Enova årsfil; sammenlign kun innen samme kategori, år og metode</x:v>
      </x:c>
    </x:row>
    <x:row r="54" ht="22" customHeight="1">
      <x:c r="A54" t="n">
        <x:v>2015</x:v>
      </x:c>
      <x:c r="B54" t="str">
        <x:v>Lett Industri, Verksteder</x:v>
      </x:c>
      <x:c r="C54" t="str">
        <x:v>G</x:v>
      </x:c>
      <x:c r="D54" t="n">
        <x:v>41</x:v>
      </x:c>
      <x:c r="E54" t="n">
        <x:v>41</x:v>
      </x:c>
      <x:c r="F54" t="n">
        <x:v>426.7</x:v>
      </x:c>
      <x:c r="G54" t="n">
        <x:v>465</x:v>
      </x:c>
      <x:c r="H54" t="n">
        <x:v>628.1</x:v>
      </x:c>
      <x:c r="I54" t="n">
        <x:v>508.5</x:v>
      </x:c>
      <x:c r="J54" t="str">
        <x:v>Enova årsfil; sammenlign kun innen samme kategori, år og metode</x:v>
      </x:c>
    </x:row>
    <x:row r="55" ht="22" customHeight="1">
      <x:c r="A55" t="n">
        <x:v>2015</x:v>
      </x:c>
      <x:c r="B55" t="str">
        <x:v>Skolebygg</x:v>
      </x:c>
      <x:c r="C55" t="str">
        <x:v>A</x:v>
      </x:c>
      <x:c r="D55" t="n">
        <x:v>9</x:v>
      </x:c>
      <x:c r="E55" t="n">
        <x:v>9</x:v>
      </x:c>
      <x:c r="F55" t="n">
        <x:v>52.3</x:v>
      </x:c>
      <x:c r="G55" t="n">
        <x:v>62.1</x:v>
      </x:c>
      <x:c r="H55" t="n">
        <x:v>68</x:v>
      </x:c>
      <x:c r="I55" t="n">
        <x:v>60.8</x:v>
      </x:c>
      <x:c r="J55" t="str">
        <x:v>Enova årsfil; sammenlign kun innen samme kategori, år og metode</x:v>
      </x:c>
    </x:row>
    <x:row r="56" ht="22" customHeight="1">
      <x:c r="A56" t="n">
        <x:v>2015</x:v>
      </x:c>
      <x:c r="B56" t="str">
        <x:v>Skolebygg</x:v>
      </x:c>
      <x:c r="C56" t="str">
        <x:v>B</x:v>
      </x:c>
      <x:c r="D56" t="n">
        <x:v>24</x:v>
      </x:c>
      <x:c r="E56" t="n">
        <x:v>24</x:v>
      </x:c>
      <x:c r="F56" t="n">
        <x:v>83.3</x:v>
      </x:c>
      <x:c r="G56" t="n">
        <x:v>91.7</x:v>
      </x:c>
      <x:c r="H56" t="n">
        <x:v>98.5</x:v>
      </x:c>
      <x:c r="I56" t="n">
        <x:v>91.7</x:v>
      </x:c>
      <x:c r="J56" t="str">
        <x:v>Enova årsfil; sammenlign kun innen samme kategori, år og metode</x:v>
      </x:c>
    </x:row>
    <x:row r="57" ht="22" customHeight="1">
      <x:c r="A57" t="n">
        <x:v>2015</x:v>
      </x:c>
      <x:c r="B57" t="str">
        <x:v>Skolebygg</x:v>
      </x:c>
      <x:c r="C57" t="str">
        <x:v>C</x:v>
      </x:c>
      <x:c r="D57" t="n">
        <x:v>32</x:v>
      </x:c>
      <x:c r="E57" t="n">
        <x:v>32</x:v>
      </x:c>
      <x:c r="F57" t="n">
        <x:v>110.1</x:v>
      </x:c>
      <x:c r="G57" t="n">
        <x:v>125.9</x:v>
      </x:c>
      <x:c r="H57" t="n">
        <x:v>134.6</x:v>
      </x:c>
      <x:c r="I57" t="n">
        <x:v>123.5</x:v>
      </x:c>
      <x:c r="J57" t="str">
        <x:v>Enova årsfil; sammenlign kun innen samme kategori, år og metode</x:v>
      </x:c>
    </x:row>
    <x:row r="58" ht="22" customHeight="1">
      <x:c r="A58" t="n">
        <x:v>2015</x:v>
      </x:c>
      <x:c r="B58" t="str">
        <x:v>Skolebygg</x:v>
      </x:c>
      <x:c r="C58" t="str">
        <x:v>D</x:v>
      </x:c>
      <x:c r="D58" t="n">
        <x:v>50</x:v>
      </x:c>
      <x:c r="E58" t="n">
        <x:v>50</x:v>
      </x:c>
      <x:c r="F58" t="n">
        <x:v>140.9</x:v>
      </x:c>
      <x:c r="G58" t="n">
        <x:v>155.4</x:v>
      </x:c>
      <x:c r="H58" t="n">
        <x:v>169.6</x:v>
      </x:c>
      <x:c r="I58" t="n">
        <x:v>155.4</x:v>
      </x:c>
      <x:c r="J58" t="str">
        <x:v>Enova årsfil; sammenlign kun innen samme kategori, år og metode</x:v>
      </x:c>
    </x:row>
    <x:row r="59" ht="22" customHeight="1">
      <x:c r="A59" t="n">
        <x:v>2015</x:v>
      </x:c>
      <x:c r="B59" t="str">
        <x:v>Skolebygg</x:v>
      </x:c>
      <x:c r="C59" t="str">
        <x:v>E</x:v>
      </x:c>
      <x:c r="D59" t="n">
        <x:v>64</x:v>
      </x:c>
      <x:c r="E59" t="n">
        <x:v>64</x:v>
      </x:c>
      <x:c r="F59" t="n">
        <x:v>180.6</x:v>
      </x:c>
      <x:c r="G59" t="n">
        <x:v>194.1</x:v>
      </x:c>
      <x:c r="H59" t="n">
        <x:v>217.6</x:v>
      </x:c>
      <x:c r="I59" t="n">
        <x:v>197.2</x:v>
      </x:c>
      <x:c r="J59" t="str">
        <x:v>Enova årsfil; sammenlign kun innen samme kategori, år og metode</x:v>
      </x:c>
    </x:row>
    <x:row r="60" ht="22" customHeight="1">
      <x:c r="A60" t="n">
        <x:v>2015</x:v>
      </x:c>
      <x:c r="B60" t="str">
        <x:v>Skolebygg</x:v>
      </x:c>
      <x:c r="C60" t="str">
        <x:v>F</x:v>
      </x:c>
      <x:c r="D60" t="n">
        <x:v>35</x:v>
      </x:c>
      <x:c r="E60" t="n">
        <x:v>35</x:v>
      </x:c>
      <x:c r="F60" t="n">
        <x:v>227.9</x:v>
      </x:c>
      <x:c r="G60" t="n">
        <x:v>251.7</x:v>
      </x:c>
      <x:c r="H60" t="n">
        <x:v>264.4</x:v>
      </x:c>
      <x:c r="I60" t="n">
        <x:v>247.1</x:v>
      </x:c>
      <x:c r="J60" t="str">
        <x:v>Enova årsfil; sammenlign kun innen samme kategori, år og metode</x:v>
      </x:c>
    </x:row>
    <x:row r="61" ht="22" customHeight="1">
      <x:c r="A61" t="n">
        <x:v>2015</x:v>
      </x:c>
      <x:c r="B61" t="str">
        <x:v>Skolebygg</x:v>
      </x:c>
      <x:c r="C61" t="str">
        <x:v>G</x:v>
      </x:c>
      <x:c r="D61" t="n">
        <x:v>26</x:v>
      </x:c>
      <x:c r="E61" t="n">
        <x:v>26</x:v>
      </x:c>
      <x:c r="F61" t="n">
        <x:v>286.7</x:v>
      </x:c>
      <x:c r="G61" t="n">
        <x:v>330.2</x:v>
      </x:c>
      <x:c r="H61" t="n">
        <x:v>491.2</x:v>
      </x:c>
      <x:c r="I61" t="n">
        <x:v>359.1</x:v>
      </x:c>
      <x:c r="J61" t="str">
        <x:v>Enova årsfil; sammenlign kun innen samme kategori, år og metode</x:v>
      </x:c>
    </x:row>
    <x:row r="62" ht="22" customHeight="1">
      <x:c r="A62" t="n">
        <x:v>2015</x:v>
      </x:c>
      <x:c r="B62" t="str">
        <x:v>Småhus</x:v>
      </x:c>
      <x:c r="C62" t="str">
        <x:v>A</x:v>
      </x:c>
      <x:c r="D62" t="n">
        <x:v>472</x:v>
      </x:c>
      <x:c r="E62" t="n">
        <x:v>472</x:v>
      </x:c>
      <x:c r="F62" t="n">
        <x:v>69.6</x:v>
      </x:c>
      <x:c r="G62" t="n">
        <x:v>85.1</x:v>
      </x:c>
      <x:c r="H62" t="n">
        <x:v>97.9</x:v>
      </x:c>
      <x:c r="I62" t="n">
        <x:v>84.3</x:v>
      </x:c>
      <x:c r="J62" t="str">
        <x:v>Enova årsfil; sammenlign kun innen samme kategori, år og metode</x:v>
      </x:c>
    </x:row>
    <x:row r="63" ht="22" customHeight="1">
      <x:c r="A63" t="n">
        <x:v>2015</x:v>
      </x:c>
      <x:c r="B63" t="str">
        <x:v>Småhus</x:v>
      </x:c>
      <x:c r="C63" t="str">
        <x:v>B</x:v>
      </x:c>
      <x:c r="D63" t="n">
        <x:v>3572</x:v>
      </x:c>
      <x:c r="E63" t="n">
        <x:v>3572</x:v>
      </x:c>
      <x:c r="F63" t="n">
        <x:v>104.3</x:v>
      </x:c>
      <x:c r="G63" t="n">
        <x:v>119.5</x:v>
      </x:c>
      <x:c r="H63" t="n">
        <x:v>129.8</x:v>
      </x:c>
      <x:c r="I63" t="n">
        <x:v>118.3</x:v>
      </x:c>
      <x:c r="J63" t="str">
        <x:v>Enova årsfil; sammenlign kun innen samme kategori, år og metode</x:v>
      </x:c>
    </x:row>
    <x:row r="64" ht="22" customHeight="1">
      <x:c r="A64" t="n">
        <x:v>2015</x:v>
      </x:c>
      <x:c r="B64" t="str">
        <x:v>Småhus</x:v>
      </x:c>
      <x:c r="C64" t="str">
        <x:v>C</x:v>
      </x:c>
      <x:c r="D64" t="n">
        <x:v>5502</x:v>
      </x:c>
      <x:c r="E64" t="n">
        <x:v>5502</x:v>
      </x:c>
      <x:c r="F64" t="n">
        <x:v>131.2</x:v>
      </x:c>
      <x:c r="G64" t="n">
        <x:v>149.8</x:v>
      </x:c>
      <x:c r="H64" t="n">
        <x:v>172</x:v>
      </x:c>
      <x:c r="I64" t="n">
        <x:v>150.8</x:v>
      </x:c>
      <x:c r="J64" t="str">
        <x:v>Enova årsfil; sammenlign kun innen samme kategori, år og metode</x:v>
      </x:c>
    </x:row>
    <x:row r="65" ht="22" customHeight="1">
      <x:c r="A65" t="n">
        <x:v>2015</x:v>
      </x:c>
      <x:c r="B65" t="str">
        <x:v>Småhus</x:v>
      </x:c>
      <x:c r="C65" t="str">
        <x:v>D</x:v>
      </x:c>
      <x:c r="D65" t="n">
        <x:v>6637</x:v>
      </x:c>
      <x:c r="E65" t="n">
        <x:v>6635</x:v>
      </x:c>
      <x:c r="F65" t="n">
        <x:v>166.7</x:v>
      </x:c>
      <x:c r="G65" t="n">
        <x:v>183.8</x:v>
      </x:c>
      <x:c r="H65" t="n">
        <x:v>214.4</x:v>
      </x:c>
      <x:c r="I65" t="n">
        <x:v>187.9</x:v>
      </x:c>
      <x:c r="J65" t="str">
        <x:v>Enova årsfil; sammenlign kun innen samme kategori, år og metode</x:v>
      </x:c>
    </x:row>
    <x:row r="66" ht="22" customHeight="1">
      <x:c r="A66" t="n">
        <x:v>2015</x:v>
      </x:c>
      <x:c r="B66" t="str">
        <x:v>Småhus</x:v>
      </x:c>
      <x:c r="C66" t="str">
        <x:v>E</x:v>
      </x:c>
      <x:c r="D66" t="n">
        <x:v>7171</x:v>
      </x:c>
      <x:c r="E66" t="n">
        <x:v>7171</x:v>
      </x:c>
      <x:c r="F66" t="n">
        <x:v>205.2</x:v>
      </x:c>
      <x:c r="G66" t="n">
        <x:v>225.2</x:v>
      </x:c>
      <x:c r="H66" t="n">
        <x:v>259.2</x:v>
      </x:c>
      <x:c r="I66" t="n">
        <x:v>229.9</x:v>
      </x:c>
      <x:c r="J66" t="str">
        <x:v>Enova årsfil; sammenlign kun innen samme kategori, år og metode</x:v>
      </x:c>
    </x:row>
    <x:row r="67" ht="22" customHeight="1">
      <x:c r="A67" t="n">
        <x:v>2015</x:v>
      </x:c>
      <x:c r="B67" t="str">
        <x:v>Småhus</x:v>
      </x:c>
      <x:c r="C67" t="str">
        <x:v>F</x:v>
      </x:c>
      <x:c r="D67" t="n">
        <x:v>9534</x:v>
      </x:c>
      <x:c r="E67" t="n">
        <x:v>9533</x:v>
      </x:c>
      <x:c r="F67" t="n">
        <x:v>249.5</x:v>
      </x:c>
      <x:c r="G67" t="n">
        <x:v>277.5</x:v>
      </x:c>
      <x:c r="H67" t="n">
        <x:v>333.1</x:v>
      </x:c>
      <x:c r="I67" t="n">
        <x:v>286.2</x:v>
      </x:c>
      <x:c r="J67" t="str">
        <x:v>Enova årsfil; sammenlign kun innen samme kategori, år og metode</x:v>
      </x:c>
    </x:row>
    <x:row r="68" ht="22" customHeight="1">
      <x:c r="A68" t="n">
        <x:v>2015</x:v>
      </x:c>
      <x:c r="B68" t="str">
        <x:v>Småhus</x:v>
      </x:c>
      <x:c r="C68" t="str">
        <x:v>G</x:v>
      </x:c>
      <x:c r="D68" t="n">
        <x:v>15055</x:v>
      </x:c>
      <x:c r="E68" t="n">
        <x:v>14963</x:v>
      </x:c>
      <x:c r="F68" t="n">
        <x:v>316</x:v>
      </x:c>
      <x:c r="G68" t="n">
        <x:v>397.4</x:v>
      </x:c>
      <x:c r="H68" t="n">
        <x:v>570.4</x:v>
      </x:c>
      <x:c r="I68" t="n">
        <x:v>427.3</x:v>
      </x:c>
      <x:c r="J68" t="str">
        <x:v>Enova årsfil; sammenlign kun innen samme kategori, år og metode</x:v>
      </x:c>
    </x:row>
    <x:row r="69" ht="22" customHeight="1">
      <x:c r="A69" t="n">
        <x:v>2015</x:v>
      </x:c>
      <x:c r="B69" t="str">
        <x:v>Sykehjem</x:v>
      </x:c>
      <x:c r="C69" t="str">
        <x:v>A</x:v>
      </x:c>
      <x:c r="D69" t="n">
        <x:v>5</x:v>
      </x:c>
      <x:c r="E69" t="n">
        <x:v>5</x:v>
      </x:c>
      <x:c r="F69" t="n">
        <x:v>129</x:v>
      </x:c>
      <x:c r="G69" t="n">
        <x:v>131.1</x:v>
      </x:c>
      <x:c r="H69" t="n">
        <x:v>139</x:v>
      </x:c>
      <x:c r="I69" t="n">
        <x:v>133</x:v>
      </x:c>
      <x:c r="J69" t="str">
        <x:v>Enova årsfil; sammenlign kun innen samme kategori, år og metode</x:v>
      </x:c>
    </x:row>
    <x:row r="70" ht="22" customHeight="1">
      <x:c r="A70" t="n">
        <x:v>2015</x:v>
      </x:c>
      <x:c r="B70" t="str">
        <x:v>Sykehjem</x:v>
      </x:c>
      <x:c r="C70" t="str">
        <x:v>B</x:v>
      </x:c>
      <x:c r="D70" t="n">
        <x:v>19</x:v>
      </x:c>
      <x:c r="E70" t="n">
        <x:v>19</x:v>
      </x:c>
      <x:c r="F70" t="n">
        <x:v>159.2</x:v>
      </x:c>
      <x:c r="G70" t="n">
        <x:v>168.5</x:v>
      </x:c>
      <x:c r="H70" t="n">
        <x:v>183.8</x:v>
      </x:c>
      <x:c r="I70" t="n">
        <x:v>168.3</x:v>
      </x:c>
      <x:c r="J70" t="str">
        <x:v>Enova årsfil; sammenlign kun innen samme kategori, år og metode</x:v>
      </x:c>
    </x:row>
    <x:row r="71" ht="22" customHeight="1">
      <x:c r="A71" t="n">
        <x:v>2015</x:v>
      </x:c>
      <x:c r="B71" t="str">
        <x:v>Sykehjem</x:v>
      </x:c>
      <x:c r="C71" t="str">
        <x:v>C</x:v>
      </x:c>
      <x:c r="D71" t="n">
        <x:v>22</x:v>
      </x:c>
      <x:c r="E71" t="n">
        <x:v>22</x:v>
      </x:c>
      <x:c r="F71" t="n">
        <x:v>198.6</x:v>
      </x:c>
      <x:c r="G71" t="n">
        <x:v>218</x:v>
      </x:c>
      <x:c r="H71" t="n">
        <x:v>235.2</x:v>
      </x:c>
      <x:c r="I71" t="n">
        <x:v>216.5</x:v>
      </x:c>
      <x:c r="J71" t="str">
        <x:v>Enova årsfil; sammenlign kun innen samme kategori, år og metode</x:v>
      </x:c>
    </x:row>
    <x:row r="72" ht="22" customHeight="1">
      <x:c r="A72" t="n">
        <x:v>2015</x:v>
      </x:c>
      <x:c r="B72" t="str">
        <x:v>Sykehjem</x:v>
      </x:c>
      <x:c r="C72" t="str">
        <x:v>D</x:v>
      </x:c>
      <x:c r="D72" t="n">
        <x:v>28</x:v>
      </x:c>
      <x:c r="E72" t="n">
        <x:v>28</x:v>
      </x:c>
      <x:c r="F72" t="n">
        <x:v>242.4</x:v>
      </x:c>
      <x:c r="G72" t="n">
        <x:v>267.4</x:v>
      </x:c>
      <x:c r="H72" t="n">
        <x:v>290.7</x:v>
      </x:c>
      <x:c r="I72" t="n">
        <x:v>267.5</x:v>
      </x:c>
      <x:c r="J72" t="str">
        <x:v>Enova årsfil; sammenlign kun innen samme kategori, år og metode</x:v>
      </x:c>
    </x:row>
    <x:row r="73" ht="22" customHeight="1">
      <x:c r="A73" t="n">
        <x:v>2015</x:v>
      </x:c>
      <x:c r="B73" t="str">
        <x:v>Sykehjem</x:v>
      </x:c>
      <x:c r="C73" t="str">
        <x:v>E</x:v>
      </x:c>
      <x:c r="D73" t="n">
        <x:v>21</x:v>
      </x:c>
      <x:c r="E73" t="n">
        <x:v>21</x:v>
      </x:c>
      <x:c r="F73" t="n">
        <x:v>301.8</x:v>
      </x:c>
      <x:c r="G73" t="n">
        <x:v>313.3</x:v>
      </x:c>
      <x:c r="H73" t="n">
        <x:v>340.6</x:v>
      </x:c>
      <x:c r="I73" t="n">
        <x:v>317.1</x:v>
      </x:c>
      <x:c r="J73" t="str">
        <x:v>Enova årsfil; sammenlign kun innen samme kategori, år og metode</x:v>
      </x:c>
    </x:row>
    <x:row r="74" ht="22" customHeight="1">
      <x:c r="A74" t="n">
        <x:v>2015</x:v>
      </x:c>
      <x:c r="B74" t="str">
        <x:v>Sykehjem</x:v>
      </x:c>
      <x:c r="C74" t="str">
        <x:v>F</x:v>
      </x:c>
      <x:c r="D74" t="n">
        <x:v>18</x:v>
      </x:c>
      <x:c r="E74" t="n">
        <x:v>18</x:v>
      </x:c>
      <x:c r="F74" t="n">
        <x:v>385.7</x:v>
      </x:c>
      <x:c r="G74" t="n">
        <x:v>409.9</x:v>
      </x:c>
      <x:c r="H74" t="n">
        <x:v>433.7</x:v>
      </x:c>
      <x:c r="I74" t="n">
        <x:v>411.2</x:v>
      </x:c>
      <x:c r="J74" t="str">
        <x:v>Enova årsfil; sammenlign kun innen samme kategori, år og metode</x:v>
      </x:c>
    </x:row>
    <x:row r="75" ht="22" customHeight="1">
      <x:c r="A75" t="n">
        <x:v>2015</x:v>
      </x:c>
      <x:c r="B75" t="str">
        <x:v>Sykehjem</x:v>
      </x:c>
      <x:c r="C75" t="str">
        <x:v>G</x:v>
      </x:c>
      <x:c r="D75" t="n">
        <x:v>10</x:v>
      </x:c>
      <x:c r="E75" t="n">
        <x:v>10</x:v>
      </x:c>
      <x:c r="F75" t="n">
        <x:v>451.7</x:v>
      </x:c>
      <x:c r="G75" t="n">
        <x:v>491.1</x:v>
      </x:c>
      <x:c r="H75" t="n">
        <x:v>607</x:v>
      </x:c>
      <x:c r="I75" t="n">
        <x:v>513.7</x:v>
      </x:c>
      <x:c r="J75" t="str">
        <x:v>Enova årsfil; sammenlign kun innen samme kategori, år og metode</x:v>
      </x:c>
    </x:row>
    <x:row r="76" ht="22" customHeight="1">
      <x:c r="A76" t="n">
        <x:v>2015</x:v>
      </x:c>
      <x:c r="B76" t="str">
        <x:v>Sykehus</x:v>
      </x:c>
      <x:c r="C76" t="str">
        <x:v>B</x:v>
      </x:c>
      <x:c r="D76" t="n">
        <x:v>1</x:v>
      </x:c>
      <x:c r="E76" t="n">
        <x:v>1</x:v>
      </x:c>
      <x:c r="F76" t="n">
        <x:v>205.5</x:v>
      </x:c>
      <x:c r="G76" t="n">
        <x:v>205.5</x:v>
      </x:c>
      <x:c r="H76" t="n">
        <x:v>205.5</x:v>
      </x:c>
      <x:c r="I76" t="n">
        <x:v>205.5</x:v>
      </x:c>
      <x:c r="J76" t="str">
        <x:v>Enova årsfil; sammenlign kun innen samme kategori, år og metode</x:v>
      </x:c>
    </x:row>
    <x:row r="77" ht="22" customHeight="1">
      <x:c r="A77" t="n">
        <x:v>2015</x:v>
      </x:c>
      <x:c r="B77" t="str">
        <x:v>Sykehus</x:v>
      </x:c>
      <x:c r="C77" t="str">
        <x:v>C</x:v>
      </x:c>
      <x:c r="D77" t="n">
        <x:v>2</x:v>
      </x:c>
      <x:c r="E77" t="n">
        <x:v>2</x:v>
      </x:c>
      <x:c r="F77" t="n">
        <x:v>237.2</x:v>
      </x:c>
      <x:c r="G77" t="n">
        <x:v>238.2</x:v>
      </x:c>
      <x:c r="H77" t="n">
        <x:v>239.1</x:v>
      </x:c>
      <x:c r="I77" t="n">
        <x:v>238.2</x:v>
      </x:c>
      <x:c r="J77" t="str">
        <x:v>Enova årsfil; sammenlign kun innen samme kategori, år og metode</x:v>
      </x:c>
    </x:row>
    <x:row r="78" ht="22" customHeight="1">
      <x:c r="A78" t="n">
        <x:v>2015</x:v>
      </x:c>
      <x:c r="B78" t="str">
        <x:v>Sykehus</x:v>
      </x:c>
      <x:c r="C78" t="str">
        <x:v>D</x:v>
      </x:c>
      <x:c r="D78" t="n">
        <x:v>5</x:v>
      </x:c>
      <x:c r="E78" t="n">
        <x:v>5</x:v>
      </x:c>
      <x:c r="F78" t="n">
        <x:v>331.6</x:v>
      </x:c>
      <x:c r="G78" t="n">
        <x:v>338.5</x:v>
      </x:c>
      <x:c r="H78" t="n">
        <x:v>343.3</x:v>
      </x:c>
      <x:c r="I78" t="n">
        <x:v>337.8</x:v>
      </x:c>
      <x:c r="J78" t="str">
        <x:v>Enova årsfil; sammenlign kun innen samme kategori, år og metode</x:v>
      </x:c>
    </x:row>
    <x:row r="79" ht="22" customHeight="1">
      <x:c r="A79" t="n">
        <x:v>2015</x:v>
      </x:c>
      <x:c r="B79" t="str">
        <x:v>Sykehus</x:v>
      </x:c>
      <x:c r="C79" t="str">
        <x:v>E</x:v>
      </x:c>
      <x:c r="D79" t="n">
        <x:v>1</x:v>
      </x:c>
      <x:c r="E79" t="n">
        <x:v>1</x:v>
      </x:c>
      <x:c r="F79" t="n">
        <x:v>366.3</x:v>
      </x:c>
      <x:c r="G79" t="n">
        <x:v>366.3</x:v>
      </x:c>
      <x:c r="H79" t="n">
        <x:v>366.3</x:v>
      </x:c>
      <x:c r="I79" t="n">
        <x:v>366.3</x:v>
      </x:c>
      <x:c r="J79" t="str">
        <x:v>Enova årsfil; sammenlign kun innen samme kategori, år og metode</x:v>
      </x:c>
    </x:row>
    <x:row r="80" ht="22" customHeight="1">
      <x:c r="A80" t="n">
        <x:v>2015</x:v>
      </x:c>
      <x:c r="B80" t="str">
        <x:v>Sykehus</x:v>
      </x:c>
      <x:c r="C80" t="str">
        <x:v>F</x:v>
      </x:c>
      <x:c r="D80" t="n">
        <x:v>4</x:v>
      </x:c>
      <x:c r="E80" t="n">
        <x:v>4</x:v>
      </x:c>
      <x:c r="F80" t="n">
        <x:v>434.4</x:v>
      </x:c>
      <x:c r="G80" t="n">
        <x:v>449.4</x:v>
      </x:c>
      <x:c r="H80" t="n">
        <x:v>452</x:v>
      </x:c>
      <x:c r="I80" t="n">
        <x:v>445</x:v>
      </x:c>
      <x:c r="J80" t="str">
        <x:v>Enova årsfil; sammenlign kun innen samme kategori, år og metode</x:v>
      </x:c>
    </x:row>
    <x:row r="81" ht="22" customHeight="1">
      <x:c r="A81" t="n">
        <x:v>2015</x:v>
      </x:c>
      <x:c r="B81" t="str">
        <x:v>Universitets- Og Høgskolebygg</x:v>
      </x:c>
      <x:c r="C81" t="str">
        <x:v>A</x:v>
      </x:c>
      <x:c r="D81" t="n">
        <x:v>2</x:v>
      </x:c>
      <x:c r="E81" t="n">
        <x:v>2</x:v>
      </x:c>
      <x:c r="F81" t="n">
        <x:v>73.5</x:v>
      </x:c>
      <x:c r="G81" t="n">
        <x:v>76.1</x:v>
      </x:c>
      <x:c r="H81" t="n">
        <x:v>78.7</x:v>
      </x:c>
      <x:c r="I81" t="n">
        <x:v>76.1</x:v>
      </x:c>
      <x:c r="J81" t="str">
        <x:v>Enova årsfil; sammenlign kun innen samme kategori, år og metode</x:v>
      </x:c>
    </x:row>
    <x:row r="82" ht="22" customHeight="1">
      <x:c r="A82" t="n">
        <x:v>2015</x:v>
      </x:c>
      <x:c r="B82" t="str">
        <x:v>Universitets- Og Høgskolebygg</x:v>
      </x:c>
      <x:c r="C82" t="str">
        <x:v>C</x:v>
      </x:c>
      <x:c r="D82" t="n">
        <x:v>4</x:v>
      </x:c>
      <x:c r="E82" t="n">
        <x:v>4</x:v>
      </x:c>
      <x:c r="F82" t="n">
        <x:v>129.6</x:v>
      </x:c>
      <x:c r="G82" t="n">
        <x:v>147.3</x:v>
      </x:c>
      <x:c r="H82" t="n">
        <x:v>158.9</x:v>
      </x:c>
      <x:c r="I82" t="n">
        <x:v>145.1</x:v>
      </x:c>
      <x:c r="J82" t="str">
        <x:v>Enova årsfil; sammenlign kun innen samme kategori, år og metode</x:v>
      </x:c>
    </x:row>
    <x:row r="83" ht="22" customHeight="1">
      <x:c r="A83" t="n">
        <x:v>2015</x:v>
      </x:c>
      <x:c r="B83" t="str">
        <x:v>Universitets- Og Høgskolebygg</x:v>
      </x:c>
      <x:c r="C83" t="str">
        <x:v>D</x:v>
      </x:c>
      <x:c r="D83" t="n">
        <x:v>1</x:v>
      </x:c>
      <x:c r="E83" t="n">
        <x:v>1</x:v>
      </x:c>
      <x:c r="F83" t="n">
        <x:v>163</x:v>
      </x:c>
      <x:c r="G83" t="n">
        <x:v>163</x:v>
      </x:c>
      <x:c r="H83" t="n">
        <x:v>163</x:v>
      </x:c>
      <x:c r="I83" t="n">
        <x:v>163</x:v>
      </x:c>
      <x:c r="J83" t="str">
        <x:v>Enova årsfil; sammenlign kun innen samme kategori, år og metode</x:v>
      </x:c>
    </x:row>
    <x:row r="84" ht="22" customHeight="1">
      <x:c r="A84" t="n">
        <x:v>2015</x:v>
      </x:c>
      <x:c r="B84" t="str">
        <x:v>Universitets- Og Høgskolebygg</x:v>
      </x:c>
      <x:c r="C84" t="str">
        <x:v>F</x:v>
      </x:c>
      <x:c r="D84" t="n">
        <x:v>2</x:v>
      </x:c>
      <x:c r="E84" t="n">
        <x:v>2</x:v>
      </x:c>
      <x:c r="F84" t="n">
        <x:v>251.7</x:v>
      </x:c>
      <x:c r="G84" t="n">
        <x:v>266.2</x:v>
      </x:c>
      <x:c r="H84" t="n">
        <x:v>280.9</x:v>
      </x:c>
      <x:c r="I84" t="n">
        <x:v>266.2</x:v>
      </x:c>
      <x:c r="J84" t="str">
        <x:v>Enova årsfil; sammenlign kun innen samme kategori, år og metode</x:v>
      </x:c>
    </x:row>
    <x:row r="85" ht="22" customHeight="1">
      <x:c r="A85" t="n">
        <x:v>2016</x:v>
      </x:c>
      <x:c r="B85" t="str">
        <x:v>Barnehager</x:v>
      </x:c>
      <x:c r="C85" t="str">
        <x:v>A</x:v>
      </x:c>
      <x:c r="D85" t="n">
        <x:v>9</x:v>
      </x:c>
      <x:c r="E85" t="n">
        <x:v>9</x:v>
      </x:c>
      <x:c r="F85" t="n">
        <x:v>59.4</x:v>
      </x:c>
      <x:c r="G85" t="n">
        <x:v>72.8</x:v>
      </x:c>
      <x:c r="H85" t="n">
        <x:v>80.6</x:v>
      </x:c>
      <x:c r="I85" t="n">
        <x:v>71.1</x:v>
      </x:c>
      <x:c r="J85" t="str">
        <x:v>Enova årsfil; sammenlign kun innen samme kategori, år og metode</x:v>
      </x:c>
    </x:row>
    <x:row r="86" ht="22" customHeight="1">
      <x:c r="A86" t="n">
        <x:v>2016</x:v>
      </x:c>
      <x:c r="B86" t="str">
        <x:v>Barnehager</x:v>
      </x:c>
      <x:c r="C86" t="str">
        <x:v>B</x:v>
      </x:c>
      <x:c r="D86" t="n">
        <x:v>17</x:v>
      </x:c>
      <x:c r="E86" t="n">
        <x:v>17</x:v>
      </x:c>
      <x:c r="F86" t="n">
        <x:v>95.2</x:v>
      </x:c>
      <x:c r="G86" t="n">
        <x:v>101.3</x:v>
      </x:c>
      <x:c r="H86" t="n">
        <x:v>109</x:v>
      </x:c>
      <x:c r="I86" t="n">
        <x:v>101.5</x:v>
      </x:c>
      <x:c r="J86" t="str">
        <x:v>Enova årsfil; sammenlign kun innen samme kategori, år og metode</x:v>
      </x:c>
    </x:row>
    <x:row r="87" ht="22" customHeight="1">
      <x:c r="A87" t="n">
        <x:v>2016</x:v>
      </x:c>
      <x:c r="B87" t="str">
        <x:v>Barnehager</x:v>
      </x:c>
      <x:c r="C87" t="str">
        <x:v>C</x:v>
      </x:c>
      <x:c r="D87" t="n">
        <x:v>25</x:v>
      </x:c>
      <x:c r="E87" t="n">
        <x:v>25</x:v>
      </x:c>
      <x:c r="F87" t="n">
        <x:v>118.9</x:v>
      </x:c>
      <x:c r="G87" t="n">
        <x:v>126.7</x:v>
      </x:c>
      <x:c r="H87" t="n">
        <x:v>140.6</x:v>
      </x:c>
      <x:c r="I87" t="n">
        <x:v>129.1</x:v>
      </x:c>
      <x:c r="J87" t="str">
        <x:v>Enova årsfil; sammenlign kun innen samme kategori, år og metode</x:v>
      </x:c>
    </x:row>
    <x:row r="88" ht="22" customHeight="1">
      <x:c r="A88" t="n">
        <x:v>2016</x:v>
      </x:c>
      <x:c r="B88" t="str">
        <x:v>Barnehager</x:v>
      </x:c>
      <x:c r="C88" t="str">
        <x:v>D</x:v>
      </x:c>
      <x:c r="D88" t="n">
        <x:v>50</x:v>
      </x:c>
      <x:c r="E88" t="n">
        <x:v>50</x:v>
      </x:c>
      <x:c r="F88" t="n">
        <x:v>149.5</x:v>
      </x:c>
      <x:c r="G88" t="n">
        <x:v>163.1</x:v>
      </x:c>
      <x:c r="H88" t="n">
        <x:v>178</x:v>
      </x:c>
      <x:c r="I88" t="n">
        <x:v>163</x:v>
      </x:c>
      <x:c r="J88" t="str">
        <x:v>Enova årsfil; sammenlign kun innen samme kategori, år og metode</x:v>
      </x:c>
    </x:row>
    <x:row r="89" ht="22" customHeight="1">
      <x:c r="A89" t="n">
        <x:v>2016</x:v>
      </x:c>
      <x:c r="B89" t="str">
        <x:v>Barnehager</x:v>
      </x:c>
      <x:c r="C89" t="str">
        <x:v>E</x:v>
      </x:c>
      <x:c r="D89" t="n">
        <x:v>28</x:v>
      </x:c>
      <x:c r="E89" t="n">
        <x:v>28</x:v>
      </x:c>
      <x:c r="F89" t="n">
        <x:v>183.6</x:v>
      </x:c>
      <x:c r="G89" t="n">
        <x:v>198.5</x:v>
      </x:c>
      <x:c r="H89" t="n">
        <x:v>218.2</x:v>
      </x:c>
      <x:c r="I89" t="n">
        <x:v>199.8</x:v>
      </x:c>
      <x:c r="J89" t="str">
        <x:v>Enova årsfil; sammenlign kun innen samme kategori, år og metode</x:v>
      </x:c>
    </x:row>
    <x:row r="90" ht="22" customHeight="1">
      <x:c r="A90" t="n">
        <x:v>2016</x:v>
      </x:c>
      <x:c r="B90" t="str">
        <x:v>Barnehager</x:v>
      </x:c>
      <x:c r="C90" t="str">
        <x:v>F</x:v>
      </x:c>
      <x:c r="D90" t="n">
        <x:v>12</x:v>
      </x:c>
      <x:c r="E90" t="n">
        <x:v>12</x:v>
      </x:c>
      <x:c r="F90" t="n">
        <x:v>227.9</x:v>
      </x:c>
      <x:c r="G90" t="n">
        <x:v>240.7</x:v>
      </x:c>
      <x:c r="H90" t="n">
        <x:v>258.4</x:v>
      </x:c>
      <x:c r="I90" t="n">
        <x:v>241.5</x:v>
      </x:c>
      <x:c r="J90" t="str">
        <x:v>Enova årsfil; sammenlign kun innen samme kategori, år og metode</x:v>
      </x:c>
    </x:row>
    <x:row r="91" ht="22" customHeight="1">
      <x:c r="A91" t="n">
        <x:v>2016</x:v>
      </x:c>
      <x:c r="B91" t="str">
        <x:v>Barnehager</x:v>
      </x:c>
      <x:c r="C91" t="str">
        <x:v>G</x:v>
      </x:c>
      <x:c r="D91" t="n">
        <x:v>4</x:v>
      </x:c>
      <x:c r="E91" t="n">
        <x:v>4</x:v>
      </x:c>
      <x:c r="F91" t="n">
        <x:v>281</x:v>
      </x:c>
      <x:c r="G91" t="n">
        <x:v>282.7</x:v>
      </x:c>
      <x:c r="H91" t="n">
        <x:v>299.7</x:v>
      </x:c>
      <x:c r="I91" t="n">
        <x:v>288.2</x:v>
      </x:c>
      <x:c r="J91" t="str">
        <x:v>Enova årsfil; sammenlign kun innen samme kategori, år og metode</x:v>
      </x:c>
    </x:row>
    <x:row r="92" ht="22" customHeight="1">
      <x:c r="A92" t="n">
        <x:v>2016</x:v>
      </x:c>
      <x:c r="B92" t="str">
        <x:v>Boligblokker</x:v>
      </x:c>
      <x:c r="C92" t="str">
        <x:v>A</x:v>
      </x:c>
      <x:c r="D92" t="n">
        <x:v>2151</x:v>
      </x:c>
      <x:c r="E92" t="n">
        <x:v>2151</x:v>
      </x:c>
      <x:c r="F92" t="n">
        <x:v>65.6</x:v>
      </x:c>
      <x:c r="G92" t="n">
        <x:v>82.6</x:v>
      </x:c>
      <x:c r="H92" t="n">
        <x:v>92.4</x:v>
      </x:c>
      <x:c r="I92" t="n">
        <x:v>80.8</x:v>
      </x:c>
      <x:c r="J92" t="str">
        <x:v>Enova årsfil; sammenlign kun innen samme kategori, år og metode</x:v>
      </x:c>
    </x:row>
    <x:row r="93" ht="22" customHeight="1">
      <x:c r="A93" t="n">
        <x:v>2016</x:v>
      </x:c>
      <x:c r="B93" t="str">
        <x:v>Boligblokker</x:v>
      </x:c>
      <x:c r="C93" t="str">
        <x:v>B</x:v>
      </x:c>
      <x:c r="D93" t="n">
        <x:v>2796</x:v>
      </x:c>
      <x:c r="E93" t="n">
        <x:v>2796</x:v>
      </x:c>
      <x:c r="F93" t="n">
        <x:v>94.6</x:v>
      </x:c>
      <x:c r="G93" t="n">
        <x:v>102.1</x:v>
      </x:c>
      <x:c r="H93" t="n">
        <x:v>112</x:v>
      </x:c>
      <x:c r="I93" t="n">
        <x:v>102.8</x:v>
      </x:c>
      <x:c r="J93" t="str">
        <x:v>Enova årsfil; sammenlign kun innen samme kategori, år og metode</x:v>
      </x:c>
    </x:row>
    <x:row r="94" ht="22" customHeight="1">
      <x:c r="A94" t="n">
        <x:v>2016</x:v>
      </x:c>
      <x:c r="B94" t="str">
        <x:v>Boligblokker</x:v>
      </x:c>
      <x:c r="C94" t="str">
        <x:v>C</x:v>
      </x:c>
      <x:c r="D94" t="n">
        <x:v>4917</x:v>
      </x:c>
      <x:c r="E94" t="n">
        <x:v>4917</x:v>
      </x:c>
      <x:c r="F94" t="n">
        <x:v>110.2</x:v>
      </x:c>
      <x:c r="G94" t="n">
        <x:v>122.6</x:v>
      </x:c>
      <x:c r="H94" t="n">
        <x:v>136.6</x:v>
      </x:c>
      <x:c r="I94" t="n">
        <x:v>123.2</x:v>
      </x:c>
      <x:c r="J94" t="str">
        <x:v>Enova årsfil; sammenlign kun innen samme kategori, år og metode</x:v>
      </x:c>
    </x:row>
    <x:row r="95" ht="22" customHeight="1">
      <x:c r="A95" t="n">
        <x:v>2016</x:v>
      </x:c>
      <x:c r="B95" t="str">
        <x:v>Boligblokker</x:v>
      </x:c>
      <x:c r="C95" t="str">
        <x:v>D</x:v>
      </x:c>
      <x:c r="D95" t="n">
        <x:v>6584</x:v>
      </x:c>
      <x:c r="E95" t="n">
        <x:v>6584</x:v>
      </x:c>
      <x:c r="F95" t="n">
        <x:v>133.6</x:v>
      </x:c>
      <x:c r="G95" t="n">
        <x:v>150.1</x:v>
      </x:c>
      <x:c r="H95" t="n">
        <x:v>169.6</x:v>
      </x:c>
      <x:c r="I95" t="n">
        <x:v>151.5</x:v>
      </x:c>
      <x:c r="J95" t="str">
        <x:v>Enova årsfil; sammenlign kun innen samme kategori, år og metode</x:v>
      </x:c>
    </x:row>
    <x:row r="96" ht="22" customHeight="1">
      <x:c r="A96" t="n">
        <x:v>2016</x:v>
      </x:c>
      <x:c r="B96" t="str">
        <x:v>Boligblokker</x:v>
      </x:c>
      <x:c r="C96" t="str">
        <x:v>E</x:v>
      </x:c>
      <x:c r="D96" t="n">
        <x:v>5734</x:v>
      </x:c>
      <x:c r="E96" t="n">
        <x:v>5734</x:v>
      </x:c>
      <x:c r="F96" t="n">
        <x:v>167</x:v>
      </x:c>
      <x:c r="G96" t="n">
        <x:v>184.2</x:v>
      </x:c>
      <x:c r="H96" t="n">
        <x:v>210.4</x:v>
      </x:c>
      <x:c r="I96" t="n">
        <x:v>187.6</x:v>
      </x:c>
      <x:c r="J96" t="str">
        <x:v>Enova årsfil; sammenlign kun innen samme kategori, år og metode</x:v>
      </x:c>
    </x:row>
    <x:row r="97" ht="22" customHeight="1">
      <x:c r="A97" t="n">
        <x:v>2016</x:v>
      </x:c>
      <x:c r="B97" t="str">
        <x:v>Boligblokker</x:v>
      </x:c>
      <x:c r="C97" t="str">
        <x:v>F</x:v>
      </x:c>
      <x:c r="D97" t="n">
        <x:v>6550</x:v>
      </x:c>
      <x:c r="E97" t="n">
        <x:v>6550</x:v>
      </x:c>
      <x:c r="F97" t="n">
        <x:v>204.5</x:v>
      </x:c>
      <x:c r="G97" t="n">
        <x:v>232.1</x:v>
      </x:c>
      <x:c r="H97" t="n">
        <x:v>273.3</x:v>
      </x:c>
      <x:c r="I97" t="n">
        <x:v>236.5</x:v>
      </x:c>
      <x:c r="J97" t="str">
        <x:v>Enova årsfil; sammenlign kun innen samme kategori, år og metode</x:v>
      </x:c>
    </x:row>
    <x:row r="98" ht="22" customHeight="1">
      <x:c r="A98" t="n">
        <x:v>2016</x:v>
      </x:c>
      <x:c r="B98" t="str">
        <x:v>Boligblokker</x:v>
      </x:c>
      <x:c r="C98" t="str">
        <x:v>G</x:v>
      </x:c>
      <x:c r="D98" t="n">
        <x:v>8379</x:v>
      </x:c>
      <x:c r="E98" t="n">
        <x:v>8349</x:v>
      </x:c>
      <x:c r="F98" t="n">
        <x:v>265.5</x:v>
      </x:c>
      <x:c r="G98" t="n">
        <x:v>333.3</x:v>
      </x:c>
      <x:c r="H98" t="n">
        <x:v>486.1</x:v>
      </x:c>
      <x:c r="I98" t="n">
        <x:v>361.9</x:v>
      </x:c>
      <x:c r="J98" t="str">
        <x:v>Enova årsfil; sammenlign kun innen samme kategori, år og metode</x:v>
      </x:c>
    </x:row>
    <x:row r="99" ht="22" customHeight="1">
      <x:c r="A99" t="n">
        <x:v>2016</x:v>
      </x:c>
      <x:c r="B99" t="str">
        <x:v>Forretningsbygg</x:v>
      </x:c>
      <x:c r="C99" t="str">
        <x:v>A</x:v>
      </x:c>
      <x:c r="D99" t="n">
        <x:v>4</x:v>
      </x:c>
      <x:c r="E99" t="n">
        <x:v>4</x:v>
      </x:c>
      <x:c r="F99" t="n">
        <x:v>87.3</x:v>
      </x:c>
      <x:c r="G99" t="n">
        <x:v>106.6</x:v>
      </x:c>
      <x:c r="H99" t="n">
        <x:v>113.7</x:v>
      </x:c>
      <x:c r="I99" t="n">
        <x:v>102.2</x:v>
      </x:c>
      <x:c r="J99" t="str">
        <x:v>Enova årsfil; sammenlign kun innen samme kategori, år og metode</x:v>
      </x:c>
    </x:row>
    <x:row r="100" ht="22" customHeight="1">
      <x:c r="A100" t="n">
        <x:v>2016</x:v>
      </x:c>
      <x:c r="B100" t="str">
        <x:v>Forretningsbygg</x:v>
      </x:c>
      <x:c r="C100" t="str">
        <x:v>B</x:v>
      </x:c>
      <x:c r="D100" t="n">
        <x:v>47</x:v>
      </x:c>
      <x:c r="E100" t="n">
        <x:v>47</x:v>
      </x:c>
      <x:c r="F100" t="n">
        <x:v>125.8</x:v>
      </x:c>
      <x:c r="G100" t="n">
        <x:v>141</x:v>
      </x:c>
      <x:c r="H100" t="n">
        <x:v>153.7</x:v>
      </x:c>
      <x:c r="I100" t="n">
        <x:v>140.6</x:v>
      </x:c>
      <x:c r="J100" t="str">
        <x:v>Enova årsfil; sammenlign kun innen samme kategori, år og metode</x:v>
      </x:c>
    </x:row>
    <x:row r="101" ht="22" customHeight="1">
      <x:c r="A101" t="n">
        <x:v>2016</x:v>
      </x:c>
      <x:c r="B101" t="str">
        <x:v>Forretningsbygg</x:v>
      </x:c>
      <x:c r="C101" t="str">
        <x:v>C</x:v>
      </x:c>
      <x:c r="D101" t="n">
        <x:v>51</x:v>
      </x:c>
      <x:c r="E101" t="n">
        <x:v>51</x:v>
      </x:c>
      <x:c r="F101" t="n">
        <x:v>163.6</x:v>
      </x:c>
      <x:c r="G101" t="n">
        <x:v>177.8</x:v>
      </x:c>
      <x:c r="H101" t="n">
        <x:v>202.6</x:v>
      </x:c>
      <x:c r="I101" t="n">
        <x:v>180.1</x:v>
      </x:c>
      <x:c r="J101" t="str">
        <x:v>Enova årsfil; sammenlign kun innen samme kategori, år og metode</x:v>
      </x:c>
    </x:row>
    <x:row r="102" ht="22" customHeight="1">
      <x:c r="A102" t="n">
        <x:v>2016</x:v>
      </x:c>
      <x:c r="B102" t="str">
        <x:v>Forretningsbygg</x:v>
      </x:c>
      <x:c r="C102" t="str">
        <x:v>D</x:v>
      </x:c>
      <x:c r="D102" t="n">
        <x:v>37</x:v>
      </x:c>
      <x:c r="E102" t="n">
        <x:v>37</x:v>
      </x:c>
      <x:c r="F102" t="n">
        <x:v>213.3</x:v>
      </x:c>
      <x:c r="G102" t="n">
        <x:v>229.9</x:v>
      </x:c>
      <x:c r="H102" t="n">
        <x:v>251.8</x:v>
      </x:c>
      <x:c r="I102" t="n">
        <x:v>231.5</x:v>
      </x:c>
      <x:c r="J102" t="str">
        <x:v>Enova årsfil; sammenlign kun innen samme kategori, år og metode</x:v>
      </x:c>
    </x:row>
    <x:row r="103" ht="22" customHeight="1">
      <x:c r="A103" t="n">
        <x:v>2016</x:v>
      </x:c>
      <x:c r="B103" t="str">
        <x:v>Forretningsbygg</x:v>
      </x:c>
      <x:c r="C103" t="str">
        <x:v>E</x:v>
      </x:c>
      <x:c r="D103" t="n">
        <x:v>40</x:v>
      </x:c>
      <x:c r="E103" t="n">
        <x:v>40</x:v>
      </x:c>
      <x:c r="F103" t="n">
        <x:v>263</x:v>
      </x:c>
      <x:c r="G103" t="n">
        <x:v>281.1</x:v>
      </x:c>
      <x:c r="H103" t="n">
        <x:v>296.6</x:v>
      </x:c>
      <x:c r="I103" t="n">
        <x:v>280.3</x:v>
      </x:c>
      <x:c r="J103" t="str">
        <x:v>Enova årsfil; sammenlign kun innen samme kategori, år og metode</x:v>
      </x:c>
    </x:row>
    <x:row r="104" ht="22" customHeight="1">
      <x:c r="A104" t="n">
        <x:v>2016</x:v>
      </x:c>
      <x:c r="B104" t="str">
        <x:v>Forretningsbygg</x:v>
      </x:c>
      <x:c r="C104" t="str">
        <x:v>F</x:v>
      </x:c>
      <x:c r="D104" t="n">
        <x:v>34</x:v>
      </x:c>
      <x:c r="E104" t="n">
        <x:v>34</x:v>
      </x:c>
      <x:c r="F104" t="n">
        <x:v>306.5</x:v>
      </x:c>
      <x:c r="G104" t="n">
        <x:v>342.1</x:v>
      </x:c>
      <x:c r="H104" t="n">
        <x:v>372.3</x:v>
      </x:c>
      <x:c r="I104" t="n">
        <x:v>339.2</x:v>
      </x:c>
      <x:c r="J104" t="str">
        <x:v>Enova årsfil; sammenlign kun innen samme kategori, år og metode</x:v>
      </x:c>
    </x:row>
    <x:row r="105" ht="22" customHeight="1">
      <x:c r="A105" t="n">
        <x:v>2016</x:v>
      </x:c>
      <x:c r="B105" t="str">
        <x:v>Forretningsbygg</x:v>
      </x:c>
      <x:c r="C105" t="str">
        <x:v>G</x:v>
      </x:c>
      <x:c r="D105" t="n">
        <x:v>45</x:v>
      </x:c>
      <x:c r="E105" t="n">
        <x:v>45</x:v>
      </x:c>
      <x:c r="F105" t="n">
        <x:v>394.7</x:v>
      </x:c>
      <x:c r="G105" t="n">
        <x:v>476.5</x:v>
      </x:c>
      <x:c r="H105" t="n">
        <x:v>616.3</x:v>
      </x:c>
      <x:c r="I105" t="n">
        <x:v>495.8</x:v>
      </x:c>
      <x:c r="J105" t="str">
        <x:v>Enova årsfil; sammenlign kun innen samme kategori, år og metode</x:v>
      </x:c>
    </x:row>
    <x:row r="106" ht="22" customHeight="1">
      <x:c r="A106" t="n">
        <x:v>2016</x:v>
      </x:c>
      <x:c r="B106" t="str">
        <x:v>Hoteller</x:v>
      </x:c>
      <x:c r="C106" t="str">
        <x:v>A</x:v>
      </x:c>
      <x:c r="D106" t="n">
        <x:v>4</x:v>
      </x:c>
      <x:c r="E106" t="n">
        <x:v>4</x:v>
      </x:c>
      <x:c r="F106" t="n">
        <x:v>109.3</x:v>
      </x:c>
      <x:c r="G106" t="n">
        <x:v>121.2</x:v>
      </x:c>
      <x:c r="H106" t="n">
        <x:v>132.9</x:v>
      </x:c>
      <x:c r="I106" t="n">
        <x:v>121.2</x:v>
      </x:c>
      <x:c r="J106" t="str">
        <x:v>Enova årsfil; sammenlign kun innen samme kategori, år og metode</x:v>
      </x:c>
    </x:row>
    <x:row r="107" ht="22" customHeight="1">
      <x:c r="A107" t="n">
        <x:v>2016</x:v>
      </x:c>
      <x:c r="B107" t="str">
        <x:v>Hoteller</x:v>
      </x:c>
      <x:c r="C107" t="str">
        <x:v>B</x:v>
      </x:c>
      <x:c r="D107" t="n">
        <x:v>5</x:v>
      </x:c>
      <x:c r="E107" t="n">
        <x:v>5</x:v>
      </x:c>
      <x:c r="F107" t="n">
        <x:v>158.6</x:v>
      </x:c>
      <x:c r="G107" t="n">
        <x:v>159.9</x:v>
      </x:c>
      <x:c r="H107" t="n">
        <x:v>181.1</x:v>
      </x:c>
      <x:c r="I107" t="n">
        <x:v>167.1</x:v>
      </x:c>
      <x:c r="J107" t="str">
        <x:v>Enova årsfil; sammenlign kun innen samme kategori, år og metode</x:v>
      </x:c>
    </x:row>
    <x:row r="108" ht="22" customHeight="1">
      <x:c r="A108" t="n">
        <x:v>2016</x:v>
      </x:c>
      <x:c r="B108" t="str">
        <x:v>Hoteller</x:v>
      </x:c>
      <x:c r="C108" t="str">
        <x:v>C</x:v>
      </x:c>
      <x:c r="D108" t="n">
        <x:v>5</x:v>
      </x:c>
      <x:c r="E108" t="n">
        <x:v>5</x:v>
      </x:c>
      <x:c r="F108" t="n">
        <x:v>218.8</x:v>
      </x:c>
      <x:c r="G108" t="n">
        <x:v>224.1</x:v>
      </x:c>
      <x:c r="H108" t="n">
        <x:v>231.8</x:v>
      </x:c>
      <x:c r="I108" t="n">
        <x:v>225</x:v>
      </x:c>
      <x:c r="J108" t="str">
        <x:v>Enova årsfil; sammenlign kun innen samme kategori, år og metode</x:v>
      </x:c>
    </x:row>
    <x:row r="109" ht="22" customHeight="1">
      <x:c r="A109" t="n">
        <x:v>2016</x:v>
      </x:c>
      <x:c r="B109" t="str">
        <x:v>Hoteller</x:v>
      </x:c>
      <x:c r="C109" t="str">
        <x:v>D</x:v>
      </x:c>
      <x:c r="D109" t="n">
        <x:v>15</x:v>
      </x:c>
      <x:c r="E109" t="n">
        <x:v>15</x:v>
      </x:c>
      <x:c r="F109" t="n">
        <x:v>245.4</x:v>
      </x:c>
      <x:c r="G109" t="n">
        <x:v>262.7</x:v>
      </x:c>
      <x:c r="H109" t="n">
        <x:v>276.4</x:v>
      </x:c>
      <x:c r="I109" t="n">
        <x:v>261.9</x:v>
      </x:c>
      <x:c r="J109" t="str">
        <x:v>Enova årsfil; sammenlign kun innen samme kategori, år og metode</x:v>
      </x:c>
    </x:row>
    <x:row r="110" ht="22" customHeight="1">
      <x:c r="A110" t="n">
        <x:v>2016</x:v>
      </x:c>
      <x:c r="B110" t="str">
        <x:v>Hoteller</x:v>
      </x:c>
      <x:c r="C110" t="str">
        <x:v>E</x:v>
      </x:c>
      <x:c r="D110" t="n">
        <x:v>8</x:v>
      </x:c>
      <x:c r="E110" t="n">
        <x:v>8</x:v>
      </x:c>
      <x:c r="F110" t="n">
        <x:v>294.3</x:v>
      </x:c>
      <x:c r="G110" t="n">
        <x:v>308.4</x:v>
      </x:c>
      <x:c r="H110" t="n">
        <x:v>327.1</x:v>
      </x:c>
      <x:c r="I110" t="n">
        <x:v>310.6</x:v>
      </x:c>
      <x:c r="J110" t="str">
        <x:v>Enova årsfil; sammenlign kun innen samme kategori, år og metode</x:v>
      </x:c>
    </x:row>
    <x:row r="111" ht="22" customHeight="1">
      <x:c r="A111" t="n">
        <x:v>2016</x:v>
      </x:c>
      <x:c r="B111" t="str">
        <x:v>Hoteller</x:v>
      </x:c>
      <x:c r="C111" t="str">
        <x:v>F</x:v>
      </x:c>
      <x:c r="D111" t="n">
        <x:v>9</x:v>
      </x:c>
      <x:c r="E111" t="n">
        <x:v>9</x:v>
      </x:c>
      <x:c r="F111" t="n">
        <x:v>352.5</x:v>
      </x:c>
      <x:c r="G111" t="n">
        <x:v>374</x:v>
      </x:c>
      <x:c r="H111" t="n">
        <x:v>384.9</x:v>
      </x:c>
      <x:c r="I111" t="n">
        <x:v>371</x:v>
      </x:c>
      <x:c r="J111" t="str">
        <x:v>Enova årsfil; sammenlign kun innen samme kategori, år og metode</x:v>
      </x:c>
    </x:row>
    <x:row r="112" ht="22" customHeight="1">
      <x:c r="A112" t="n">
        <x:v>2016</x:v>
      </x:c>
      <x:c r="B112" t="str">
        <x:v>Hoteller</x:v>
      </x:c>
      <x:c r="C112" t="str">
        <x:v>G</x:v>
      </x:c>
      <x:c r="D112" t="n">
        <x:v>9</x:v>
      </x:c>
      <x:c r="E112" t="n">
        <x:v>9</x:v>
      </x:c>
      <x:c r="F112" t="n">
        <x:v>445.7</x:v>
      </x:c>
      <x:c r="G112" t="n">
        <x:v>471.4</x:v>
      </x:c>
      <x:c r="H112" t="n">
        <x:v>550.4</x:v>
      </x:c>
      <x:c r="I112" t="n">
        <x:v>489.9</x:v>
      </x:c>
      <x:c r="J112" t="str">
        <x:v>Enova årsfil; sammenlign kun innen samme kategori, år og metode</x:v>
      </x:c>
    </x:row>
    <x:row r="113" ht="22" customHeight="1">
      <x:c r="A113" t="n">
        <x:v>2016</x:v>
      </x:c>
      <x:c r="B113" t="str">
        <x:v>Idrettsbygg</x:v>
      </x:c>
      <x:c r="C113" t="str">
        <x:v>A</x:v>
      </x:c>
      <x:c r="D113" t="n">
        <x:v>2</x:v>
      </x:c>
      <x:c r="E113" t="n">
        <x:v>2</x:v>
      </x:c>
      <x:c r="F113" t="n">
        <x:v>106</x:v>
      </x:c>
      <x:c r="G113" t="n">
        <x:v>106.2</x:v>
      </x:c>
      <x:c r="H113" t="n">
        <x:v>106.4</x:v>
      </x:c>
      <x:c r="I113" t="n">
        <x:v>106.2</x:v>
      </x:c>
      <x:c r="J113" t="str">
        <x:v>Enova årsfil; sammenlign kun innen samme kategori, år og metode</x:v>
      </x:c>
    </x:row>
    <x:row r="114" ht="22" customHeight="1">
      <x:c r="A114" t="n">
        <x:v>2016</x:v>
      </x:c>
      <x:c r="B114" t="str">
        <x:v>Idrettsbygg</x:v>
      </x:c>
      <x:c r="C114" t="str">
        <x:v>B</x:v>
      </x:c>
      <x:c r="D114" t="n">
        <x:v>7</x:v>
      </x:c>
      <x:c r="E114" t="n">
        <x:v>7</x:v>
      </x:c>
      <x:c r="F114" t="n">
        <x:v>133.4</x:v>
      </x:c>
      <x:c r="G114" t="n">
        <x:v>157.5</x:v>
      </x:c>
      <x:c r="H114" t="n">
        <x:v>162.1</x:v>
      </x:c>
      <x:c r="I114" t="n">
        <x:v>149.6</x:v>
      </x:c>
      <x:c r="J114" t="str">
        <x:v>Enova årsfil; sammenlign kun innen samme kategori, år og metode</x:v>
      </x:c>
    </x:row>
    <x:row r="115" ht="22" customHeight="1">
      <x:c r="A115" t="n">
        <x:v>2016</x:v>
      </x:c>
      <x:c r="B115" t="str">
        <x:v>Idrettsbygg</x:v>
      </x:c>
      <x:c r="C115" t="str">
        <x:v>C</x:v>
      </x:c>
      <x:c r="D115" t="n">
        <x:v>8</x:v>
      </x:c>
      <x:c r="E115" t="n">
        <x:v>8</x:v>
      </x:c>
      <x:c r="F115" t="n">
        <x:v>168.5</x:v>
      </x:c>
      <x:c r="G115" t="n">
        <x:v>188.2</x:v>
      </x:c>
      <x:c r="H115" t="n">
        <x:v>200.3</x:v>
      </x:c>
      <x:c r="I115" t="n">
        <x:v>184.9</x:v>
      </x:c>
      <x:c r="J115" t="str">
        <x:v>Enova årsfil; sammenlign kun innen samme kategori, år og metode</x:v>
      </x:c>
    </x:row>
    <x:row r="116" ht="22" customHeight="1">
      <x:c r="A116" t="n">
        <x:v>2016</x:v>
      </x:c>
      <x:c r="B116" t="str">
        <x:v>Idrettsbygg</x:v>
      </x:c>
      <x:c r="C116" t="str">
        <x:v>D</x:v>
      </x:c>
      <x:c r="D116" t="n">
        <x:v>17</x:v>
      </x:c>
      <x:c r="E116" t="n">
        <x:v>17</x:v>
      </x:c>
      <x:c r="F116" t="n">
        <x:v>209.2</x:v>
      </x:c>
      <x:c r="G116" t="n">
        <x:v>224.5</x:v>
      </x:c>
      <x:c r="H116" t="n">
        <x:v>263.5</x:v>
      </x:c>
      <x:c r="I116" t="n">
        <x:v>232.4</x:v>
      </x:c>
      <x:c r="J116" t="str">
        <x:v>Enova årsfil; sammenlign kun innen samme kategori, år og metode</x:v>
      </x:c>
    </x:row>
    <x:row r="117" ht="22" customHeight="1">
      <x:c r="A117" t="n">
        <x:v>2016</x:v>
      </x:c>
      <x:c r="B117" t="str">
        <x:v>Idrettsbygg</x:v>
      </x:c>
      <x:c r="C117" t="str">
        <x:v>E</x:v>
      </x:c>
      <x:c r="D117" t="n">
        <x:v>3</x:v>
      </x:c>
      <x:c r="E117" t="n">
        <x:v>3</x:v>
      </x:c>
      <x:c r="F117" t="n">
        <x:v>281.2</x:v>
      </x:c>
      <x:c r="G117" t="n">
        <x:v>292.8</x:v>
      </x:c>
      <x:c r="H117" t="n">
        <x:v>312.2</x:v>
      </x:c>
      <x:c r="I117" t="n">
        <x:v>296</x:v>
      </x:c>
      <x:c r="J117" t="str">
        <x:v>Enova årsfil; sammenlign kun innen samme kategori, år og metode</x:v>
      </x:c>
    </x:row>
    <x:row r="118" ht="22" customHeight="1">
      <x:c r="A118" t="n">
        <x:v>2016</x:v>
      </x:c>
      <x:c r="B118" t="str">
        <x:v>Idrettsbygg</x:v>
      </x:c>
      <x:c r="C118" t="str">
        <x:v>F</x:v>
      </x:c>
      <x:c r="D118" t="n">
        <x:v>3</x:v>
      </x:c>
      <x:c r="E118" t="n">
        <x:v>3</x:v>
      </x:c>
      <x:c r="F118" t="n">
        <x:v>355.3</x:v>
      </x:c>
      <x:c r="G118" t="n">
        <x:v>382.7</x:v>
      </x:c>
      <x:c r="H118" t="n">
        <x:v>398.3</x:v>
      </x:c>
      <x:c r="I118" t="n">
        <x:v>377.8</x:v>
      </x:c>
      <x:c r="J118" t="str">
        <x:v>Enova årsfil; sammenlign kun innen samme kategori, år og metode</x:v>
      </x:c>
    </x:row>
    <x:row r="119" ht="22" customHeight="1">
      <x:c r="A119" t="n">
        <x:v>2016</x:v>
      </x:c>
      <x:c r="B119" t="str">
        <x:v>Idrettsbygg</x:v>
      </x:c>
      <x:c r="C119" t="str">
        <x:v>G</x:v>
      </x:c>
      <x:c r="D119" t="n">
        <x:v>3</x:v>
      </x:c>
      <x:c r="E119" t="n">
        <x:v>3</x:v>
      </x:c>
      <x:c r="F119" t="n">
        <x:v>478.1</x:v>
      </x:c>
      <x:c r="G119" t="n">
        <x:v>508.6</x:v>
      </x:c>
      <x:c r="H119" t="n">
        <x:v>508.6</x:v>
      </x:c>
      <x:c r="I119" t="n">
        <x:v>495.9</x:v>
      </x:c>
      <x:c r="J119" t="str">
        <x:v>Enova årsfil; sammenlign kun innen samme kategori, år og metode</x:v>
      </x:c>
    </x:row>
    <x:row r="120" ht="22" customHeight="1">
      <x:c r="A120" t="n">
        <x:v>2016</x:v>
      </x:c>
      <x:c r="B120" t="str">
        <x:v>Kontorbygg</x:v>
      </x:c>
      <x:c r="C120" t="str">
        <x:v>A</x:v>
      </x:c>
      <x:c r="D120" t="n">
        <x:v>17</x:v>
      </x:c>
      <x:c r="E120" t="n">
        <x:v>17</x:v>
      </x:c>
      <x:c r="F120" t="n">
        <x:v>76.1</x:v>
      </x:c>
      <x:c r="G120" t="n">
        <x:v>80.6</x:v>
      </x:c>
      <x:c r="H120" t="n">
        <x:v>88.1</x:v>
      </x:c>
      <x:c r="I120" t="n">
        <x:v>81</x:v>
      </x:c>
      <x:c r="J120" t="str">
        <x:v>Enova årsfil; sammenlign kun innen samme kategori, år og metode</x:v>
      </x:c>
    </x:row>
    <x:row r="121" ht="22" customHeight="1">
      <x:c r="A121" t="n">
        <x:v>2016</x:v>
      </x:c>
      <x:c r="B121" t="str">
        <x:v>Kontorbygg</x:v>
      </x:c>
      <x:c r="C121" t="str">
        <x:v>B</x:v>
      </x:c>
      <x:c r="D121" t="n">
        <x:v>47</x:v>
      </x:c>
      <x:c r="E121" t="n">
        <x:v>47</x:v>
      </x:c>
      <x:c r="F121" t="n">
        <x:v>96.9</x:v>
      </x:c>
      <x:c r="G121" t="n">
        <x:v>105.9</x:v>
      </x:c>
      <x:c r="H121" t="n">
        <x:v>113.7</x:v>
      </x:c>
      <x:c r="I121" t="n">
        <x:v>105.5</x:v>
      </x:c>
      <x:c r="J121" t="str">
        <x:v>Enova årsfil; sammenlign kun innen samme kategori, år og metode</x:v>
      </x:c>
    </x:row>
    <x:row r="122" ht="22" customHeight="1">
      <x:c r="A122" t="n">
        <x:v>2016</x:v>
      </x:c>
      <x:c r="B122" t="str">
        <x:v>Kontorbygg</x:v>
      </x:c>
      <x:c r="C122" t="str">
        <x:v>C</x:v>
      </x:c>
      <x:c r="D122" t="n">
        <x:v>32</x:v>
      </x:c>
      <x:c r="E122" t="n">
        <x:v>32</x:v>
      </x:c>
      <x:c r="F122" t="n">
        <x:v>121</x:v>
      </x:c>
      <x:c r="G122" t="n">
        <x:v>133.5</x:v>
      </x:c>
      <x:c r="H122" t="n">
        <x:v>144.1</x:v>
      </x:c>
      <x:c r="I122" t="n">
        <x:v>132.8</x:v>
      </x:c>
      <x:c r="J122" t="str">
        <x:v>Enova årsfil; sammenlign kun innen samme kategori, år og metode</x:v>
      </x:c>
    </x:row>
    <x:row r="123" ht="22" customHeight="1">
      <x:c r="A123" t="n">
        <x:v>2016</x:v>
      </x:c>
      <x:c r="B123" t="str">
        <x:v>Kontorbygg</x:v>
      </x:c>
      <x:c r="C123" t="str">
        <x:v>D</x:v>
      </x:c>
      <x:c r="D123" t="n">
        <x:v>64</x:v>
      </x:c>
      <x:c r="E123" t="n">
        <x:v>64</x:v>
      </x:c>
      <x:c r="F123" t="n">
        <x:v>151.3</x:v>
      </x:c>
      <x:c r="G123" t="n">
        <x:v>167.3</x:v>
      </x:c>
      <x:c r="H123" t="n">
        <x:v>176.5</x:v>
      </x:c>
      <x:c r="I123" t="n">
        <x:v>165.3</x:v>
      </x:c>
      <x:c r="J123" t="str">
        <x:v>Enova årsfil; sammenlign kun innen samme kategori, år og metode</x:v>
      </x:c>
    </x:row>
    <x:row r="124" ht="22" customHeight="1">
      <x:c r="A124" t="n">
        <x:v>2016</x:v>
      </x:c>
      <x:c r="B124" t="str">
        <x:v>Kontorbygg</x:v>
      </x:c>
      <x:c r="C124" t="str">
        <x:v>E</x:v>
      </x:c>
      <x:c r="D124" t="n">
        <x:v>75</x:v>
      </x:c>
      <x:c r="E124" t="n">
        <x:v>75</x:v>
      </x:c>
      <x:c r="F124" t="n">
        <x:v>184.2</x:v>
      </x:c>
      <x:c r="G124" t="n">
        <x:v>200.4</x:v>
      </x:c>
      <x:c r="H124" t="n">
        <x:v>213.6</x:v>
      </x:c>
      <x:c r="I124" t="n">
        <x:v>199.5</x:v>
      </x:c>
      <x:c r="J124" t="str">
        <x:v>Enova årsfil; sammenlign kun innen samme kategori, år og metode</x:v>
      </x:c>
    </x:row>
    <x:row r="125" ht="22" customHeight="1">
      <x:c r="A125" t="n">
        <x:v>2016</x:v>
      </x:c>
      <x:c r="B125" t="str">
        <x:v>Kontorbygg</x:v>
      </x:c>
      <x:c r="C125" t="str">
        <x:v>F</x:v>
      </x:c>
      <x:c r="D125" t="n">
        <x:v>69</x:v>
      </x:c>
      <x:c r="E125" t="n">
        <x:v>69</x:v>
      </x:c>
      <x:c r="F125" t="n">
        <x:v>227.3</x:v>
      </x:c>
      <x:c r="G125" t="n">
        <x:v>246.8</x:v>
      </x:c>
      <x:c r="H125" t="n">
        <x:v>266.8</x:v>
      </x:c>
      <x:c r="I125" t="n">
        <x:v>246.1</x:v>
      </x:c>
      <x:c r="J125" t="str">
        <x:v>Enova årsfil; sammenlign kun innen samme kategori, år og metode</x:v>
      </x:c>
    </x:row>
    <x:row r="126" ht="22" customHeight="1">
      <x:c r="A126" t="n">
        <x:v>2016</x:v>
      </x:c>
      <x:c r="B126" t="str">
        <x:v>Kontorbygg</x:v>
      </x:c>
      <x:c r="C126" t="str">
        <x:v>G</x:v>
      </x:c>
      <x:c r="D126" t="n">
        <x:v>111</x:v>
      </x:c>
      <x:c r="E126" t="n">
        <x:v>111</x:v>
      </x:c>
      <x:c r="F126" t="n">
        <x:v>289.4</x:v>
      </x:c>
      <x:c r="G126" t="n">
        <x:v>363</x:v>
      </x:c>
      <x:c r="H126" t="n">
        <x:v>540</x:v>
      </x:c>
      <x:c r="I126" t="n">
        <x:v>390.9</x:v>
      </x:c>
      <x:c r="J126" t="str">
        <x:v>Enova årsfil; sammenlign kun innen samme kategori, år og metode</x:v>
      </x:c>
    </x:row>
    <x:row r="127" ht="22" customHeight="1">
      <x:c r="A127" t="n">
        <x:v>2016</x:v>
      </x:c>
      <x:c r="B127" t="str">
        <x:v>Kulturbygg</x:v>
      </x:c>
      <x:c r="C127" t="str">
        <x:v>A</x:v>
      </x:c>
      <x:c r="D127" t="n">
        <x:v>1</x:v>
      </x:c>
      <x:c r="E127" t="n">
        <x:v>1</x:v>
      </x:c>
      <x:c r="F127" t="n">
        <x:v>90.9</x:v>
      </x:c>
      <x:c r="G127" t="n">
        <x:v>90.9</x:v>
      </x:c>
      <x:c r="H127" t="n">
        <x:v>90.9</x:v>
      </x:c>
      <x:c r="I127" t="n">
        <x:v>90.9</x:v>
      </x:c>
      <x:c r="J127" t="str">
        <x:v>Enova årsfil; sammenlign kun innen samme kategori, år og metode</x:v>
      </x:c>
    </x:row>
    <x:row r="128" ht="22" customHeight="1">
      <x:c r="A128" t="n">
        <x:v>2016</x:v>
      </x:c>
      <x:c r="B128" t="str">
        <x:v>Kulturbygg</x:v>
      </x:c>
      <x:c r="C128" t="str">
        <x:v>B</x:v>
      </x:c>
      <x:c r="D128" t="n">
        <x:v>5</x:v>
      </x:c>
      <x:c r="E128" t="n">
        <x:v>5</x:v>
      </x:c>
      <x:c r="F128" t="n">
        <x:v>98.7</x:v>
      </x:c>
      <x:c r="G128" t="n">
        <x:v>103.9</x:v>
      </x:c>
      <x:c r="H128" t="n">
        <x:v>125</x:v>
      </x:c>
      <x:c r="I128" t="n">
        <x:v>109.9</x:v>
      </x:c>
      <x:c r="J128" t="str">
        <x:v>Enova årsfil; sammenlign kun innen samme kategori, år og metode</x:v>
      </x:c>
    </x:row>
    <x:row r="129" ht="22" customHeight="1">
      <x:c r="A129" t="n">
        <x:v>2016</x:v>
      </x:c>
      <x:c r="B129" t="str">
        <x:v>Kulturbygg</x:v>
      </x:c>
      <x:c r="C129" t="str">
        <x:v>C</x:v>
      </x:c>
      <x:c r="D129" t="n">
        <x:v>3</x:v>
      </x:c>
      <x:c r="E129" t="n">
        <x:v>3</x:v>
      </x:c>
      <x:c r="F129" t="n">
        <x:v>159.9</x:v>
      </x:c>
      <x:c r="G129" t="n">
        <x:v>170.3</x:v>
      </x:c>
      <x:c r="H129" t="n">
        <x:v>170.3</x:v>
      </x:c>
      <x:c r="I129" t="n">
        <x:v>166</x:v>
      </x:c>
      <x:c r="J129" t="str">
        <x:v>Enova årsfil; sammenlign kun innen samme kategori, år og metode</x:v>
      </x:c>
    </x:row>
    <x:row r="130" ht="22" customHeight="1">
      <x:c r="A130" t="n">
        <x:v>2016</x:v>
      </x:c>
      <x:c r="B130" t="str">
        <x:v>Kulturbygg</x:v>
      </x:c>
      <x:c r="C130" t="str">
        <x:v>D</x:v>
      </x:c>
      <x:c r="D130" t="n">
        <x:v>9</x:v>
      </x:c>
      <x:c r="E130" t="n">
        <x:v>9</x:v>
      </x:c>
      <x:c r="F130" t="n">
        <x:v>183.9</x:v>
      </x:c>
      <x:c r="G130" t="n">
        <x:v>193.3</x:v>
      </x:c>
      <x:c r="H130" t="n">
        <x:v>209.3</x:v>
      </x:c>
      <x:c r="I130" t="n">
        <x:v>196.2</x:v>
      </x:c>
      <x:c r="J130" t="str">
        <x:v>Enova årsfil; sammenlign kun innen samme kategori, år og metode</x:v>
      </x:c>
    </x:row>
    <x:row r="131" ht="22" customHeight="1">
      <x:c r="A131" t="n">
        <x:v>2016</x:v>
      </x:c>
      <x:c r="B131" t="str">
        <x:v>Kulturbygg</x:v>
      </x:c>
      <x:c r="C131" t="str">
        <x:v>F</x:v>
      </x:c>
      <x:c r="D131" t="n">
        <x:v>8</x:v>
      </x:c>
      <x:c r="E131" t="n">
        <x:v>8</x:v>
      </x:c>
      <x:c r="F131" t="n">
        <x:v>283.9</x:v>
      </x:c>
      <x:c r="G131" t="n">
        <x:v>293.4</x:v>
      </x:c>
      <x:c r="H131" t="n">
        <x:v>302.1</x:v>
      </x:c>
      <x:c r="I131" t="n">
        <x:v>293.1</x:v>
      </x:c>
      <x:c r="J131" t="str">
        <x:v>Enova årsfil; sammenlign kun innen samme kategori, år og metode</x:v>
      </x:c>
    </x:row>
    <x:row r="132" ht="22" customHeight="1">
      <x:c r="A132" t="n">
        <x:v>2016</x:v>
      </x:c>
      <x:c r="B132" t="str">
        <x:v>Kulturbygg</x:v>
      </x:c>
      <x:c r="C132" t="str">
        <x:v>G</x:v>
      </x:c>
      <x:c r="D132" t="n">
        <x:v>12</x:v>
      </x:c>
      <x:c r="E132" t="n">
        <x:v>12</x:v>
      </x:c>
      <x:c r="F132" t="n">
        <x:v>338.7</x:v>
      </x:c>
      <x:c r="G132" t="n">
        <x:v>460.6</x:v>
      </x:c>
      <x:c r="H132" t="n">
        <x:v>715</x:v>
      </x:c>
      <x:c r="I132" t="n">
        <x:v>503.7</x:v>
      </x:c>
      <x:c r="J132" t="str">
        <x:v>Enova årsfil; sammenlign kun innen samme kategori, år og metode</x:v>
      </x:c>
    </x:row>
    <x:row r="133" ht="22" customHeight="1">
      <x:c r="A133" t="n">
        <x:v>2016</x:v>
      </x:c>
      <x:c r="B133" t="str">
        <x:v>Lett Industri, Verksteder</x:v>
      </x:c>
      <x:c r="C133" t="str">
        <x:v>A</x:v>
      </x:c>
      <x:c r="D133" t="n">
        <x:v>13</x:v>
      </x:c>
      <x:c r="E133" t="n">
        <x:v>13</x:v>
      </x:c>
      <x:c r="F133" t="n">
        <x:v>73.8</x:v>
      </x:c>
      <x:c r="G133" t="n">
        <x:v>88.2</x:v>
      </x:c>
      <x:c r="H133" t="n">
        <x:v>99.6</x:v>
      </x:c>
      <x:c r="I133" t="n">
        <x:v>86.8</x:v>
      </x:c>
      <x:c r="J133" t="str">
        <x:v>Enova årsfil; sammenlign kun innen samme kategori, år og metode</x:v>
      </x:c>
    </x:row>
    <x:row r="134" ht="22" customHeight="1">
      <x:c r="A134" t="n">
        <x:v>2016</x:v>
      </x:c>
      <x:c r="B134" t="str">
        <x:v>Lett Industri, Verksteder</x:v>
      </x:c>
      <x:c r="C134" t="str">
        <x:v>B</x:v>
      </x:c>
      <x:c r="D134" t="n">
        <x:v>23</x:v>
      </x:c>
      <x:c r="E134" t="n">
        <x:v>23</x:v>
      </x:c>
      <x:c r="F134" t="n">
        <x:v>109.9</x:v>
      </x:c>
      <x:c r="G134" t="n">
        <x:v>120.2</x:v>
      </x:c>
      <x:c r="H134" t="n">
        <x:v>137.1</x:v>
      </x:c>
      <x:c r="I134" t="n">
        <x:v>121.1</x:v>
      </x:c>
      <x:c r="J134" t="str">
        <x:v>Enova årsfil; sammenlign kun innen samme kategori, år og metode</x:v>
      </x:c>
    </x:row>
    <x:row r="135" ht="22" customHeight="1">
      <x:c r="A135" t="n">
        <x:v>2016</x:v>
      </x:c>
      <x:c r="B135" t="str">
        <x:v>Lett Industri, Verksteder</x:v>
      </x:c>
      <x:c r="C135" t="str">
        <x:v>C</x:v>
      </x:c>
      <x:c r="D135" t="n">
        <x:v>24</x:v>
      </x:c>
      <x:c r="E135" t="n">
        <x:v>24</x:v>
      </x:c>
      <x:c r="F135" t="n">
        <x:v>150.9</x:v>
      </x:c>
      <x:c r="G135" t="n">
        <x:v>160.8</x:v>
      </x:c>
      <x:c r="H135" t="n">
        <x:v>176.5</x:v>
      </x:c>
      <x:c r="I135" t="n">
        <x:v>162.8</x:v>
      </x:c>
      <x:c r="J135" t="str">
        <x:v>Enova årsfil; sammenlign kun innen samme kategori, år og metode</x:v>
      </x:c>
    </x:row>
    <x:row r="136" ht="22" customHeight="1">
      <x:c r="A136" t="n">
        <x:v>2016</x:v>
      </x:c>
      <x:c r="B136" t="str">
        <x:v>Lett Industri, Verksteder</x:v>
      </x:c>
      <x:c r="C136" t="str">
        <x:v>D</x:v>
      </x:c>
      <x:c r="D136" t="n">
        <x:v>36</x:v>
      </x:c>
      <x:c r="E136" t="n">
        <x:v>36</x:v>
      </x:c>
      <x:c r="F136" t="n">
        <x:v>197.6</x:v>
      </x:c>
      <x:c r="G136" t="n">
        <x:v>214.7</x:v>
      </x:c>
      <x:c r="H136" t="n">
        <x:v>238.9</x:v>
      </x:c>
      <x:c r="I136" t="n">
        <x:v>216.1</x:v>
      </x:c>
      <x:c r="J136" t="str">
        <x:v>Enova årsfil; sammenlign kun innen samme kategori, år og metode</x:v>
      </x:c>
    </x:row>
    <x:row r="137" ht="22" customHeight="1">
      <x:c r="A137" t="n">
        <x:v>2016</x:v>
      </x:c>
      <x:c r="B137" t="str">
        <x:v>Lett Industri, Verksteder</x:v>
      </x:c>
      <x:c r="C137" t="str">
        <x:v>E</x:v>
      </x:c>
      <x:c r="D137" t="n">
        <x:v>34</x:v>
      </x:c>
      <x:c r="E137" t="n">
        <x:v>34</x:v>
      </x:c>
      <x:c r="F137" t="n">
        <x:v>255</x:v>
      </x:c>
      <x:c r="G137" t="n">
        <x:v>277.9</x:v>
      </x:c>
      <x:c r="H137" t="n">
        <x:v>304.9</x:v>
      </x:c>
      <x:c r="I137" t="n">
        <x:v>278.4</x:v>
      </x:c>
      <x:c r="J137" t="str">
        <x:v>Enova årsfil; sammenlign kun innen samme kategori, år og metode</x:v>
      </x:c>
    </x:row>
    <x:row r="138" ht="22" customHeight="1">
      <x:c r="A138" t="n">
        <x:v>2016</x:v>
      </x:c>
      <x:c r="B138" t="str">
        <x:v>Lett Industri, Verksteder</x:v>
      </x:c>
      <x:c r="C138" t="str">
        <x:v>F</x:v>
      </x:c>
      <x:c r="D138" t="n">
        <x:v>35</x:v>
      </x:c>
      <x:c r="E138" t="n">
        <x:v>35</x:v>
      </x:c>
      <x:c r="F138" t="n">
        <x:v>333.1</x:v>
      </x:c>
      <x:c r="G138" t="n">
        <x:v>355.9</x:v>
      </x:c>
      <x:c r="H138" t="n">
        <x:v>398.3</x:v>
      </x:c>
      <x:c r="I138" t="n">
        <x:v>362.4</x:v>
      </x:c>
      <x:c r="J138" t="str">
        <x:v>Enova årsfil; sammenlign kun innen samme kategori, år og metode</x:v>
      </x:c>
    </x:row>
    <x:row r="139" ht="22" customHeight="1">
      <x:c r="A139" t="n">
        <x:v>2016</x:v>
      </x:c>
      <x:c r="B139" t="str">
        <x:v>Lett Industri, Verksteder</x:v>
      </x:c>
      <x:c r="C139" t="str">
        <x:v>G</x:v>
      </x:c>
      <x:c r="D139" t="n">
        <x:v>47</x:v>
      </x:c>
      <x:c r="E139" t="n">
        <x:v>37</x:v>
      </x:c>
      <x:c r="F139" t="n">
        <x:v>434.5</x:v>
      </x:c>
      <x:c r="G139" t="n">
        <x:v>518.1</x:v>
      </x:c>
      <x:c r="H139" t="n">
        <x:v>846</x:v>
      </x:c>
      <x:c r="I139" t="n">
        <x:v>589.9</x:v>
      </x:c>
      <x:c r="J139" t="str">
        <x:v>Enova årsfil; sammenlign kun innen samme kategori, år og metode</x:v>
      </x:c>
    </x:row>
    <x:row r="140" ht="22" customHeight="1">
      <x:c r="A140" t="n">
        <x:v>2016</x:v>
      </x:c>
      <x:c r="B140" t="str">
        <x:v>Skolebygg</x:v>
      </x:c>
      <x:c r="C140" t="str">
        <x:v>A</x:v>
      </x:c>
      <x:c r="D140" t="n">
        <x:v>14</x:v>
      </x:c>
      <x:c r="E140" t="n">
        <x:v>14</x:v>
      </x:c>
      <x:c r="F140" t="n">
        <x:v>60.2</x:v>
      </x:c>
      <x:c r="G140" t="n">
        <x:v>69.8</x:v>
      </x:c>
      <x:c r="H140" t="n">
        <x:v>72.9</x:v>
      </x:c>
      <x:c r="I140" t="n">
        <x:v>67.8</x:v>
      </x:c>
      <x:c r="J140" t="str">
        <x:v>Enova årsfil; sammenlign kun innen samme kategori, år og metode</x:v>
      </x:c>
    </x:row>
    <x:row r="141" ht="22" customHeight="1">
      <x:c r="A141" t="n">
        <x:v>2016</x:v>
      </x:c>
      <x:c r="B141" t="str">
        <x:v>Skolebygg</x:v>
      </x:c>
      <x:c r="C141" t="str">
        <x:v>B</x:v>
      </x:c>
      <x:c r="D141" t="n">
        <x:v>25</x:v>
      </x:c>
      <x:c r="E141" t="n">
        <x:v>25</x:v>
      </x:c>
      <x:c r="F141" t="n">
        <x:v>79.7</x:v>
      </x:c>
      <x:c r="G141" t="n">
        <x:v>94.3</x:v>
      </x:c>
      <x:c r="H141" t="n">
        <x:v>103</x:v>
      </x:c>
      <x:c r="I141" t="n">
        <x:v>93.2</x:v>
      </x:c>
      <x:c r="J141" t="str">
        <x:v>Enova årsfil; sammenlign kun innen samme kategori, år og metode</x:v>
      </x:c>
    </x:row>
    <x:row r="142" ht="22" customHeight="1">
      <x:c r="A142" t="n">
        <x:v>2016</x:v>
      </x:c>
      <x:c r="B142" t="str">
        <x:v>Skolebygg</x:v>
      </x:c>
      <x:c r="C142" t="str">
        <x:v>C</x:v>
      </x:c>
      <x:c r="D142" t="n">
        <x:v>34</x:v>
      </x:c>
      <x:c r="E142" t="n">
        <x:v>34</x:v>
      </x:c>
      <x:c r="F142" t="n">
        <x:v>111.4</x:v>
      </x:c>
      <x:c r="G142" t="n">
        <x:v>121.2</x:v>
      </x:c>
      <x:c r="H142" t="n">
        <x:v>127.8</x:v>
      </x:c>
      <x:c r="I142" t="n">
        <x:v>119.6</x:v>
      </x:c>
      <x:c r="J142" t="str">
        <x:v>Enova årsfil; sammenlign kun innen samme kategori, år og metode</x:v>
      </x:c>
    </x:row>
    <x:row r="143" ht="22" customHeight="1">
      <x:c r="A143" t="n">
        <x:v>2016</x:v>
      </x:c>
      <x:c r="B143" t="str">
        <x:v>Skolebygg</x:v>
      </x:c>
      <x:c r="C143" t="str">
        <x:v>D</x:v>
      </x:c>
      <x:c r="D143" t="n">
        <x:v>73</x:v>
      </x:c>
      <x:c r="E143" t="n">
        <x:v>73</x:v>
      </x:c>
      <x:c r="F143" t="n">
        <x:v>140.9</x:v>
      </x:c>
      <x:c r="G143" t="n">
        <x:v>159.1</x:v>
      </x:c>
      <x:c r="H143" t="n">
        <x:v>171.3</x:v>
      </x:c>
      <x:c r="I143" t="n">
        <x:v>156.8</x:v>
      </x:c>
      <x:c r="J143" t="str">
        <x:v>Enova årsfil; sammenlign kun innen samme kategori, år og metode</x:v>
      </x:c>
    </x:row>
    <x:row r="144" ht="22" customHeight="1">
      <x:c r="A144" t="n">
        <x:v>2016</x:v>
      </x:c>
      <x:c r="B144" t="str">
        <x:v>Skolebygg</x:v>
      </x:c>
      <x:c r="C144" t="str">
        <x:v>E</x:v>
      </x:c>
      <x:c r="D144" t="n">
        <x:v>71</x:v>
      </x:c>
      <x:c r="E144" t="n">
        <x:v>71</x:v>
      </x:c>
      <x:c r="F144" t="n">
        <x:v>180.2</x:v>
      </x:c>
      <x:c r="G144" t="n">
        <x:v>196.6</x:v>
      </x:c>
      <x:c r="H144" t="n">
        <x:v>217.6</x:v>
      </x:c>
      <x:c r="I144" t="n">
        <x:v>197.7</x:v>
      </x:c>
      <x:c r="J144" t="str">
        <x:v>Enova årsfil; sammenlign kun innen samme kategori, år og metode</x:v>
      </x:c>
    </x:row>
    <x:row r="145" ht="22" customHeight="1">
      <x:c r="A145" t="n">
        <x:v>2016</x:v>
      </x:c>
      <x:c r="B145" t="str">
        <x:v>Skolebygg</x:v>
      </x:c>
      <x:c r="C145" t="str">
        <x:v>F</x:v>
      </x:c>
      <x:c r="D145" t="n">
        <x:v>33</x:v>
      </x:c>
      <x:c r="E145" t="n">
        <x:v>33</x:v>
      </x:c>
      <x:c r="F145" t="n">
        <x:v>228.6</x:v>
      </x:c>
      <x:c r="G145" t="n">
        <x:v>248.1</x:v>
      </x:c>
      <x:c r="H145" t="n">
        <x:v>270.1</x:v>
      </x:c>
      <x:c r="I145" t="n">
        <x:v>249.2</x:v>
      </x:c>
      <x:c r="J145" t="str">
        <x:v>Enova årsfil; sammenlign kun innen samme kategori, år og metode</x:v>
      </x:c>
    </x:row>
    <x:row r="146" ht="22" customHeight="1">
      <x:c r="A146" t="n">
        <x:v>2016</x:v>
      </x:c>
      <x:c r="B146" t="str">
        <x:v>Skolebygg</x:v>
      </x:c>
      <x:c r="C146" t="str">
        <x:v>G</x:v>
      </x:c>
      <x:c r="D146" t="n">
        <x:v>22</x:v>
      </x:c>
      <x:c r="E146" t="n">
        <x:v>22</x:v>
      </x:c>
      <x:c r="F146" t="n">
        <x:v>313.9</x:v>
      </x:c>
      <x:c r="G146" t="n">
        <x:v>382.5</x:v>
      </x:c>
      <x:c r="H146" t="n">
        <x:v>437.5</x:v>
      </x:c>
      <x:c r="I146" t="n">
        <x:v>388</x:v>
      </x:c>
      <x:c r="J146" t="str">
        <x:v>Enova årsfil; sammenlign kun innen samme kategori, år og metode</x:v>
      </x:c>
    </x:row>
    <x:row r="147" ht="22" customHeight="1">
      <x:c r="A147" t="n">
        <x:v>2016</x:v>
      </x:c>
      <x:c r="B147" t="str">
        <x:v>Småhus</x:v>
      </x:c>
      <x:c r="C147" t="str">
        <x:v>A</x:v>
      </x:c>
      <x:c r="D147" t="n">
        <x:v>806</x:v>
      </x:c>
      <x:c r="E147" t="n">
        <x:v>806</x:v>
      </x:c>
      <x:c r="F147" t="n">
        <x:v>72.8</x:v>
      </x:c>
      <x:c r="G147" t="n">
        <x:v>86.9</x:v>
      </x:c>
      <x:c r="H147" t="n">
        <x:v>100.7</x:v>
      </x:c>
      <x:c r="I147" t="n">
        <x:v>86.8</x:v>
      </x:c>
      <x:c r="J147" t="str">
        <x:v>Enova årsfil; sammenlign kun innen samme kategori, år og metode</x:v>
      </x:c>
    </x:row>
    <x:row r="148" ht="22" customHeight="1">
      <x:c r="A148" t="n">
        <x:v>2016</x:v>
      </x:c>
      <x:c r="B148" t="str">
        <x:v>Småhus</x:v>
      </x:c>
      <x:c r="C148" t="str">
        <x:v>B</x:v>
      </x:c>
      <x:c r="D148" t="n">
        <x:v>4388</x:v>
      </x:c>
      <x:c r="E148" t="n">
        <x:v>4388</x:v>
      </x:c>
      <x:c r="F148" t="n">
        <x:v>107.4</x:v>
      </x:c>
      <x:c r="G148" t="n">
        <x:v>120.8</x:v>
      </x:c>
      <x:c r="H148" t="n">
        <x:v>131.4</x:v>
      </x:c>
      <x:c r="I148" t="n">
        <x:v>120.2</x:v>
      </x:c>
      <x:c r="J148" t="str">
        <x:v>Enova årsfil; sammenlign kun innen samme kategori, år og metode</x:v>
      </x:c>
    </x:row>
    <x:row r="149" ht="22" customHeight="1">
      <x:c r="A149" t="n">
        <x:v>2016</x:v>
      </x:c>
      <x:c r="B149" t="str">
        <x:v>Småhus</x:v>
      </x:c>
      <x:c r="C149" t="str">
        <x:v>C</x:v>
      </x:c>
      <x:c r="D149" t="n">
        <x:v>5308</x:v>
      </x:c>
      <x:c r="E149" t="n">
        <x:v>5308</x:v>
      </x:c>
      <x:c r="F149" t="n">
        <x:v>132.6</x:v>
      </x:c>
      <x:c r="G149" t="n">
        <x:v>149.8</x:v>
      </x:c>
      <x:c r="H149" t="n">
        <x:v>170.8</x:v>
      </x:c>
      <x:c r="I149" t="n">
        <x:v>151</x:v>
      </x:c>
      <x:c r="J149" t="str">
        <x:v>Enova årsfil; sammenlign kun innen samme kategori, år og metode</x:v>
      </x:c>
    </x:row>
    <x:row r="150" ht="22" customHeight="1">
      <x:c r="A150" t="n">
        <x:v>2016</x:v>
      </x:c>
      <x:c r="B150" t="str">
        <x:v>Småhus</x:v>
      </x:c>
      <x:c r="C150" t="str">
        <x:v>D</x:v>
      </x:c>
      <x:c r="D150" t="n">
        <x:v>6392</x:v>
      </x:c>
      <x:c r="E150" t="n">
        <x:v>6392</x:v>
      </x:c>
      <x:c r="F150" t="n">
        <x:v>167.3</x:v>
      </x:c>
      <x:c r="G150" t="n">
        <x:v>183.6</x:v>
      </x:c>
      <x:c r="H150" t="n">
        <x:v>213</x:v>
      </x:c>
      <x:c r="I150" t="n">
        <x:v>187.4</x:v>
      </x:c>
      <x:c r="J150" t="str">
        <x:v>Enova årsfil; sammenlign kun innen samme kategori, år og metode</x:v>
      </x:c>
    </x:row>
    <x:row r="151" ht="22" customHeight="1">
      <x:c r="A151" t="n">
        <x:v>2016</x:v>
      </x:c>
      <x:c r="B151" t="str">
        <x:v>Småhus</x:v>
      </x:c>
      <x:c r="C151" t="str">
        <x:v>E</x:v>
      </x:c>
      <x:c r="D151" t="n">
        <x:v>6751</x:v>
      </x:c>
      <x:c r="E151" t="n">
        <x:v>6751</x:v>
      </x:c>
      <x:c r="F151" t="n">
        <x:v>206.8</x:v>
      </x:c>
      <x:c r="G151" t="n">
        <x:v>225.3</x:v>
      </x:c>
      <x:c r="H151" t="n">
        <x:v>255.8</x:v>
      </x:c>
      <x:c r="I151" t="n">
        <x:v>229.7</x:v>
      </x:c>
      <x:c r="J151" t="str">
        <x:v>Enova årsfil; sammenlign kun innen samme kategori, år og metode</x:v>
      </x:c>
    </x:row>
    <x:row r="152" ht="22" customHeight="1">
      <x:c r="A152" t="n">
        <x:v>2016</x:v>
      </x:c>
      <x:c r="B152" t="str">
        <x:v>Småhus</x:v>
      </x:c>
      <x:c r="C152" t="str">
        <x:v>F</x:v>
      </x:c>
      <x:c r="D152" t="n">
        <x:v>8935</x:v>
      </x:c>
      <x:c r="E152" t="n">
        <x:v>8934</x:v>
      </x:c>
      <x:c r="F152" t="n">
        <x:v>246.9</x:v>
      </x:c>
      <x:c r="G152" t="n">
        <x:v>277.7</x:v>
      </x:c>
      <x:c r="H152" t="n">
        <x:v>325.7</x:v>
      </x:c>
      <x:c r="I152" t="n">
        <x:v>284.9</x:v>
      </x:c>
      <x:c r="J152" t="str">
        <x:v>Enova årsfil; sammenlign kun innen samme kategori, år og metode</x:v>
      </x:c>
    </x:row>
    <x:row r="153" ht="22" customHeight="1">
      <x:c r="A153" t="n">
        <x:v>2016</x:v>
      </x:c>
      <x:c r="B153" t="str">
        <x:v>Småhus</x:v>
      </x:c>
      <x:c r="C153" t="str">
        <x:v>G</x:v>
      </x:c>
      <x:c r="D153" t="n">
        <x:v>15458</x:v>
      </x:c>
      <x:c r="E153" t="n">
        <x:v>15397</x:v>
      </x:c>
      <x:c r="F153" t="n">
        <x:v>317.1</x:v>
      </x:c>
      <x:c r="G153" t="n">
        <x:v>403.1</x:v>
      </x:c>
      <x:c r="H153" t="n">
        <x:v>584.2</x:v>
      </x:c>
      <x:c r="I153" t="n">
        <x:v>433.2</x:v>
      </x:c>
      <x:c r="J153" t="str">
        <x:v>Enova årsfil; sammenlign kun innen samme kategori, år og metode</x:v>
      </x:c>
    </x:row>
    <x:row r="154" ht="22" customHeight="1">
      <x:c r="A154" t="n">
        <x:v>2016</x:v>
      </x:c>
      <x:c r="B154" t="str">
        <x:v>Sykehjem</x:v>
      </x:c>
      <x:c r="C154" t="str">
        <x:v>B</x:v>
      </x:c>
      <x:c r="D154" t="n">
        <x:v>27</x:v>
      </x:c>
      <x:c r="E154" t="n">
        <x:v>27</x:v>
      </x:c>
      <x:c r="F154" t="n">
        <x:v>159.6</x:v>
      </x:c>
      <x:c r="G154" t="n">
        <x:v>174.5</x:v>
      </x:c>
      <x:c r="H154" t="n">
        <x:v>186.7</x:v>
      </x:c>
      <x:c r="I154" t="n">
        <x:v>174.2</x:v>
      </x:c>
      <x:c r="J154" t="str">
        <x:v>Enova årsfil; sammenlign kun innen samme kategori, år og metode</x:v>
      </x:c>
    </x:row>
    <x:row r="155" ht="22" customHeight="1">
      <x:c r="A155" t="n">
        <x:v>2016</x:v>
      </x:c>
      <x:c r="B155" t="str">
        <x:v>Sykehjem</x:v>
      </x:c>
      <x:c r="C155" t="str">
        <x:v>C</x:v>
      </x:c>
      <x:c r="D155" t="n">
        <x:v>24</x:v>
      </x:c>
      <x:c r="E155" t="n">
        <x:v>24</x:v>
      </x:c>
      <x:c r="F155" t="n">
        <x:v>197</x:v>
      </x:c>
      <x:c r="G155" t="n">
        <x:v>216.2</x:v>
      </x:c>
      <x:c r="H155" t="n">
        <x:v>236.7</x:v>
      </x:c>
      <x:c r="I155" t="n">
        <x:v>215.7</x:v>
      </x:c>
      <x:c r="J155" t="str">
        <x:v>Enova årsfil; sammenlign kun innen samme kategori, år og metode</x:v>
      </x:c>
    </x:row>
    <x:row r="156" ht="22" customHeight="1">
      <x:c r="A156" t="n">
        <x:v>2016</x:v>
      </x:c>
      <x:c r="B156" t="str">
        <x:v>Sykehjem</x:v>
      </x:c>
      <x:c r="C156" t="str">
        <x:v>D</x:v>
      </x:c>
      <x:c r="D156" t="n">
        <x:v>14</x:v>
      </x:c>
      <x:c r="E156" t="n">
        <x:v>14</x:v>
      </x:c>
      <x:c r="F156" t="n">
        <x:v>251.3</x:v>
      </x:c>
      <x:c r="G156" t="n">
        <x:v>267.6</x:v>
      </x:c>
      <x:c r="H156" t="n">
        <x:v>287.1</x:v>
      </x:c>
      <x:c r="I156" t="n">
        <x:v>269.3</x:v>
      </x:c>
      <x:c r="J156" t="str">
        <x:v>Enova årsfil; sammenlign kun innen samme kategori, år og metode</x:v>
      </x:c>
    </x:row>
    <x:row r="157" ht="22" customHeight="1">
      <x:c r="A157" t="n">
        <x:v>2016</x:v>
      </x:c>
      <x:c r="B157" t="str">
        <x:v>Sykehjem</x:v>
      </x:c>
      <x:c r="C157" t="str">
        <x:v>E</x:v>
      </x:c>
      <x:c r="D157" t="n">
        <x:v>4</x:v>
      </x:c>
      <x:c r="E157" t="n">
        <x:v>4</x:v>
      </x:c>
      <x:c r="F157" t="n">
        <x:v>303.5</x:v>
      </x:c>
      <x:c r="G157" t="n">
        <x:v>322.8</x:v>
      </x:c>
      <x:c r="H157" t="n">
        <x:v>340.4</x:v>
      </x:c>
      <x:c r="I157" t="n">
        <x:v>322.2</x:v>
      </x:c>
      <x:c r="J157" t="str">
        <x:v>Enova årsfil; sammenlign kun innen samme kategori, år og metode</x:v>
      </x:c>
    </x:row>
    <x:row r="158" ht="22" customHeight="1">
      <x:c r="A158" t="n">
        <x:v>2016</x:v>
      </x:c>
      <x:c r="B158" t="str">
        <x:v>Sykehjem</x:v>
      </x:c>
      <x:c r="C158" t="str">
        <x:v>F</x:v>
      </x:c>
      <x:c r="D158" t="n">
        <x:v>10</x:v>
      </x:c>
      <x:c r="E158" t="n">
        <x:v>10</x:v>
      </x:c>
      <x:c r="F158" t="n">
        <x:v>364.8</x:v>
      </x:c>
      <x:c r="G158" t="n">
        <x:v>398.6</x:v>
      </x:c>
      <x:c r="H158" t="n">
        <x:v>408.4</x:v>
      </x:c>
      <x:c r="I158" t="n">
        <x:v>391.8</x:v>
      </x:c>
      <x:c r="J158" t="str">
        <x:v>Enova årsfil; sammenlign kun innen samme kategori, år og metode</x:v>
      </x:c>
    </x:row>
    <x:row r="159" ht="22" customHeight="1">
      <x:c r="A159" t="n">
        <x:v>2016</x:v>
      </x:c>
      <x:c r="B159" t="str">
        <x:v>Sykehus</x:v>
      </x:c>
      <x:c r="C159" t="str">
        <x:v>C</x:v>
      </x:c>
      <x:c r="D159" t="n">
        <x:v>5</x:v>
      </x:c>
      <x:c r="E159" t="n">
        <x:v>5</x:v>
      </x:c>
      <x:c r="F159" t="n">
        <x:v>261.8</x:v>
      </x:c>
      <x:c r="G159" t="n">
        <x:v>284.8</x:v>
      </x:c>
      <x:c r="H159" t="n">
        <x:v>300.1</x:v>
      </x:c>
      <x:c r="I159" t="n">
        <x:v>282.5</x:v>
      </x:c>
      <x:c r="J159" t="str">
        <x:v>Enova årsfil; sammenlign kun innen samme kategori, år og metode</x:v>
      </x:c>
    </x:row>
    <x:row r="160" ht="22" customHeight="1">
      <x:c r="A160" t="n">
        <x:v>2016</x:v>
      </x:c>
      <x:c r="B160" t="str">
        <x:v>Sykehus</x:v>
      </x:c>
      <x:c r="C160" t="str">
        <x:v>D</x:v>
      </x:c>
      <x:c r="D160" t="n">
        <x:v>4</x:v>
      </x:c>
      <x:c r="E160" t="n">
        <x:v>4</x:v>
      </x:c>
      <x:c r="F160" t="n">
        <x:v>315</x:v>
      </x:c>
      <x:c r="G160" t="n">
        <x:v>319.6</x:v>
      </x:c>
      <x:c r="H160" t="n">
        <x:v>337.4</x:v>
      </x:c>
      <x:c r="I160" t="n">
        <x:v>324.3</x:v>
      </x:c>
      <x:c r="J160" t="str">
        <x:v>Enova årsfil; sammenlign kun innen samme kategori, år og metode</x:v>
      </x:c>
    </x:row>
    <x:row r="161" ht="22" customHeight="1">
      <x:c r="A161" t="n">
        <x:v>2016</x:v>
      </x:c>
      <x:c r="B161" t="str">
        <x:v>Sykehus</x:v>
      </x:c>
      <x:c r="C161" t="str">
        <x:v>E</x:v>
      </x:c>
      <x:c r="D161" t="n">
        <x:v>1</x:v>
      </x:c>
      <x:c r="E161" t="n">
        <x:v>1</x:v>
      </x:c>
      <x:c r="F161" t="n">
        <x:v>383.5</x:v>
      </x:c>
      <x:c r="G161" t="n">
        <x:v>383.5</x:v>
      </x:c>
      <x:c r="H161" t="n">
        <x:v>383.5</x:v>
      </x:c>
      <x:c r="I161" t="n">
        <x:v>383.5</x:v>
      </x:c>
      <x:c r="J161" t="str">
        <x:v>Enova årsfil; sammenlign kun innen samme kategori, år og metode</x:v>
      </x:c>
    </x:row>
    <x:row r="162" ht="22" customHeight="1">
      <x:c r="A162" t="n">
        <x:v>2016</x:v>
      </x:c>
      <x:c r="B162" t="str">
        <x:v>Universitets- Og Høgskolebygg</x:v>
      </x:c>
      <x:c r="C162" t="str">
        <x:v>A</x:v>
      </x:c>
      <x:c r="D162" t="n">
        <x:v>1</x:v>
      </x:c>
      <x:c r="E162" t="n">
        <x:v>1</x:v>
      </x:c>
      <x:c r="F162" t="n">
        <x:v>85.6</x:v>
      </x:c>
      <x:c r="G162" t="n">
        <x:v>85.6</x:v>
      </x:c>
      <x:c r="H162" t="n">
        <x:v>85.6</x:v>
      </x:c>
      <x:c r="I162" t="n">
        <x:v>85.6</x:v>
      </x:c>
      <x:c r="J162" t="str">
        <x:v>Enova årsfil; sammenlign kun innen samme kategori, år og metode</x:v>
      </x:c>
    </x:row>
    <x:row r="163" ht="22" customHeight="1">
      <x:c r="A163" t="n">
        <x:v>2016</x:v>
      </x:c>
      <x:c r="B163" t="str">
        <x:v>Universitets- Og Høgskolebygg</x:v>
      </x:c>
      <x:c r="C163" t="str">
        <x:v>D</x:v>
      </x:c>
      <x:c r="D163" t="n">
        <x:v>1</x:v>
      </x:c>
      <x:c r="E163" t="n">
        <x:v>1</x:v>
      </x:c>
      <x:c r="F163" t="n">
        <x:v>191</x:v>
      </x:c>
      <x:c r="G163" t="n">
        <x:v>191</x:v>
      </x:c>
      <x:c r="H163" t="n">
        <x:v>191</x:v>
      </x:c>
      <x:c r="I163" t="n">
        <x:v>191</x:v>
      </x:c>
      <x:c r="J163" t="str">
        <x:v>Enova årsfil; sammenlign kun innen samme kategori, år og metode</x:v>
      </x:c>
    </x:row>
    <x:row r="164" ht="22" customHeight="1">
      <x:c r="A164" t="n">
        <x:v>2016</x:v>
      </x:c>
      <x:c r="B164" t="str">
        <x:v>Universitets- Og Høgskolebygg</x:v>
      </x:c>
      <x:c r="C164" t="str">
        <x:v>E</x:v>
      </x:c>
      <x:c r="D164" t="n">
        <x:v>2</x:v>
      </x:c>
      <x:c r="E164" t="n">
        <x:v>2</x:v>
      </x:c>
      <x:c r="F164" t="n">
        <x:v>218.3</x:v>
      </x:c>
      <x:c r="G164" t="n">
        <x:v>219.4</x:v>
      </x:c>
      <x:c r="H164" t="n">
        <x:v>220.6</x:v>
      </x:c>
      <x:c r="I164" t="n">
        <x:v>219.4</x:v>
      </x:c>
      <x:c r="J164" t="str">
        <x:v>Enova årsfil; sammenlign kun innen samme kategori, år og metode</x:v>
      </x:c>
    </x:row>
    <x:row r="165" ht="22" customHeight="1">
      <x:c r="A165" t="n">
        <x:v>2016</x:v>
      </x:c>
      <x:c r="B165" t="str">
        <x:v>Universitets- Og Høgskolebygg</x:v>
      </x:c>
      <x:c r="C165" t="str">
        <x:v>F</x:v>
      </x:c>
      <x:c r="D165" t="n">
        <x:v>2</x:v>
      </x:c>
      <x:c r="E165" t="n">
        <x:v>2</x:v>
      </x:c>
      <x:c r="F165" t="n">
        <x:v>271.3</x:v>
      </x:c>
      <x:c r="G165" t="n">
        <x:v>277.4</x:v>
      </x:c>
      <x:c r="H165" t="n">
        <x:v>283.5</x:v>
      </x:c>
      <x:c r="I165" t="n">
        <x:v>277.4</x:v>
      </x:c>
      <x:c r="J165" t="str">
        <x:v>Enova årsfil; sammenlign kun innen samme kategori, år og metode</x:v>
      </x:c>
    </x:row>
    <x:row r="166" ht="22" customHeight="1">
      <x:c r="A166" t="n">
        <x:v>2016</x:v>
      </x:c>
      <x:c r="B166" t="str">
        <x:v>Universitets- Og Høgskolebygg</x:v>
      </x:c>
      <x:c r="C166" t="str">
        <x:v>G</x:v>
      </x:c>
      <x:c r="D166" t="n">
        <x:v>1</x:v>
      </x:c>
      <x:c r="E166" t="n">
        <x:v>1</x:v>
      </x:c>
      <x:c r="F166" t="n">
        <x:v>438</x:v>
      </x:c>
      <x:c r="G166" t="n">
        <x:v>438</x:v>
      </x:c>
      <x:c r="H166" t="n">
        <x:v>438</x:v>
      </x:c>
      <x:c r="I166" t="n">
        <x:v>438</x:v>
      </x:c>
      <x:c r="J166" t="str">
        <x:v>Enova årsfil; sammenlign kun innen samme kategori, år og metode</x:v>
      </x:c>
    </x:row>
    <x:row r="167" ht="22" customHeight="1">
      <x:c r="A167" t="n">
        <x:v>2025</x:v>
      </x:c>
      <x:c r="B167" t="str">
        <x:v>Barnehager</x:v>
      </x:c>
      <x:c r="C167" t="str">
        <x:v>A</x:v>
      </x:c>
      <x:c r="D167" t="n">
        <x:v>7</x:v>
      </x:c>
      <x:c r="E167" t="n">
        <x:v>7</x:v>
      </x:c>
      <x:c r="F167" t="n">
        <x:v>37.3</x:v>
      </x:c>
      <x:c r="G167" t="n">
        <x:v>53.9</x:v>
      </x:c>
      <x:c r="H167" t="n">
        <x:v>71.8</x:v>
      </x:c>
      <x:c r="I167" t="n">
        <x:v>54.3</x:v>
      </x:c>
      <x:c r="J167" t="str">
        <x:v>Enova årsfil; sammenlign kun innen samme kategori, år og metode</x:v>
      </x:c>
    </x:row>
    <x:row r="168" ht="22" customHeight="1">
      <x:c r="A168" t="n">
        <x:v>2025</x:v>
      </x:c>
      <x:c r="B168" t="str">
        <x:v>Barnehager</x:v>
      </x:c>
      <x:c r="C168" t="str">
        <x:v>B</x:v>
      </x:c>
      <x:c r="D168" t="n">
        <x:v>55</x:v>
      </x:c>
      <x:c r="E168" t="n">
        <x:v>55</x:v>
      </x:c>
      <x:c r="F168" t="n">
        <x:v>81.5</x:v>
      </x:c>
      <x:c r="G168" t="n">
        <x:v>99.3</x:v>
      </x:c>
      <x:c r="H168" t="n">
        <x:v>112.4</x:v>
      </x:c>
      <x:c r="I168" t="n">
        <x:v>98.3</x:v>
      </x:c>
      <x:c r="J168" t="str">
        <x:v>Enova årsfil; sammenlign kun innen samme kategori, år og metode</x:v>
      </x:c>
    </x:row>
    <x:row r="169" ht="22" customHeight="1">
      <x:c r="A169" t="n">
        <x:v>2025</x:v>
      </x:c>
      <x:c r="B169" t="str">
        <x:v>Barnehager</x:v>
      </x:c>
      <x:c r="C169" t="str">
        <x:v>C</x:v>
      </x:c>
      <x:c r="D169" t="n">
        <x:v>38</x:v>
      </x:c>
      <x:c r="E169" t="n">
        <x:v>38</x:v>
      </x:c>
      <x:c r="F169" t="n">
        <x:v>119.3</x:v>
      </x:c>
      <x:c r="G169" t="n">
        <x:v>130.3</x:v>
      </x:c>
      <x:c r="H169" t="n">
        <x:v>138.7</x:v>
      </x:c>
      <x:c r="I169" t="n">
        <x:v>128.9</x:v>
      </x:c>
      <x:c r="J169" t="str">
        <x:v>Enova årsfil; sammenlign kun innen samme kategori, år og metode</x:v>
      </x:c>
    </x:row>
    <x:row r="170" ht="22" customHeight="1">
      <x:c r="A170" t="n">
        <x:v>2025</x:v>
      </x:c>
      <x:c r="B170" t="str">
        <x:v>Barnehager</x:v>
      </x:c>
      <x:c r="C170" t="str">
        <x:v>D</x:v>
      </x:c>
      <x:c r="D170" t="n">
        <x:v>46</x:v>
      </x:c>
      <x:c r="E170" t="n">
        <x:v>46</x:v>
      </x:c>
      <x:c r="F170" t="n">
        <x:v>148.6</x:v>
      </x:c>
      <x:c r="G170" t="n">
        <x:v>161.3</x:v>
      </x:c>
      <x:c r="H170" t="n">
        <x:v>176.4</x:v>
      </x:c>
      <x:c r="I170" t="n">
        <x:v>162</x:v>
      </x:c>
      <x:c r="J170" t="str">
        <x:v>Enova årsfil; sammenlign kun innen samme kategori, år og metode</x:v>
      </x:c>
    </x:row>
    <x:row r="171" ht="22" customHeight="1">
      <x:c r="A171" t="n">
        <x:v>2025</x:v>
      </x:c>
      <x:c r="B171" t="str">
        <x:v>Barnehager</x:v>
      </x:c>
      <x:c r="C171" t="str">
        <x:v>E</x:v>
      </x:c>
      <x:c r="D171" t="n">
        <x:v>36</x:v>
      </x:c>
      <x:c r="E171" t="n">
        <x:v>36</x:v>
      </x:c>
      <x:c r="F171" t="n">
        <x:v>182.7</x:v>
      </x:c>
      <x:c r="G171" t="n">
        <x:v>194.3</x:v>
      </x:c>
      <x:c r="H171" t="n">
        <x:v>212.7</x:v>
      </x:c>
      <x:c r="I171" t="n">
        <x:v>196.7</x:v>
      </x:c>
      <x:c r="J171" t="str">
        <x:v>Enova årsfil; sammenlign kun innen samme kategori, år og metode</x:v>
      </x:c>
    </x:row>
    <x:row r="172" ht="22" customHeight="1">
      <x:c r="A172" t="n">
        <x:v>2025</x:v>
      </x:c>
      <x:c r="B172" t="str">
        <x:v>Barnehager</x:v>
      </x:c>
      <x:c r="C172" t="str">
        <x:v>F</x:v>
      </x:c>
      <x:c r="D172" t="n">
        <x:v>18</x:v>
      </x:c>
      <x:c r="E172" t="n">
        <x:v>18</x:v>
      </x:c>
      <x:c r="F172" t="n">
        <x:v>225.2</x:v>
      </x:c>
      <x:c r="G172" t="n">
        <x:v>236.9</x:v>
      </x:c>
      <x:c r="H172" t="n">
        <x:v>268.8</x:v>
      </x:c>
      <x:c r="I172" t="n">
        <x:v>242.2</x:v>
      </x:c>
      <x:c r="J172" t="str">
        <x:v>Enova årsfil; sammenlign kun innen samme kategori, år og metode</x:v>
      </x:c>
    </x:row>
    <x:row r="173" ht="22" customHeight="1">
      <x:c r="A173" t="n">
        <x:v>2025</x:v>
      </x:c>
      <x:c r="B173" t="str">
        <x:v>Barnehager</x:v>
      </x:c>
      <x:c r="C173" t="str">
        <x:v>G</x:v>
      </x:c>
      <x:c r="D173" t="n">
        <x:v>10</x:v>
      </x:c>
      <x:c r="E173" t="n">
        <x:v>10</x:v>
      </x:c>
      <x:c r="F173" t="n">
        <x:v>303.8</x:v>
      </x:c>
      <x:c r="G173" t="n">
        <x:v>388.9</x:v>
      </x:c>
      <x:c r="H173" t="n">
        <x:v>446.9</x:v>
      </x:c>
      <x:c r="I173" t="n">
        <x:v>380.3</x:v>
      </x:c>
      <x:c r="J173" t="str">
        <x:v>Enova årsfil; sammenlign kun innen samme kategori, år og metode</x:v>
      </x:c>
    </x:row>
    <x:row r="174" ht="22" customHeight="1">
      <x:c r="A174" t="n">
        <x:v>2025</x:v>
      </x:c>
      <x:c r="B174" t="str">
        <x:v>Boligblokker</x:v>
      </x:c>
      <x:c r="C174" t="str">
        <x:v>A</x:v>
      </x:c>
      <x:c r="D174" t="n">
        <x:v>4180</x:v>
      </x:c>
      <x:c r="E174" t="n">
        <x:v>4180</x:v>
      </x:c>
      <x:c r="F174" t="n">
        <x:v>64.2</x:v>
      </x:c>
      <x:c r="G174" t="n">
        <x:v>74.5</x:v>
      </x:c>
      <x:c r="H174" t="n">
        <x:v>88.3</x:v>
      </x:c>
      <x:c r="I174" t="n">
        <x:v>75.1</x:v>
      </x:c>
      <x:c r="J174" t="str">
        <x:v>Enova årsfil; sammenlign kun innen samme kategori, år og metode</x:v>
      </x:c>
    </x:row>
    <x:row r="175" ht="22" customHeight="1">
      <x:c r="A175" t="n">
        <x:v>2025</x:v>
      </x:c>
      <x:c r="B175" t="str">
        <x:v>Boligblokker</x:v>
      </x:c>
      <x:c r="C175" t="str">
        <x:v>B</x:v>
      </x:c>
      <x:c r="D175" t="n">
        <x:v>7941</x:v>
      </x:c>
      <x:c r="E175" t="n">
        <x:v>7941</x:v>
      </x:c>
      <x:c r="F175" t="n">
        <x:v>87</x:v>
      </x:c>
      <x:c r="G175" t="n">
        <x:v>95.8</x:v>
      </x:c>
      <x:c r="H175" t="n">
        <x:v>109.2</x:v>
      </x:c>
      <x:c r="I175" t="n">
        <x:v>98.4</x:v>
      </x:c>
      <x:c r="J175" t="str">
        <x:v>Enova årsfil; sammenlign kun innen samme kategori, år og metode</x:v>
      </x:c>
    </x:row>
    <x:row r="176" ht="22" customHeight="1">
      <x:c r="A176" t="n">
        <x:v>2025</x:v>
      </x:c>
      <x:c r="B176" t="str">
        <x:v>Boligblokker</x:v>
      </x:c>
      <x:c r="C176" t="str">
        <x:v>C</x:v>
      </x:c>
      <x:c r="D176" t="n">
        <x:v>5314</x:v>
      </x:c>
      <x:c r="E176" t="n">
        <x:v>5313</x:v>
      </x:c>
      <x:c r="F176" t="n">
        <x:v>97.6</x:v>
      </x:c>
      <x:c r="G176" t="n">
        <x:v>116.4</x:v>
      </x:c>
      <x:c r="H176" t="n">
        <x:v>132.8</x:v>
      </x:c>
      <x:c r="I176" t="n">
        <x:v>116.7</x:v>
      </x:c>
      <x:c r="J176" t="str">
        <x:v>Enova årsfil; sammenlign kun innen samme kategori, år og metode</x:v>
      </x:c>
    </x:row>
    <x:row r="177" ht="22" customHeight="1">
      <x:c r="A177" t="n">
        <x:v>2025</x:v>
      </x:c>
      <x:c r="B177" t="str">
        <x:v>Boligblokker</x:v>
      </x:c>
      <x:c r="C177" t="str">
        <x:v>D</x:v>
      </x:c>
      <x:c r="D177" t="n">
        <x:v>6203</x:v>
      </x:c>
      <x:c r="E177" t="n">
        <x:v>6201</x:v>
      </x:c>
      <x:c r="F177" t="n">
        <x:v>133.6</x:v>
      </x:c>
      <x:c r="G177" t="n">
        <x:v>153.3</x:v>
      </x:c>
      <x:c r="H177" t="n">
        <x:v>180.2</x:v>
      </x:c>
      <x:c r="I177" t="n">
        <x:v>157.6</x:v>
      </x:c>
      <x:c r="J177" t="str">
        <x:v>Enova årsfil; sammenlign kun innen samme kategori, år og metode</x:v>
      </x:c>
    </x:row>
    <x:row r="178" ht="22" customHeight="1">
      <x:c r="A178" t="n">
        <x:v>2025</x:v>
      </x:c>
      <x:c r="B178" t="str">
        <x:v>Boligblokker</x:v>
      </x:c>
      <x:c r="C178" t="str">
        <x:v>E</x:v>
      </x:c>
      <x:c r="D178" t="n">
        <x:v>6345</x:v>
      </x:c>
      <x:c r="E178" t="n">
        <x:v>6342</x:v>
      </x:c>
      <x:c r="F178" t="n">
        <x:v>163.2</x:v>
      </x:c>
      <x:c r="G178" t="n">
        <x:v>186.6</x:v>
      </x:c>
      <x:c r="H178" t="n">
        <x:v>219.7</x:v>
      </x:c>
      <x:c r="I178" t="n">
        <x:v>190.2</x:v>
      </x:c>
      <x:c r="J178" t="str">
        <x:v>Enova årsfil; sammenlign kun innen samme kategori, år og metode</x:v>
      </x:c>
    </x:row>
    <x:row r="179" ht="22" customHeight="1">
      <x:c r="A179" t="n">
        <x:v>2025</x:v>
      </x:c>
      <x:c r="B179" t="str">
        <x:v>Boligblokker</x:v>
      </x:c>
      <x:c r="C179" t="str">
        <x:v>F</x:v>
      </x:c>
      <x:c r="D179" t="n">
        <x:v>7296</x:v>
      </x:c>
      <x:c r="E179" t="n">
        <x:v>7295</x:v>
      </x:c>
      <x:c r="F179" t="n">
        <x:v>190.5</x:v>
      </x:c>
      <x:c r="G179" t="n">
        <x:v>230</x:v>
      </x:c>
      <x:c r="H179" t="n">
        <x:v>274.6</x:v>
      </x:c>
      <x:c r="I179" t="n">
        <x:v>233.5</x:v>
      </x:c>
      <x:c r="J179" t="str">
        <x:v>Enova årsfil; sammenlign kun innen samme kategori, år og metode</x:v>
      </x:c>
    </x:row>
    <x:row r="180" ht="22" customHeight="1">
      <x:c r="A180" t="n">
        <x:v>2025</x:v>
      </x:c>
      <x:c r="B180" t="str">
        <x:v>Boligblokker</x:v>
      </x:c>
      <x:c r="C180" t="str">
        <x:v>G</x:v>
      </x:c>
      <x:c r="D180" t="n">
        <x:v>10473</x:v>
      </x:c>
      <x:c r="E180" t="n">
        <x:v>10466</x:v>
      </x:c>
      <x:c r="F180" t="n">
        <x:v>260.4</x:v>
      </x:c>
      <x:c r="G180" t="n">
        <x:v>345.1</x:v>
      </x:c>
      <x:c r="H180" t="n">
        <x:v>524.1</x:v>
      </x:c>
      <x:c r="I180" t="n">
        <x:v>373.1</x:v>
      </x:c>
      <x:c r="J180" t="str">
        <x:v>Enova årsfil; sammenlign kun innen samme kategori, år og metode</x:v>
      </x:c>
    </x:row>
    <x:row r="181" ht="22" customHeight="1">
      <x:c r="A181" t="n">
        <x:v>2025</x:v>
      </x:c>
      <x:c r="B181" t="str">
        <x:v>Forretningsbygg</x:v>
      </x:c>
      <x:c r="C181" t="str">
        <x:v>A</x:v>
      </x:c>
      <x:c r="D181" t="n">
        <x:v>44</x:v>
      </x:c>
      <x:c r="E181" t="n">
        <x:v>44</x:v>
      </x:c>
      <x:c r="F181" t="n">
        <x:v>75.9</x:v>
      </x:c>
      <x:c r="G181" t="n">
        <x:v>96.9</x:v>
      </x:c>
      <x:c r="H181" t="n">
        <x:v>112.4</x:v>
      </x:c>
      <x:c r="I181" t="n">
        <x:v>96.1</x:v>
      </x:c>
      <x:c r="J181" t="str">
        <x:v>Enova årsfil; sammenlign kun innen samme kategori, år og metode</x:v>
      </x:c>
    </x:row>
    <x:row r="182" ht="22" customHeight="1">
      <x:c r="A182" t="n">
        <x:v>2025</x:v>
      </x:c>
      <x:c r="B182" t="str">
        <x:v>Forretningsbygg</x:v>
      </x:c>
      <x:c r="C182" t="str">
        <x:v>B</x:v>
      </x:c>
      <x:c r="D182" t="n">
        <x:v>215</x:v>
      </x:c>
      <x:c r="E182" t="n">
        <x:v>215</x:v>
      </x:c>
      <x:c r="F182" t="n">
        <x:v>112.5</x:v>
      </x:c>
      <x:c r="G182" t="n">
        <x:v>140.7</x:v>
      </x:c>
      <x:c r="H182" t="n">
        <x:v>156.5</x:v>
      </x:c>
      <x:c r="I182" t="n">
        <x:v>136.7</x:v>
      </x:c>
      <x:c r="J182" t="str">
        <x:v>Enova årsfil; sammenlign kun innen samme kategori, år og metode</x:v>
      </x:c>
    </x:row>
    <x:row r="183" ht="22" customHeight="1">
      <x:c r="A183" t="n">
        <x:v>2025</x:v>
      </x:c>
      <x:c r="B183" t="str">
        <x:v>Forretningsbygg</x:v>
      </x:c>
      <x:c r="C183" t="str">
        <x:v>C</x:v>
      </x:c>
      <x:c r="D183" t="n">
        <x:v>277</x:v>
      </x:c>
      <x:c r="E183" t="n">
        <x:v>277</x:v>
      </x:c>
      <x:c r="F183" t="n">
        <x:v>166.3</x:v>
      </x:c>
      <x:c r="G183" t="n">
        <x:v>187</x:v>
      </x:c>
      <x:c r="H183" t="n">
        <x:v>203.6</x:v>
      </x:c>
      <x:c r="I183" t="n">
        <x:v>185.1</x:v>
      </x:c>
      <x:c r="J183" t="str">
        <x:v>Enova årsfil; sammenlign kun innen samme kategori, år og metode</x:v>
      </x:c>
    </x:row>
    <x:row r="184" ht="22" customHeight="1">
      <x:c r="A184" t="n">
        <x:v>2025</x:v>
      </x:c>
      <x:c r="B184" t="str">
        <x:v>Forretningsbygg</x:v>
      </x:c>
      <x:c r="C184" t="str">
        <x:v>D</x:v>
      </x:c>
      <x:c r="D184" t="n">
        <x:v>184</x:v>
      </x:c>
      <x:c r="E184" t="n">
        <x:v>184</x:v>
      </x:c>
      <x:c r="F184" t="n">
        <x:v>214.6</x:v>
      </x:c>
      <x:c r="G184" t="n">
        <x:v>231.9</x:v>
      </x:c>
      <x:c r="H184" t="n">
        <x:v>248.6</x:v>
      </x:c>
      <x:c r="I184" t="n">
        <x:v>231.3</x:v>
      </x:c>
      <x:c r="J184" t="str">
        <x:v>Enova årsfil; sammenlign kun innen samme kategori, år og metode</x:v>
      </x:c>
    </x:row>
    <x:row r="185" ht="22" customHeight="1">
      <x:c r="A185" t="n">
        <x:v>2025</x:v>
      </x:c>
      <x:c r="B185" t="str">
        <x:v>Forretningsbygg</x:v>
      </x:c>
      <x:c r="C185" t="str">
        <x:v>E</x:v>
      </x:c>
      <x:c r="D185" t="n">
        <x:v>108</x:v>
      </x:c>
      <x:c r="E185" t="n">
        <x:v>108</x:v>
      </x:c>
      <x:c r="F185" t="n">
        <x:v>260.4</x:v>
      </x:c>
      <x:c r="G185" t="n">
        <x:v>277.3</x:v>
      </x:c>
      <x:c r="H185" t="n">
        <x:v>294.3</x:v>
      </x:c>
      <x:c r="I185" t="n">
        <x:v>277.3</x:v>
      </x:c>
      <x:c r="J185" t="str">
        <x:v>Enova årsfil; sammenlign kun innen samme kategori, år og metode</x:v>
      </x:c>
    </x:row>
    <x:row r="186" ht="22" customHeight="1">
      <x:c r="A186" t="n">
        <x:v>2025</x:v>
      </x:c>
      <x:c r="B186" t="str">
        <x:v>Forretningsbygg</x:v>
      </x:c>
      <x:c r="C186" t="str">
        <x:v>F</x:v>
      </x:c>
      <x:c r="D186" t="n">
        <x:v>96</x:v>
      </x:c>
      <x:c r="E186" t="n">
        <x:v>96</x:v>
      </x:c>
      <x:c r="F186" t="n">
        <x:v>304.2</x:v>
      </x:c>
      <x:c r="G186" t="n">
        <x:v>339.1</x:v>
      </x:c>
      <x:c r="H186" t="n">
        <x:v>370.9</x:v>
      </x:c>
      <x:c r="I186" t="n">
        <x:v>337.5</x:v>
      </x:c>
      <x:c r="J186" t="str">
        <x:v>Enova årsfil; sammenlign kun innen samme kategori, år og metode</x:v>
      </x:c>
    </x:row>
    <x:row r="187" ht="22" customHeight="1">
      <x:c r="A187" t="n">
        <x:v>2025</x:v>
      </x:c>
      <x:c r="B187" t="str">
        <x:v>Forretningsbygg</x:v>
      </x:c>
      <x:c r="C187" t="str">
        <x:v>G</x:v>
      </x:c>
      <x:c r="D187" t="n">
        <x:v>126</x:v>
      </x:c>
      <x:c r="E187" t="n">
        <x:v>126</x:v>
      </x:c>
      <x:c r="F187" t="n">
        <x:v>382.5</x:v>
      </x:c>
      <x:c r="G187" t="n">
        <x:v>426.3</x:v>
      </x:c>
      <x:c r="H187" t="n">
        <x:v>607.2</x:v>
      </x:c>
      <x:c r="I187" t="n">
        <x:v>463.4</x:v>
      </x:c>
      <x:c r="J187" t="str">
        <x:v>Enova årsfil; sammenlign kun innen samme kategori, år og metode</x:v>
      </x:c>
    </x:row>
    <x:row r="188" ht="22" customHeight="1">
      <x:c r="A188" t="n">
        <x:v>2025</x:v>
      </x:c>
      <x:c r="B188" t="str">
        <x:v>Hoteller</x:v>
      </x:c>
      <x:c r="C188" t="str">
        <x:v>A</x:v>
      </x:c>
      <x:c r="D188" t="n">
        <x:v>9</x:v>
      </x:c>
      <x:c r="E188" t="n">
        <x:v>9</x:v>
      </x:c>
      <x:c r="F188" t="n">
        <x:v>110.3</x:v>
      </x:c>
      <x:c r="G188" t="n">
        <x:v>125</x:v>
      </x:c>
      <x:c r="H188" t="n">
        <x:v>135.3</x:v>
      </x:c>
      <x:c r="I188" t="n">
        <x:v>122.7</x:v>
      </x:c>
      <x:c r="J188" t="str">
        <x:v>Enova årsfil; sammenlign kun innen samme kategori, år og metode</x:v>
      </x:c>
    </x:row>
    <x:row r="189" ht="22" customHeight="1">
      <x:c r="A189" t="n">
        <x:v>2025</x:v>
      </x:c>
      <x:c r="B189" t="str">
        <x:v>Hoteller</x:v>
      </x:c>
      <x:c r="C189" t="str">
        <x:v>B</x:v>
      </x:c>
      <x:c r="D189" t="n">
        <x:v>225</x:v>
      </x:c>
      <x:c r="E189" t="n">
        <x:v>225</x:v>
      </x:c>
      <x:c r="F189" t="n">
        <x:v>149.4</x:v>
      </x:c>
      <x:c r="G189" t="n">
        <x:v>149.4</x:v>
      </x:c>
      <x:c r="H189" t="n">
        <x:v>175.3</x:v>
      </x:c>
      <x:c r="I189" t="n">
        <x:v>153.3</x:v>
      </x:c>
      <x:c r="J189" t="str">
        <x:v>Enova årsfil; sammenlign kun innen samme kategori, år og metode</x:v>
      </x:c>
    </x:row>
    <x:row r="190" ht="22" customHeight="1">
      <x:c r="A190" t="n">
        <x:v>2025</x:v>
      </x:c>
      <x:c r="B190" t="str">
        <x:v>Hoteller</x:v>
      </x:c>
      <x:c r="C190" t="str">
        <x:v>C</x:v>
      </x:c>
      <x:c r="D190" t="n">
        <x:v>130</x:v>
      </x:c>
      <x:c r="E190" t="n">
        <x:v>130</x:v>
      </x:c>
      <x:c r="F190" t="n">
        <x:v>191</x:v>
      </x:c>
      <x:c r="G190" t="n">
        <x:v>201.9</x:v>
      </x:c>
      <x:c r="H190" t="n">
        <x:v>231.6</x:v>
      </x:c>
      <x:c r="I190" t="n">
        <x:v>205.5</x:v>
      </x:c>
      <x:c r="J190" t="str">
        <x:v>Enova årsfil; sammenlign kun innen samme kategori, år og metode</x:v>
      </x:c>
    </x:row>
    <x:row r="191" ht="22" customHeight="1">
      <x:c r="A191" t="n">
        <x:v>2025</x:v>
      </x:c>
      <x:c r="B191" t="str">
        <x:v>Hoteller</x:v>
      </x:c>
      <x:c r="C191" t="str">
        <x:v>D</x:v>
      </x:c>
      <x:c r="D191" t="n">
        <x:v>42</x:v>
      </x:c>
      <x:c r="E191" t="n">
        <x:v>42</x:v>
      </x:c>
      <x:c r="F191" t="n">
        <x:v>242.4</x:v>
      </x:c>
      <x:c r="G191" t="n">
        <x:v>262.3</x:v>
      </x:c>
      <x:c r="H191" t="n">
        <x:v>281.5</x:v>
      </x:c>
      <x:c r="I191" t="n">
        <x:v>262.1</x:v>
      </x:c>
      <x:c r="J191" t="str">
        <x:v>Enova årsfil; sammenlign kun innen samme kategori, år og metode</x:v>
      </x:c>
    </x:row>
    <x:row r="192" ht="22" customHeight="1">
      <x:c r="A192" t="n">
        <x:v>2025</x:v>
      </x:c>
      <x:c r="B192" t="str">
        <x:v>Hoteller</x:v>
      </x:c>
      <x:c r="C192" t="str">
        <x:v>E</x:v>
      </x:c>
      <x:c r="D192" t="n">
        <x:v>32</x:v>
      </x:c>
      <x:c r="E192" t="n">
        <x:v>32</x:v>
      </x:c>
      <x:c r="F192" t="n">
        <x:v>294.4</x:v>
      </x:c>
      <x:c r="G192" t="n">
        <x:v>315</x:v>
      </x:c>
      <x:c r="H192" t="n">
        <x:v>333.7</x:v>
      </x:c>
      <x:c r="I192" t="n">
        <x:v>315</x:v>
      </x:c>
      <x:c r="J192" t="str">
        <x:v>Enova årsfil; sammenlign kun innen samme kategori, år og metode</x:v>
      </x:c>
    </x:row>
    <x:row r="193" ht="22" customHeight="1">
      <x:c r="A193" t="n">
        <x:v>2025</x:v>
      </x:c>
      <x:c r="B193" t="str">
        <x:v>Hoteller</x:v>
      </x:c>
      <x:c r="C193" t="str">
        <x:v>F</x:v>
      </x:c>
      <x:c r="D193" t="n">
        <x:v>45</x:v>
      </x:c>
      <x:c r="E193" t="n">
        <x:v>45</x:v>
      </x:c>
      <x:c r="F193" t="n">
        <x:v>349.6</x:v>
      </x:c>
      <x:c r="G193" t="n">
        <x:v>374.4</x:v>
      </x:c>
      <x:c r="H193" t="n">
        <x:v>409</x:v>
      </x:c>
      <x:c r="I193" t="n">
        <x:v>377.7</x:v>
      </x:c>
      <x:c r="J193" t="str">
        <x:v>Enova årsfil; sammenlign kun innen samme kategori, år og metode</x:v>
      </x:c>
    </x:row>
    <x:row r="194" ht="22" customHeight="1">
      <x:c r="A194" t="n">
        <x:v>2025</x:v>
      </x:c>
      <x:c r="B194" t="str">
        <x:v>Hoteller</x:v>
      </x:c>
      <x:c r="C194" t="str">
        <x:v>G</x:v>
      </x:c>
      <x:c r="D194" t="n">
        <x:v>42</x:v>
      </x:c>
      <x:c r="E194" t="n">
        <x:v>39</x:v>
      </x:c>
      <x:c r="F194" t="n">
        <x:v>417.5</x:v>
      </x:c>
      <x:c r="G194" t="n">
        <x:v>448.6</x:v>
      </x:c>
      <x:c r="H194" t="n">
        <x:v>626.8</x:v>
      </x:c>
      <x:c r="I194" t="n">
        <x:v>491</x:v>
      </x:c>
      <x:c r="J194" t="str">
        <x:v>Enova årsfil; sammenlign kun innen samme kategori, år og metode</x:v>
      </x:c>
    </x:row>
    <x:row r="195" ht="22" customHeight="1">
      <x:c r="A195" t="n">
        <x:v>2025</x:v>
      </x:c>
      <x:c r="B195" t="str">
        <x:v>Idrettsbygg</x:v>
      </x:c>
      <x:c r="C195" t="str">
        <x:v>A</x:v>
      </x:c>
      <x:c r="D195" t="n">
        <x:v>18</x:v>
      </x:c>
      <x:c r="E195" t="n">
        <x:v>18</x:v>
      </x:c>
      <x:c r="F195" t="n">
        <x:v>59</x:v>
      </x:c>
      <x:c r="G195" t="n">
        <x:v>102.9</x:v>
      </x:c>
      <x:c r="H195" t="n">
        <x:v>120.8</x:v>
      </x:c>
      <x:c r="I195" t="n">
        <x:v>92.2</x:v>
      </x:c>
      <x:c r="J195" t="str">
        <x:v>Enova årsfil; sammenlign kun innen samme kategori, år og metode</x:v>
      </x:c>
    </x:row>
    <x:row r="196" ht="22" customHeight="1">
      <x:c r="A196" t="n">
        <x:v>2025</x:v>
      </x:c>
      <x:c r="B196" t="str">
        <x:v>Idrettsbygg</x:v>
      </x:c>
      <x:c r="C196" t="str">
        <x:v>B</x:v>
      </x:c>
      <x:c r="D196" t="n">
        <x:v>39</x:v>
      </x:c>
      <x:c r="E196" t="n">
        <x:v>39</x:v>
      </x:c>
      <x:c r="F196" t="n">
        <x:v>111.5</x:v>
      </x:c>
      <x:c r="G196" t="n">
        <x:v>136.1</x:v>
      </x:c>
      <x:c r="H196" t="n">
        <x:v>157.1</x:v>
      </x:c>
      <x:c r="I196" t="n">
        <x:v>135.8</x:v>
      </x:c>
      <x:c r="J196" t="str">
        <x:v>Enova årsfil; sammenlign kun innen samme kategori, år og metode</x:v>
      </x:c>
    </x:row>
    <x:row r="197" ht="22" customHeight="1">
      <x:c r="A197" t="n">
        <x:v>2025</x:v>
      </x:c>
      <x:c r="B197" t="str">
        <x:v>Idrettsbygg</x:v>
      </x:c>
      <x:c r="C197" t="str">
        <x:v>C</x:v>
      </x:c>
      <x:c r="D197" t="n">
        <x:v>30</x:v>
      </x:c>
      <x:c r="E197" t="n">
        <x:v>30</x:v>
      </x:c>
      <x:c r="F197" t="n">
        <x:v>174.4</x:v>
      </x:c>
      <x:c r="G197" t="n">
        <x:v>190.4</x:v>
      </x:c>
      <x:c r="H197" t="n">
        <x:v>199.4</x:v>
      </x:c>
      <x:c r="I197" t="n">
        <x:v>189.1</x:v>
      </x:c>
      <x:c r="J197" t="str">
        <x:v>Enova årsfil; sammenlign kun innen samme kategori, år og metode</x:v>
      </x:c>
    </x:row>
    <x:row r="198" ht="22" customHeight="1">
      <x:c r="A198" t="n">
        <x:v>2025</x:v>
      </x:c>
      <x:c r="B198" t="str">
        <x:v>Idrettsbygg</x:v>
      </x:c>
      <x:c r="C198" t="str">
        <x:v>D</x:v>
      </x:c>
      <x:c r="D198" t="n">
        <x:v>21</x:v>
      </x:c>
      <x:c r="E198" t="n">
        <x:v>21</x:v>
      </x:c>
      <x:c r="F198" t="n">
        <x:v>208.7</x:v>
      </x:c>
      <x:c r="G198" t="n">
        <x:v>239.2</x:v>
      </x:c>
      <x:c r="H198" t="n">
        <x:v>260.7</x:v>
      </x:c>
      <x:c r="I198" t="n">
        <x:v>236</x:v>
      </x:c>
      <x:c r="J198" t="str">
        <x:v>Enova årsfil; sammenlign kun innen samme kategori, år og metode</x:v>
      </x:c>
    </x:row>
    <x:row r="199" ht="22" customHeight="1">
      <x:c r="A199" t="n">
        <x:v>2025</x:v>
      </x:c>
      <x:c r="B199" t="str">
        <x:v>Idrettsbygg</x:v>
      </x:c>
      <x:c r="C199" t="str">
        <x:v>E</x:v>
      </x:c>
      <x:c r="D199" t="n">
        <x:v>17</x:v>
      </x:c>
      <x:c r="E199" t="n">
        <x:v>17</x:v>
      </x:c>
      <x:c r="F199" t="n">
        <x:v>289</x:v>
      </x:c>
      <x:c r="G199" t="n">
        <x:v>309.8</x:v>
      </x:c>
      <x:c r="H199" t="n">
        <x:v>340.3</x:v>
      </x:c>
      <x:c r="I199" t="n">
        <x:v>311.4</x:v>
      </x:c>
      <x:c r="J199" t="str">
        <x:v>Enova årsfil; sammenlign kun innen samme kategori, år og metode</x:v>
      </x:c>
    </x:row>
    <x:row r="200" ht="22" customHeight="1">
      <x:c r="A200" t="n">
        <x:v>2025</x:v>
      </x:c>
      <x:c r="B200" t="str">
        <x:v>Idrettsbygg</x:v>
      </x:c>
      <x:c r="C200" t="str">
        <x:v>F</x:v>
      </x:c>
      <x:c r="D200" t="n">
        <x:v>6</x:v>
      </x:c>
      <x:c r="E200" t="n">
        <x:v>6</x:v>
      </x:c>
      <x:c r="F200" t="n">
        <x:v>363.6</x:v>
      </x:c>
      <x:c r="G200" t="n">
        <x:v>384.8</x:v>
      </x:c>
      <x:c r="H200" t="n">
        <x:v>410</x:v>
      </x:c>
      <x:c r="I200" t="n">
        <x:v>386.2</x:v>
      </x:c>
      <x:c r="J200" t="str">
        <x:v>Enova årsfil; sammenlign kun innen samme kategori, år og metode</x:v>
      </x:c>
    </x:row>
    <x:row r="201" ht="22" customHeight="1">
      <x:c r="A201" t="n">
        <x:v>2025</x:v>
      </x:c>
      <x:c r="B201" t="str">
        <x:v>Idrettsbygg</x:v>
      </x:c>
      <x:c r="C201" t="str">
        <x:v>G</x:v>
      </x:c>
      <x:c r="D201" t="n">
        <x:v>1</x:v>
      </x:c>
      <x:c r="E201" t="n">
        <x:v>1</x:v>
      </x:c>
      <x:c r="F201" t="n">
        <x:v>443.2</x:v>
      </x:c>
      <x:c r="G201" t="n">
        <x:v>443.2</x:v>
      </x:c>
      <x:c r="H201" t="n">
        <x:v>443.2</x:v>
      </x:c>
      <x:c r="I201" t="n">
        <x:v>443.2</x:v>
      </x:c>
      <x:c r="J201" t="str">
        <x:v>Enova årsfil; sammenlign kun innen samme kategori, år og metode</x:v>
      </x:c>
    </x:row>
    <x:row r="202" ht="22" customHeight="1">
      <x:c r="A202" t="n">
        <x:v>2025</x:v>
      </x:c>
      <x:c r="B202" t="str">
        <x:v>Kontorbygg</x:v>
      </x:c>
      <x:c r="C202" t="str">
        <x:v>A</x:v>
      </x:c>
      <x:c r="D202" t="n">
        <x:v>57</x:v>
      </x:c>
      <x:c r="E202" t="n">
        <x:v>57</x:v>
      </x:c>
      <x:c r="F202" t="n">
        <x:v>53.5</x:v>
      </x:c>
      <x:c r="G202" t="n">
        <x:v>81.5</x:v>
      </x:c>
      <x:c r="H202" t="n">
        <x:v>89.6</x:v>
      </x:c>
      <x:c r="I202" t="n">
        <x:v>76.3</x:v>
      </x:c>
      <x:c r="J202" t="str">
        <x:v>Enova årsfil; sammenlign kun innen samme kategori, år og metode</x:v>
      </x:c>
    </x:row>
    <x:row r="203" ht="22" customHeight="1">
      <x:c r="A203" t="n">
        <x:v>2025</x:v>
      </x:c>
      <x:c r="B203" t="str">
        <x:v>Kontorbygg</x:v>
      </x:c>
      <x:c r="C203" t="str">
        <x:v>B</x:v>
      </x:c>
      <x:c r="D203" t="n">
        <x:v>223</x:v>
      </x:c>
      <x:c r="E203" t="n">
        <x:v>223</x:v>
      </x:c>
      <x:c r="F203" t="n">
        <x:v>90.2</x:v>
      </x:c>
      <x:c r="G203" t="n">
        <x:v>106.9</x:v>
      </x:c>
      <x:c r="H203" t="n">
        <x:v>114.4</x:v>
      </x:c>
      <x:c r="I203" t="n">
        <x:v>103.2</x:v>
      </x:c>
      <x:c r="J203" t="str">
        <x:v>Enova årsfil; sammenlign kun innen samme kategori, år og metode</x:v>
      </x:c>
    </x:row>
    <x:row r="204" ht="22" customHeight="1">
      <x:c r="A204" t="n">
        <x:v>2025</x:v>
      </x:c>
      <x:c r="B204" t="str">
        <x:v>Kontorbygg</x:v>
      </x:c>
      <x:c r="C204" t="str">
        <x:v>C</x:v>
      </x:c>
      <x:c r="D204" t="n">
        <x:v>279</x:v>
      </x:c>
      <x:c r="E204" t="n">
        <x:v>279</x:v>
      </x:c>
      <x:c r="F204" t="n">
        <x:v>120.7</x:v>
      </x:c>
      <x:c r="G204" t="n">
        <x:v>133.4</x:v>
      </x:c>
      <x:c r="H204" t="n">
        <x:v>142.7</x:v>
      </x:c>
      <x:c r="I204" t="n">
        <x:v>132.5</x:v>
      </x:c>
      <x:c r="J204" t="str">
        <x:v>Enova årsfil; sammenlign kun innen samme kategori, år og metode</x:v>
      </x:c>
    </x:row>
    <x:row r="205" ht="22" customHeight="1">
      <x:c r="A205" t="n">
        <x:v>2025</x:v>
      </x:c>
      <x:c r="B205" t="str">
        <x:v>Kontorbygg</x:v>
      </x:c>
      <x:c r="C205" t="str">
        <x:v>D</x:v>
      </x:c>
      <x:c r="D205" t="n">
        <x:v>362</x:v>
      </x:c>
      <x:c r="E205" t="n">
        <x:v>362</x:v>
      </x:c>
      <x:c r="F205" t="n">
        <x:v>150.8</x:v>
      </x:c>
      <x:c r="G205" t="n">
        <x:v>161.8</x:v>
      </x:c>
      <x:c r="H205" t="n">
        <x:v>177.2</x:v>
      </x:c>
      <x:c r="I205" t="n">
        <x:v>163.3</x:v>
      </x:c>
      <x:c r="J205" t="str">
        <x:v>Enova årsfil; sammenlign kun innen samme kategori, år og metode</x:v>
      </x:c>
    </x:row>
    <x:row r="206" ht="22" customHeight="1">
      <x:c r="A206" t="n">
        <x:v>2025</x:v>
      </x:c>
      <x:c r="B206" t="str">
        <x:v>Kontorbygg</x:v>
      </x:c>
      <x:c r="C206" t="str">
        <x:v>E</x:v>
      </x:c>
      <x:c r="D206" t="n">
        <x:v>271</x:v>
      </x:c>
      <x:c r="E206" t="n">
        <x:v>271</x:v>
      </x:c>
      <x:c r="F206" t="n">
        <x:v>185.5</x:v>
      </x:c>
      <x:c r="G206" t="n">
        <x:v>200.2</x:v>
      </x:c>
      <x:c r="H206" t="n">
        <x:v>215</x:v>
      </x:c>
      <x:c r="I206" t="n">
        <x:v>200.7</x:v>
      </x:c>
      <x:c r="J206" t="str">
        <x:v>Enova årsfil; sammenlign kun innen samme kategori, år og metode</x:v>
      </x:c>
    </x:row>
    <x:row r="207" ht="22" customHeight="1">
      <x:c r="A207" t="n">
        <x:v>2025</x:v>
      </x:c>
      <x:c r="B207" t="str">
        <x:v>Kontorbygg</x:v>
      </x:c>
      <x:c r="C207" t="str">
        <x:v>F</x:v>
      </x:c>
      <x:c r="D207" t="n">
        <x:v>163</x:v>
      </x:c>
      <x:c r="E207" t="n">
        <x:v>163</x:v>
      </x:c>
      <x:c r="F207" t="n">
        <x:v>225.6</x:v>
      </x:c>
      <x:c r="G207" t="n">
        <x:v>246.8</x:v>
      </x:c>
      <x:c r="H207" t="n">
        <x:v>266.1</x:v>
      </x:c>
      <x:c r="I207" t="n">
        <x:v>247.4</x:v>
      </x:c>
      <x:c r="J207" t="str">
        <x:v>Enova årsfil; sammenlign kun innen samme kategori, år og metode</x:v>
      </x:c>
    </x:row>
    <x:row r="208" ht="22" customHeight="1">
      <x:c r="A208" t="n">
        <x:v>2025</x:v>
      </x:c>
      <x:c r="B208" t="str">
        <x:v>Kontorbygg</x:v>
      </x:c>
      <x:c r="C208" t="str">
        <x:v>G</x:v>
      </x:c>
      <x:c r="D208" t="n">
        <x:v>181</x:v>
      </x:c>
      <x:c r="E208" t="n">
        <x:v>181</x:v>
      </x:c>
      <x:c r="F208" t="n">
        <x:v>282.4</x:v>
      </x:c>
      <x:c r="G208" t="n">
        <x:v>327.4</x:v>
      </x:c>
      <x:c r="H208" t="n">
        <x:v>447</x:v>
      </x:c>
      <x:c r="I208" t="n">
        <x:v>349.8</x:v>
      </x:c>
      <x:c r="J208" t="str">
        <x:v>Enova årsfil; sammenlign kun innen samme kategori, år og metode</x:v>
      </x:c>
    </x:row>
    <x:row r="209" ht="22" customHeight="1">
      <x:c r="A209" t="n">
        <x:v>2025</x:v>
      </x:c>
      <x:c r="B209" t="str">
        <x:v>Kulturbygg</x:v>
      </x:c>
      <x:c r="C209" t="str">
        <x:v>A</x:v>
      </x:c>
      <x:c r="D209" t="n">
        <x:v>4</x:v>
      </x:c>
      <x:c r="E209" t="n">
        <x:v>4</x:v>
      </x:c>
      <x:c r="F209" t="n">
        <x:v>70.9</x:v>
      </x:c>
      <x:c r="G209" t="n">
        <x:v>78</x:v>
      </x:c>
      <x:c r="H209" t="n">
        <x:v>84.2</x:v>
      </x:c>
      <x:c r="I209" t="n">
        <x:v>77.7</x:v>
      </x:c>
      <x:c r="J209" t="str">
        <x:v>Enova årsfil; sammenlign kun innen samme kategori, år og metode</x:v>
      </x:c>
    </x:row>
    <x:row r="210" ht="22" customHeight="1">
      <x:c r="A210" t="n">
        <x:v>2025</x:v>
      </x:c>
      <x:c r="B210" t="str">
        <x:v>Kulturbygg</x:v>
      </x:c>
      <x:c r="C210" t="str">
        <x:v>B</x:v>
      </x:c>
      <x:c r="D210" t="n">
        <x:v>13</x:v>
      </x:c>
      <x:c r="E210" t="n">
        <x:v>13</x:v>
      </x:c>
      <x:c r="F210" t="n">
        <x:v>82.5</x:v>
      </x:c>
      <x:c r="G210" t="n">
        <x:v>113.8</x:v>
      </x:c>
      <x:c r="H210" t="n">
        <x:v>132.7</x:v>
      </x:c>
      <x:c r="I210" t="n">
        <x:v>112.8</x:v>
      </x:c>
      <x:c r="J210" t="str">
        <x:v>Enova årsfil; sammenlign kun innen samme kategori, år og metode</x:v>
      </x:c>
    </x:row>
    <x:row r="211" ht="22" customHeight="1">
      <x:c r="A211" t="n">
        <x:v>2025</x:v>
      </x:c>
      <x:c r="B211" t="str">
        <x:v>Kulturbygg</x:v>
      </x:c>
      <x:c r="C211" t="str">
        <x:v>C</x:v>
      </x:c>
      <x:c r="D211" t="n">
        <x:v>13</x:v>
      </x:c>
      <x:c r="E211" t="n">
        <x:v>13</x:v>
      </x:c>
      <x:c r="F211" t="n">
        <x:v>138.7</x:v>
      </x:c>
      <x:c r="G211" t="n">
        <x:v>158</x:v>
      </x:c>
      <x:c r="H211" t="n">
        <x:v>170.1</x:v>
      </x:c>
      <x:c r="I211" t="n">
        <x:v>157.4</x:v>
      </x:c>
      <x:c r="J211" t="str">
        <x:v>Enova årsfil; sammenlign kun innen samme kategori, år og metode</x:v>
      </x:c>
    </x:row>
    <x:row r="212" ht="22" customHeight="1">
      <x:c r="A212" t="n">
        <x:v>2025</x:v>
      </x:c>
      <x:c r="B212" t="str">
        <x:v>Kulturbygg</x:v>
      </x:c>
      <x:c r="C212" t="str">
        <x:v>D</x:v>
      </x:c>
      <x:c r="D212" t="n">
        <x:v>14</x:v>
      </x:c>
      <x:c r="E212" t="n">
        <x:v>14</x:v>
      </x:c>
      <x:c r="F212" t="n">
        <x:v>176.9</x:v>
      </x:c>
      <x:c r="G212" t="n">
        <x:v>183.6</x:v>
      </x:c>
      <x:c r="H212" t="n">
        <x:v>207.2</x:v>
      </x:c>
      <x:c r="I212" t="n">
        <x:v>189</x:v>
      </x:c>
      <x:c r="J212" t="str">
        <x:v>Enova årsfil; sammenlign kun innen samme kategori, år og metode</x:v>
      </x:c>
    </x:row>
    <x:row r="213" ht="22" customHeight="1">
      <x:c r="A213" t="n">
        <x:v>2025</x:v>
      </x:c>
      <x:c r="B213" t="str">
        <x:v>Kulturbygg</x:v>
      </x:c>
      <x:c r="C213" t="str">
        <x:v>E</x:v>
      </x:c>
      <x:c r="D213" t="n">
        <x:v>7</x:v>
      </x:c>
      <x:c r="E213" t="n">
        <x:v>7</x:v>
      </x:c>
      <x:c r="F213" t="n">
        <x:v>224.6</x:v>
      </x:c>
      <x:c r="G213" t="n">
        <x:v>228.5</x:v>
      </x:c>
      <x:c r="H213" t="n">
        <x:v>240.9</x:v>
      </x:c>
      <x:c r="I213" t="n">
        <x:v>231.5</x:v>
      </x:c>
      <x:c r="J213" t="str">
        <x:v>Enova årsfil; sammenlign kun innen samme kategori, år og metode</x:v>
      </x:c>
    </x:row>
    <x:row r="214" ht="22" customHeight="1">
      <x:c r="A214" t="n">
        <x:v>2025</x:v>
      </x:c>
      <x:c r="B214" t="str">
        <x:v>Kulturbygg</x:v>
      </x:c>
      <x:c r="C214" t="str">
        <x:v>F</x:v>
      </x:c>
      <x:c r="D214" t="n">
        <x:v>14</x:v>
      </x:c>
      <x:c r="E214" t="n">
        <x:v>14</x:v>
      </x:c>
      <x:c r="F214" t="n">
        <x:v>257.6</x:v>
      </x:c>
      <x:c r="G214" t="n">
        <x:v>280.1</x:v>
      </x:c>
      <x:c r="H214" t="n">
        <x:v>303.2</x:v>
      </x:c>
      <x:c r="I214" t="n">
        <x:v>280.1</x:v>
      </x:c>
      <x:c r="J214" t="str">
        <x:v>Enova årsfil; sammenlign kun innen samme kategori, år og metode</x:v>
      </x:c>
    </x:row>
    <x:row r="215" ht="22" customHeight="1">
      <x:c r="A215" t="n">
        <x:v>2025</x:v>
      </x:c>
      <x:c r="B215" t="str">
        <x:v>Kulturbygg</x:v>
      </x:c>
      <x:c r="C215" t="str">
        <x:v>G</x:v>
      </x:c>
      <x:c r="D215" t="n">
        <x:v>23</x:v>
      </x:c>
      <x:c r="E215" t="n">
        <x:v>23</x:v>
      </x:c>
      <x:c r="F215" t="n">
        <x:v>326.6</x:v>
      </x:c>
      <x:c r="G215" t="n">
        <x:v>395.9</x:v>
      </x:c>
      <x:c r="H215" t="n">
        <x:v>500</x:v>
      </x:c>
      <x:c r="I215" t="n">
        <x:v>414.2</x:v>
      </x:c>
      <x:c r="J215" t="str">
        <x:v>Enova årsfil; sammenlign kun innen samme kategori, år og metode</x:v>
      </x:c>
    </x:row>
    <x:row r="216" ht="22" customHeight="1">
      <x:c r="A216" t="n">
        <x:v>2025</x:v>
      </x:c>
      <x:c r="B216" t="str">
        <x:v>Lett Industri, Verksteder</x:v>
      </x:c>
      <x:c r="C216" t="str">
        <x:v>A</x:v>
      </x:c>
      <x:c r="D216" t="n">
        <x:v>70</x:v>
      </x:c>
      <x:c r="E216" t="n">
        <x:v>70</x:v>
      </x:c>
      <x:c r="F216" t="n">
        <x:v>59.7</x:v>
      </x:c>
      <x:c r="G216" t="n">
        <x:v>87</x:v>
      </x:c>
      <x:c r="H216" t="n">
        <x:v>102.4</x:v>
      </x:c>
      <x:c r="I216" t="n">
        <x:v>84.6</x:v>
      </x:c>
      <x:c r="J216" t="str">
        <x:v>Enova årsfil; sammenlign kun innen samme kategori, år og metode</x:v>
      </x:c>
    </x:row>
    <x:row r="217" ht="22" customHeight="1">
      <x:c r="A217" t="n">
        <x:v>2025</x:v>
      </x:c>
      <x:c r="B217" t="str">
        <x:v>Lett Industri, Verksteder</x:v>
      </x:c>
      <x:c r="C217" t="str">
        <x:v>B</x:v>
      </x:c>
      <x:c r="D217" t="n">
        <x:v>191</x:v>
      </x:c>
      <x:c r="E217" t="n">
        <x:v>191</x:v>
      </x:c>
      <x:c r="F217" t="n">
        <x:v>93.7</x:v>
      </x:c>
      <x:c r="G217" t="n">
        <x:v>124.2</x:v>
      </x:c>
      <x:c r="H217" t="n">
        <x:v>142.2</x:v>
      </x:c>
      <x:c r="I217" t="n">
        <x:v>118.2</x:v>
      </x:c>
      <x:c r="J217" t="str">
        <x:v>Enova årsfil; sammenlign kun innen samme kategori, år og metode</x:v>
      </x:c>
    </x:row>
    <x:row r="218" ht="22" customHeight="1">
      <x:c r="A218" t="n">
        <x:v>2025</x:v>
      </x:c>
      <x:c r="B218" t="str">
        <x:v>Lett Industri, Verksteder</x:v>
      </x:c>
      <x:c r="C218" t="str">
        <x:v>C</x:v>
      </x:c>
      <x:c r="D218" t="n">
        <x:v>184</x:v>
      </x:c>
      <x:c r="E218" t="n">
        <x:v>184</x:v>
      </x:c>
      <x:c r="F218" t="n">
        <x:v>147.9</x:v>
      </x:c>
      <x:c r="G218" t="n">
        <x:v>162.3</x:v>
      </x:c>
      <x:c r="H218" t="n">
        <x:v>180.1</x:v>
      </x:c>
      <x:c r="I218" t="n">
        <x:v>163.6</x:v>
      </x:c>
      <x:c r="J218" t="str">
        <x:v>Enova årsfil; sammenlign kun innen samme kategori, år og metode</x:v>
      </x:c>
    </x:row>
    <x:row r="219" ht="22" customHeight="1">
      <x:c r="A219" t="n">
        <x:v>2025</x:v>
      </x:c>
      <x:c r="B219" t="str">
        <x:v>Lett Industri, Verksteder</x:v>
      </x:c>
      <x:c r="C219" t="str">
        <x:v>D</x:v>
      </x:c>
      <x:c r="D219" t="n">
        <x:v>206</x:v>
      </x:c>
      <x:c r="E219" t="n">
        <x:v>206</x:v>
      </x:c>
      <x:c r="F219" t="n">
        <x:v>193.5</x:v>
      </x:c>
      <x:c r="G219" t="n">
        <x:v>216.7</x:v>
      </x:c>
      <x:c r="H219" t="n">
        <x:v>243.8</x:v>
      </x:c>
      <x:c r="I219" t="n">
        <x:v>217.7</x:v>
      </x:c>
      <x:c r="J219" t="str">
        <x:v>Enova årsfil; sammenlign kun innen samme kategori, år og metode</x:v>
      </x:c>
    </x:row>
    <x:row r="220" ht="22" customHeight="1">
      <x:c r="A220" t="n">
        <x:v>2025</x:v>
      </x:c>
      <x:c r="B220" t="str">
        <x:v>Lett Industri, Verksteder</x:v>
      </x:c>
      <x:c r="C220" t="str">
        <x:v>E</x:v>
      </x:c>
      <x:c r="D220" t="n">
        <x:v>127</x:v>
      </x:c>
      <x:c r="E220" t="n">
        <x:v>127</x:v>
      </x:c>
      <x:c r="F220" t="n">
        <x:v>255.3</x:v>
      </x:c>
      <x:c r="G220" t="n">
        <x:v>280.9</x:v>
      </x:c>
      <x:c r="H220" t="n">
        <x:v>308</x:v>
      </x:c>
      <x:c r="I220" t="n">
        <x:v>281.5</x:v>
      </x:c>
      <x:c r="J220" t="str">
        <x:v>Enova årsfil; sammenlign kun innen samme kategori, år og metode</x:v>
      </x:c>
    </x:row>
    <x:row r="221" ht="22" customHeight="1">
      <x:c r="A221" t="n">
        <x:v>2025</x:v>
      </x:c>
      <x:c r="B221" t="str">
        <x:v>Lett Industri, Verksteder</x:v>
      </x:c>
      <x:c r="C221" t="str">
        <x:v>F</x:v>
      </x:c>
      <x:c r="D221" t="n">
        <x:v>98</x:v>
      </x:c>
      <x:c r="E221" t="n">
        <x:v>98</x:v>
      </x:c>
      <x:c r="F221" t="n">
        <x:v>320.7</x:v>
      </x:c>
      <x:c r="G221" t="n">
        <x:v>367.9</x:v>
      </x:c>
      <x:c r="H221" t="n">
        <x:v>400.8</x:v>
      </x:c>
      <x:c r="I221" t="n">
        <x:v>362.6</x:v>
      </x:c>
      <x:c r="J221" t="str">
        <x:v>Enova årsfil; sammenlign kun innen samme kategori, år og metode</x:v>
      </x:c>
    </x:row>
    <x:row r="222" ht="22" customHeight="1">
      <x:c r="A222" t="n">
        <x:v>2025</x:v>
      </x:c>
      <x:c r="B222" t="str">
        <x:v>Lett Industri, Verksteder</x:v>
      </x:c>
      <x:c r="C222" t="str">
        <x:v>G</x:v>
      </x:c>
      <x:c r="D222" t="n">
        <x:v>77</x:v>
      </x:c>
      <x:c r="E222" t="n">
        <x:v>74</x:v>
      </x:c>
      <x:c r="F222" t="n">
        <x:v>417.5</x:v>
      </x:c>
      <x:c r="G222" t="n">
        <x:v>506.3</x:v>
      </x:c>
      <x:c r="H222" t="n">
        <x:v>698.4</x:v>
      </x:c>
      <x:c r="I222" t="n">
        <x:v>532.1</x:v>
      </x:c>
      <x:c r="J222" t="str">
        <x:v>Enova årsfil; sammenlign kun innen samme kategori, år og metode</x:v>
      </x:c>
    </x:row>
    <x:row r="223" ht="22" customHeight="1">
      <x:c r="A223" t="n">
        <x:v>2025</x:v>
      </x:c>
      <x:c r="B223" t="str">
        <x:v>Skolebygg</x:v>
      </x:c>
      <x:c r="C223" t="str">
        <x:v>A</x:v>
      </x:c>
      <x:c r="D223" t="n">
        <x:v>15</x:v>
      </x:c>
      <x:c r="E223" t="n">
        <x:v>15</x:v>
      </x:c>
      <x:c r="F223" t="n">
        <x:v>40.2</x:v>
      </x:c>
      <x:c r="G223" t="n">
        <x:v>62.5</x:v>
      </x:c>
      <x:c r="H223" t="n">
        <x:v>73.7</x:v>
      </x:c>
      <x:c r="I223" t="n">
        <x:v>58.9</x:v>
      </x:c>
      <x:c r="J223" t="str">
        <x:v>Enova årsfil; sammenlign kun innen samme kategori, år og metode</x:v>
      </x:c>
    </x:row>
    <x:row r="224" ht="22" customHeight="1">
      <x:c r="A224" t="n">
        <x:v>2025</x:v>
      </x:c>
      <x:c r="B224" t="str">
        <x:v>Skolebygg</x:v>
      </x:c>
      <x:c r="C224" t="str">
        <x:v>B</x:v>
      </x:c>
      <x:c r="D224" t="n">
        <x:v>34</x:v>
      </x:c>
      <x:c r="E224" t="n">
        <x:v>34</x:v>
      </x:c>
      <x:c r="F224" t="n">
        <x:v>76</x:v>
      </x:c>
      <x:c r="G224" t="n">
        <x:v>93.2</x:v>
      </x:c>
      <x:c r="H224" t="n">
        <x:v>103</x:v>
      </x:c>
      <x:c r="I224" t="n">
        <x:v>90.1</x:v>
      </x:c>
      <x:c r="J224" t="str">
        <x:v>Enova årsfil; sammenlign kun innen samme kategori, år og metode</x:v>
      </x:c>
    </x:row>
    <x:row r="225" ht="22" customHeight="1">
      <x:c r="A225" t="n">
        <x:v>2025</x:v>
      </x:c>
      <x:c r="B225" t="str">
        <x:v>Skolebygg</x:v>
      </x:c>
      <x:c r="C225" t="str">
        <x:v>C</x:v>
      </x:c>
      <x:c r="D225" t="n">
        <x:v>25</x:v>
      </x:c>
      <x:c r="E225" t="n">
        <x:v>25</x:v>
      </x:c>
      <x:c r="F225" t="n">
        <x:v>110.6</x:v>
      </x:c>
      <x:c r="G225" t="n">
        <x:v>124.7</x:v>
      </x:c>
      <x:c r="H225" t="n">
        <x:v>133.1</x:v>
      </x:c>
      <x:c r="I225" t="n">
        <x:v>123.2</x:v>
      </x:c>
      <x:c r="J225" t="str">
        <x:v>Enova årsfil; sammenlign kun innen samme kategori, år og metode</x:v>
      </x:c>
    </x:row>
    <x:row r="226" ht="22" customHeight="1">
      <x:c r="A226" t="n">
        <x:v>2025</x:v>
      </x:c>
      <x:c r="B226" t="str">
        <x:v>Skolebygg</x:v>
      </x:c>
      <x:c r="C226" t="str">
        <x:v>D</x:v>
      </x:c>
      <x:c r="D226" t="n">
        <x:v>35</x:v>
      </x:c>
      <x:c r="E226" t="n">
        <x:v>35</x:v>
      </x:c>
      <x:c r="F226" t="n">
        <x:v>143.4</x:v>
      </x:c>
      <x:c r="G226" t="n">
        <x:v>164.1</x:v>
      </x:c>
      <x:c r="H226" t="n">
        <x:v>169.5</x:v>
      </x:c>
      <x:c r="I226" t="n">
        <x:v>158.6</x:v>
      </x:c>
      <x:c r="J226" t="str">
        <x:v>Enova årsfil; sammenlign kun innen samme kategori, år og metode</x:v>
      </x:c>
    </x:row>
    <x:row r="227" ht="22" customHeight="1">
      <x:c r="A227" t="n">
        <x:v>2025</x:v>
      </x:c>
      <x:c r="B227" t="str">
        <x:v>Skolebygg</x:v>
      </x:c>
      <x:c r="C227" t="str">
        <x:v>E</x:v>
      </x:c>
      <x:c r="D227" t="n">
        <x:v>35</x:v>
      </x:c>
      <x:c r="E227" t="n">
        <x:v>35</x:v>
      </x:c>
      <x:c r="F227" t="n">
        <x:v>179</x:v>
      </x:c>
      <x:c r="G227" t="n">
        <x:v>193.5</x:v>
      </x:c>
      <x:c r="H227" t="n">
        <x:v>215.8</x:v>
      </x:c>
      <x:c r="I227" t="n">
        <x:v>196.4</x:v>
      </x:c>
      <x:c r="J227" t="str">
        <x:v>Enova årsfil; sammenlign kun innen samme kategori, år og metode</x:v>
      </x:c>
    </x:row>
    <x:row r="228" ht="22" customHeight="1">
      <x:c r="A228" t="n">
        <x:v>2025</x:v>
      </x:c>
      <x:c r="B228" t="str">
        <x:v>Skolebygg</x:v>
      </x:c>
      <x:c r="C228" t="str">
        <x:v>F</x:v>
      </x:c>
      <x:c r="D228" t="n">
        <x:v>29</x:v>
      </x:c>
      <x:c r="E228" t="n">
        <x:v>29</x:v>
      </x:c>
      <x:c r="F228" t="n">
        <x:v>226.5</x:v>
      </x:c>
      <x:c r="G228" t="n">
        <x:v>241.7</x:v>
      </x:c>
      <x:c r="H228" t="n">
        <x:v>277.4</x:v>
      </x:c>
      <x:c r="I228" t="n">
        <x:v>244.9</x:v>
      </x:c>
      <x:c r="J228" t="str">
        <x:v>Enova årsfil; sammenlign kun innen samme kategori, år og metode</x:v>
      </x:c>
    </x:row>
    <x:row r="229" ht="22" customHeight="1">
      <x:c r="A229" t="n">
        <x:v>2025</x:v>
      </x:c>
      <x:c r="B229" t="str">
        <x:v>Skolebygg</x:v>
      </x:c>
      <x:c r="C229" t="str">
        <x:v>G</x:v>
      </x:c>
      <x:c r="D229" t="n">
        <x:v>10</x:v>
      </x:c>
      <x:c r="E229" t="n">
        <x:v>10</x:v>
      </x:c>
      <x:c r="F229" t="n">
        <x:v>287.9</x:v>
      </x:c>
      <x:c r="G229" t="n">
        <x:v>345.4</x:v>
      </x:c>
      <x:c r="H229" t="n">
        <x:v>386.9</x:v>
      </x:c>
      <x:c r="I229" t="n">
        <x:v>346</x:v>
      </x:c>
      <x:c r="J229" t="str">
        <x:v>Enova årsfil; sammenlign kun innen samme kategori, år og metode</x:v>
      </x:c>
    </x:row>
    <x:row r="230" ht="22" customHeight="1">
      <x:c r="A230" t="n">
        <x:v>2025</x:v>
      </x:c>
      <x:c r="B230" t="str">
        <x:v>Småhus</x:v>
      </x:c>
      <x:c r="C230" t="str">
        <x:v>A</x:v>
      </x:c>
      <x:c r="D230" t="n">
        <x:v>822</x:v>
      </x:c>
      <x:c r="E230" t="n">
        <x:v>822</x:v>
      </x:c>
      <x:c r="F230" t="n">
        <x:v>72.2</x:v>
      </x:c>
      <x:c r="G230" t="n">
        <x:v>88.5</x:v>
      </x:c>
      <x:c r="H230" t="n">
        <x:v>99.1</x:v>
      </x:c>
      <x:c r="I230" t="n">
        <x:v>87.1</x:v>
      </x:c>
      <x:c r="J230" t="str">
        <x:v>Enova årsfil; sammenlign kun innen samme kategori, år og metode</x:v>
      </x:c>
    </x:row>
    <x:row r="231" ht="22" customHeight="1">
      <x:c r="A231" t="n">
        <x:v>2025</x:v>
      </x:c>
      <x:c r="B231" t="str">
        <x:v>Småhus</x:v>
      </x:c>
      <x:c r="C231" t="str">
        <x:v>B</x:v>
      </x:c>
      <x:c r="D231" t="n">
        <x:v>7332</x:v>
      </x:c>
      <x:c r="E231" t="n">
        <x:v>7330</x:v>
      </x:c>
      <x:c r="F231" t="n">
        <x:v>98.2</x:v>
      </x:c>
      <x:c r="G231" t="n">
        <x:v>115.8</x:v>
      </x:c>
      <x:c r="H231" t="n">
        <x:v>131.2</x:v>
      </x:c>
      <x:c r="I231" t="n">
        <x:v>116.5</x:v>
      </x:c>
      <x:c r="J231" t="str">
        <x:v>Enova årsfil; sammenlign kun innen samme kategori, år og metode</x:v>
      </x:c>
    </x:row>
    <x:row r="232" ht="22" customHeight="1">
      <x:c r="A232" t="n">
        <x:v>2025</x:v>
      </x:c>
      <x:c r="B232" t="str">
        <x:v>Småhus</x:v>
      </x:c>
      <x:c r="C232" t="str">
        <x:v>C</x:v>
      </x:c>
      <x:c r="D232" t="n">
        <x:v>5057</x:v>
      </x:c>
      <x:c r="E232" t="n">
        <x:v>5055</x:v>
      </x:c>
      <x:c r="F232" t="n">
        <x:v>135.3</x:v>
      </x:c>
      <x:c r="G232" t="n">
        <x:v>151.3</x:v>
      </x:c>
      <x:c r="H232" t="n">
        <x:v>169.7</x:v>
      </x:c>
      <x:c r="I232" t="n">
        <x:v>153.4</x:v>
      </x:c>
      <x:c r="J232" t="str">
        <x:v>Enova årsfil; sammenlign kun innen samme kategori, år og metode</x:v>
      </x:c>
    </x:row>
    <x:row r="233" ht="22" customHeight="1">
      <x:c r="A233" t="n">
        <x:v>2025</x:v>
      </x:c>
      <x:c r="B233" t="str">
        <x:v>Småhus</x:v>
      </x:c>
      <x:c r="C233" t="str">
        <x:v>D</x:v>
      </x:c>
      <x:c r="D233" t="n">
        <x:v>6798</x:v>
      </x:c>
      <x:c r="E233" t="n">
        <x:v>6797</x:v>
      </x:c>
      <x:c r="F233" t="n">
        <x:v>168.5</x:v>
      </x:c>
      <x:c r="G233" t="n">
        <x:v>188.9</x:v>
      </x:c>
      <x:c r="H233" t="n">
        <x:v>218</x:v>
      </x:c>
      <x:c r="I233" t="n">
        <x:v>192.7</x:v>
      </x:c>
      <x:c r="J233" t="str">
        <x:v>Enova årsfil; sammenlign kun innen samme kategori, år og metode</x:v>
      </x:c>
    </x:row>
    <x:row r="234" ht="22" customHeight="1">
      <x:c r="A234" t="n">
        <x:v>2025</x:v>
      </x:c>
      <x:c r="B234" t="str">
        <x:v>Småhus</x:v>
      </x:c>
      <x:c r="C234" t="str">
        <x:v>E</x:v>
      </x:c>
      <x:c r="D234" t="n">
        <x:v>6735</x:v>
      </x:c>
      <x:c r="E234" t="n">
        <x:v>6734</x:v>
      </x:c>
      <x:c r="F234" t="n">
        <x:v>204.9</x:v>
      </x:c>
      <x:c r="G234" t="n">
        <x:v>228.3</x:v>
      </x:c>
      <x:c r="H234" t="n">
        <x:v>259.7</x:v>
      </x:c>
      <x:c r="I234" t="n">
        <x:v>232.1</x:v>
      </x:c>
      <x:c r="J234" t="str">
        <x:v>Enova årsfil; sammenlign kun innen samme kategori, år og metode</x:v>
      </x:c>
    </x:row>
    <x:row r="235" ht="22" customHeight="1">
      <x:c r="A235" t="n">
        <x:v>2025</x:v>
      </x:c>
      <x:c r="B235" t="str">
        <x:v>Småhus</x:v>
      </x:c>
      <x:c r="C235" t="str">
        <x:v>F</x:v>
      </x:c>
      <x:c r="D235" t="n">
        <x:v>8800</x:v>
      </x:c>
      <x:c r="E235" t="n">
        <x:v>8800</x:v>
      </x:c>
      <x:c r="F235" t="n">
        <x:v>242</x:v>
      </x:c>
      <x:c r="G235" t="n">
        <x:v>274.4</x:v>
      </x:c>
      <x:c r="H235" t="n">
        <x:v>321.5</x:v>
      </x:c>
      <x:c r="I235" t="n">
        <x:v>280.9</x:v>
      </x:c>
      <x:c r="J235" t="str">
        <x:v>Enova årsfil; sammenlign kun innen samme kategori, år og metode</x:v>
      </x:c>
    </x:row>
    <x:row r="236" ht="22" customHeight="1">
      <x:c r="A236" t="n">
        <x:v>2025</x:v>
      </x:c>
      <x:c r="B236" t="str">
        <x:v>Småhus</x:v>
      </x:c>
      <x:c r="C236" t="str">
        <x:v>G</x:v>
      </x:c>
      <x:c r="D236" t="n">
        <x:v>12375</x:v>
      </x:c>
      <x:c r="E236" t="n">
        <x:v>12365</x:v>
      </x:c>
      <x:c r="F236" t="n">
        <x:v>310.5</x:v>
      </x:c>
      <x:c r="G236" t="n">
        <x:v>392.4</x:v>
      </x:c>
      <x:c r="H236" t="n">
        <x:v>560.6</x:v>
      </x:c>
      <x:c r="I236" t="n">
        <x:v>417.4</x:v>
      </x:c>
      <x:c r="J236" t="str">
        <x:v>Enova årsfil; sammenlign kun innen samme kategori, år og metode</x:v>
      </x:c>
    </x:row>
    <x:row r="237" ht="22" customHeight="1">
      <x:c r="A237" t="n">
        <x:v>2025</x:v>
      </x:c>
      <x:c r="B237" t="str">
        <x:v>Sykehjem</x:v>
      </x:c>
      <x:c r="C237" t="str">
        <x:v>A</x:v>
      </x:c>
      <x:c r="D237" t="n">
        <x:v>69</x:v>
      </x:c>
      <x:c r="E237" t="n">
        <x:v>69</x:v>
      </x:c>
      <x:c r="F237" t="n">
        <x:v>102</x:v>
      </x:c>
      <x:c r="G237" t="n">
        <x:v>125.9</x:v>
      </x:c>
      <x:c r="H237" t="n">
        <x:v>126.8</x:v>
      </x:c>
      <x:c r="I237" t="n">
        <x:v>120.5</x:v>
      </x:c>
      <x:c r="J237" t="str">
        <x:v>Enova årsfil; sammenlign kun innen samme kategori, år og metode</x:v>
      </x:c>
    </x:row>
    <x:row r="238" ht="22" customHeight="1">
      <x:c r="A238" t="n">
        <x:v>2025</x:v>
      </x:c>
      <x:c r="B238" t="str">
        <x:v>Sykehjem</x:v>
      </x:c>
      <x:c r="C238" t="str">
        <x:v>B</x:v>
      </x:c>
      <x:c r="D238" t="n">
        <x:v>21</x:v>
      </x:c>
      <x:c r="E238" t="n">
        <x:v>21</x:v>
      </x:c>
      <x:c r="F238" t="n">
        <x:v>129.6</x:v>
      </x:c>
      <x:c r="G238" t="n">
        <x:v>182.4</x:v>
      </x:c>
      <x:c r="H238" t="n">
        <x:v>182.4</x:v>
      </x:c>
      <x:c r="I238" t="n">
        <x:v>165.4</x:v>
      </x:c>
      <x:c r="J238" t="str">
        <x:v>Enova årsfil; sammenlign kun innen samme kategori, år og metode</x:v>
      </x:c>
    </x:row>
    <x:row r="239" ht="22" customHeight="1">
      <x:c r="A239" t="n">
        <x:v>2025</x:v>
      </x:c>
      <x:c r="B239" t="str">
        <x:v>Sykehjem</x:v>
      </x:c>
      <x:c r="C239" t="str">
        <x:v>C</x:v>
      </x:c>
      <x:c r="D239" t="n">
        <x:v>63</x:v>
      </x:c>
      <x:c r="E239" t="n">
        <x:v>63</x:v>
      </x:c>
      <x:c r="F239" t="n">
        <x:v>198.2</x:v>
      </x:c>
      <x:c r="G239" t="n">
        <x:v>232.7</x:v>
      </x:c>
      <x:c r="H239" t="n">
        <x:v>239.9</x:v>
      </x:c>
      <x:c r="I239" t="n">
        <x:v>226.3</x:v>
      </x:c>
      <x:c r="J239" t="str">
        <x:v>Enova årsfil; sammenlign kun innen samme kategori, år og metode</x:v>
      </x:c>
    </x:row>
    <x:row r="240" ht="22" customHeight="1">
      <x:c r="A240" t="n">
        <x:v>2025</x:v>
      </x:c>
      <x:c r="B240" t="str">
        <x:v>Sykehjem</x:v>
      </x:c>
      <x:c r="C240" t="str">
        <x:v>D</x:v>
      </x:c>
      <x:c r="D240" t="n">
        <x:v>72</x:v>
      </x:c>
      <x:c r="E240" t="n">
        <x:v>72</x:v>
      </x:c>
      <x:c r="F240" t="n">
        <x:v>264.7</x:v>
      </x:c>
      <x:c r="G240" t="n">
        <x:v>279.9</x:v>
      </x:c>
      <x:c r="H240" t="n">
        <x:v>284.3</x:v>
      </x:c>
      <x:c r="I240" t="n">
        <x:v>277.6</x:v>
      </x:c>
      <x:c r="J240" t="str">
        <x:v>Enova årsfil; sammenlign kun innen samme kategori, år og metode</x:v>
      </x:c>
    </x:row>
    <x:row r="241" ht="22" customHeight="1">
      <x:c r="A241" t="n">
        <x:v>2025</x:v>
      </x:c>
      <x:c r="B241" t="str">
        <x:v>Sykehjem</x:v>
      </x:c>
      <x:c r="C241" t="str">
        <x:v>E</x:v>
      </x:c>
      <x:c r="D241" t="n">
        <x:v>8</x:v>
      </x:c>
      <x:c r="E241" t="n">
        <x:v>8</x:v>
      </x:c>
      <x:c r="F241" t="n">
        <x:v>303</x:v>
      </x:c>
      <x:c r="G241" t="n">
        <x:v>308</x:v>
      </x:c>
      <x:c r="H241" t="n">
        <x:v>337.3</x:v>
      </x:c>
      <x:c r="I241" t="n">
        <x:v>317</x:v>
      </x:c>
      <x:c r="J241" t="str">
        <x:v>Enova årsfil; sammenlign kun innen samme kategori, år og metode</x:v>
      </x:c>
    </x:row>
    <x:row r="242" ht="22" customHeight="1">
      <x:c r="A242" t="n">
        <x:v>2025</x:v>
      </x:c>
      <x:c r="B242" t="str">
        <x:v>Sykehjem</x:v>
      </x:c>
      <x:c r="C242" t="str">
        <x:v>F</x:v>
      </x:c>
      <x:c r="D242" t="n">
        <x:v>15</x:v>
      </x:c>
      <x:c r="E242" t="n">
        <x:v>15</x:v>
      </x:c>
      <x:c r="F242" t="n">
        <x:v>389</x:v>
      </x:c>
      <x:c r="G242" t="n">
        <x:v>432.1</x:v>
      </x:c>
      <x:c r="H242" t="n">
        <x:v>434.7</x:v>
      </x:c>
      <x:c r="I242" t="n">
        <x:v>423.1</x:v>
      </x:c>
      <x:c r="J242" t="str">
        <x:v>Enova årsfil; sammenlign kun innen samme kategori, år og metode</x:v>
      </x:c>
    </x:row>
    <x:row r="243" ht="22" customHeight="1">
      <x:c r="A243" t="n">
        <x:v>2025</x:v>
      </x:c>
      <x:c r="B243" t="str">
        <x:v>Sykehjem</x:v>
      </x:c>
      <x:c r="C243" t="str">
        <x:v>G</x:v>
      </x:c>
      <x:c r="D243" t="n">
        <x:v>59</x:v>
      </x:c>
      <x:c r="E243" t="n">
        <x:v>59</x:v>
      </x:c>
      <x:c r="F243" t="n">
        <x:v>469.7</x:v>
      </x:c>
      <x:c r="G243" t="n">
        <x:v>505.4</x:v>
      </x:c>
      <x:c r="H243" t="n">
        <x:v>642.5</x:v>
      </x:c>
      <x:c r="I243" t="n">
        <x:v>536</x:v>
      </x:c>
      <x:c r="J243" t="str">
        <x:v>Enova årsfil; sammenlign kun innen samme kategori, år og metode</x:v>
      </x:c>
    </x:row>
    <x:row r="244" ht="22" customHeight="1">
      <x:c r="A244" t="n">
        <x:v>2025</x:v>
      </x:c>
      <x:c r="B244" t="str">
        <x:v>Sykehus</x:v>
      </x:c>
      <x:c r="C244" t="str">
        <x:v>B</x:v>
      </x:c>
      <x:c r="D244" t="n">
        <x:v>4</x:v>
      </x:c>
      <x:c r="E244" t="n">
        <x:v>4</x:v>
      </x:c>
      <x:c r="F244" t="n">
        <x:v>200.8</x:v>
      </x:c>
      <x:c r="G244" t="n">
        <x:v>218.4</x:v>
      </x:c>
      <x:c r="H244" t="n">
        <x:v>234</x:v>
      </x:c>
      <x:c r="I244" t="n">
        <x:v>217.7</x:v>
      </x:c>
      <x:c r="J244" t="str">
        <x:v>Enova årsfil; sammenlign kun innen samme kategori, år og metode</x:v>
      </x:c>
    </x:row>
    <x:row r="245" ht="22" customHeight="1">
      <x:c r="A245" t="n">
        <x:v>2025</x:v>
      </x:c>
      <x:c r="B245" t="str">
        <x:v>Sykehus</x:v>
      </x:c>
      <x:c r="C245" t="str">
        <x:v>C</x:v>
      </x:c>
      <x:c r="D245" t="n">
        <x:v>3</x:v>
      </x:c>
      <x:c r="E245" t="n">
        <x:v>3</x:v>
      </x:c>
      <x:c r="F245" t="n">
        <x:v>254.8</x:v>
      </x:c>
      <x:c r="G245" t="n">
        <x:v>285.7</x:v>
      </x:c>
      <x:c r="H245" t="n">
        <x:v>294</x:v>
      </x:c>
      <x:c r="I245" t="n">
        <x:v>276.3</x:v>
      </x:c>
      <x:c r="J245" t="str">
        <x:v>Enova årsfil; sammenlign kun innen samme kategori, år og metode</x:v>
      </x:c>
    </x:row>
    <x:row r="246" ht="22" customHeight="1">
      <x:c r="A246" t="n">
        <x:v>2025</x:v>
      </x:c>
      <x:c r="B246" t="str">
        <x:v>Sykehus</x:v>
      </x:c>
      <x:c r="C246" t="str">
        <x:v>D</x:v>
      </x:c>
      <x:c r="D246" t="n">
        <x:v>1</x:v>
      </x:c>
      <x:c r="E246" t="n">
        <x:v>1</x:v>
      </x:c>
      <x:c r="F246" t="n">
        <x:v>320.1</x:v>
      </x:c>
      <x:c r="G246" t="n">
        <x:v>320.1</x:v>
      </x:c>
      <x:c r="H246" t="n">
        <x:v>320.1</x:v>
      </x:c>
      <x:c r="I246" t="n">
        <x:v>320.1</x:v>
      </x:c>
      <x:c r="J246" t="str">
        <x:v>Enova årsfil; sammenlign kun innen samme kategori, år og metode</x:v>
      </x:c>
    </x:row>
    <x:row r="247" ht="22" customHeight="1">
      <x:c r="A247" t="n">
        <x:v>2025</x:v>
      </x:c>
      <x:c r="B247" t="str">
        <x:v>Sykehus</x:v>
      </x:c>
      <x:c r="C247" t="str">
        <x:v>F</x:v>
      </x:c>
      <x:c r="D247" t="n">
        <x:v>4</x:v>
      </x:c>
      <x:c r="E247" t="n">
        <x:v>4</x:v>
      </x:c>
      <x:c r="F247" t="n">
        <x:v>456.6</x:v>
      </x:c>
      <x:c r="G247" t="n">
        <x:v>461.5</x:v>
      </x:c>
      <x:c r="H247" t="n">
        <x:v>481</x:v>
      </x:c>
      <x:c r="I247" t="n">
        <x:v>466.7</x:v>
      </x:c>
      <x:c r="J247" t="str">
        <x:v>Enova årsfil; sammenlign kun innen samme kategori, år og metode</x:v>
      </x:c>
    </x:row>
    <x:row r="248" ht="22" customHeight="1">
      <x:c r="A248" t="n">
        <x:v>2025</x:v>
      </x:c>
      <x:c r="B248" t="str">
        <x:v>Universitets- Og Høgskolebygg</x:v>
      </x:c>
      <x:c r="C248" t="str">
        <x:v>B</x:v>
      </x:c>
      <x:c r="D248" t="n">
        <x:v>4</x:v>
      </x:c>
      <x:c r="E248" t="n">
        <x:v>4</x:v>
      </x:c>
      <x:c r="F248" t="n">
        <x:v>101.3</x:v>
      </x:c>
      <x:c r="G248" t="n">
        <x:v>123.3</x:v>
      </x:c>
      <x:c r="H248" t="n">
        <x:v>124.2</x:v>
      </x:c>
      <x:c r="I248" t="n">
        <x:v>115.8</x:v>
      </x:c>
      <x:c r="J248" t="str">
        <x:v>Enova årsfil; sammenlign kun innen samme kategori, år og metode</x:v>
      </x:c>
    </x:row>
    <x:row r="249" ht="22" customHeight="1">
      <x:c r="A249" t="n">
        <x:v>2025</x:v>
      </x:c>
      <x:c r="B249" t="str">
        <x:v>Universitets- Og Høgskolebygg</x:v>
      </x:c>
      <x:c r="C249" t="str">
        <x:v>C</x:v>
      </x:c>
      <x:c r="D249" t="n">
        <x:v>10</x:v>
      </x:c>
      <x:c r="E249" t="n">
        <x:v>10</x:v>
      </x:c>
      <x:c r="F249" t="n">
        <x:v>134.3</x:v>
      </x:c>
      <x:c r="G249" t="n">
        <x:v>144.8</x:v>
      </x:c>
      <x:c r="H249" t="n">
        <x:v>154.3</x:v>
      </x:c>
      <x:c r="I249" t="n">
        <x:v>144.7</x:v>
      </x:c>
      <x:c r="J249" t="str">
        <x:v>Enova årsfil; sammenlign kun innen samme kategori, år og metode</x:v>
      </x:c>
    </x:row>
    <x:row r="250" ht="22" customHeight="1">
      <x:c r="A250" t="n">
        <x:v>2025</x:v>
      </x:c>
      <x:c r="B250" t="str">
        <x:v>Universitets- Og Høgskolebygg</x:v>
      </x:c>
      <x:c r="C250" t="str">
        <x:v>D</x:v>
      </x:c>
      <x:c r="D250" t="n">
        <x:v>12</x:v>
      </x:c>
      <x:c r="E250" t="n">
        <x:v>12</x:v>
      </x:c>
      <x:c r="F250" t="n">
        <x:v>168.2</x:v>
      </x:c>
      <x:c r="G250" t="n">
        <x:v>182.7</x:v>
      </x:c>
      <x:c r="H250" t="n">
        <x:v>187.4</x:v>
      </x:c>
      <x:c r="I250" t="n">
        <x:v>180.3</x:v>
      </x:c>
      <x:c r="J250" t="str">
        <x:v>Enova årsfil; sammenlign kun innen samme kategori, år og metode</x:v>
      </x:c>
    </x:row>
    <x:row r="251" ht="22" customHeight="1">
      <x:c r="A251" t="n">
        <x:v>2025</x:v>
      </x:c>
      <x:c r="B251" t="str">
        <x:v>Universitets- Og Høgskolebygg</x:v>
      </x:c>
      <x:c r="C251" t="str">
        <x:v>E</x:v>
      </x:c>
      <x:c r="D251" t="n">
        <x:v>13</x:v>
      </x:c>
      <x:c r="E251" t="n">
        <x:v>13</x:v>
      </x:c>
      <x:c r="F251" t="n">
        <x:v>214.7</x:v>
      </x:c>
      <x:c r="G251" t="n">
        <x:v>224.4</x:v>
      </x:c>
      <x:c r="H251" t="n">
        <x:v>226.7</x:v>
      </x:c>
      <x:c r="I251" t="n">
        <x:v>221.9</x:v>
      </x:c>
      <x:c r="J251" t="str">
        <x:v>Enova årsfil; sammenlign kun innen samme kategori, år og metode</x:v>
      </x:c>
    </x:row>
    <x:row r="252" ht="22" customHeight="1">
      <x:c r="A252" t="n">
        <x:v>2025</x:v>
      </x:c>
      <x:c r="B252" t="str">
        <x:v>Universitets- Og Høgskolebygg</x:v>
      </x:c>
      <x:c r="C252" t="str">
        <x:v>F</x:v>
      </x:c>
      <x:c r="D252" t="n">
        <x:v>6</x:v>
      </x:c>
      <x:c r="E252" t="n">
        <x:v>6</x:v>
      </x:c>
      <x:c r="F252" t="n">
        <x:v>253.8</x:v>
      </x:c>
      <x:c r="G252" t="n">
        <x:v>266.8</x:v>
      </x:c>
      <x:c r="H252" t="n">
        <x:v>279.1</x:v>
      </x:c>
      <x:c r="I252" t="n">
        <x:v>266.6</x:v>
      </x:c>
      <x:c r="J252" t="str">
        <x:v>Enova årsfil; sammenlign kun innen samme kategori, år og metode</x:v>
      </x:c>
    </x:row>
    <x:row r="253" ht="22" customHeight="1">
      <x:c r="A253" t="n">
        <x:v>2025</x:v>
      </x:c>
      <x:c r="B253" t="str">
        <x:v>Universitets- Og Høgskolebygg</x:v>
      </x:c>
      <x:c r="C253" t="str">
        <x:v>G</x:v>
      </x:c>
      <x:c r="D253" t="n">
        <x:v>7</x:v>
      </x:c>
      <x:c r="E253" t="n">
        <x:v>7</x:v>
      </x:c>
      <x:c r="F253" t="n">
        <x:v>318.4</x:v>
      </x:c>
      <x:c r="G253" t="n">
        <x:v>351.7</x:v>
      </x:c>
      <x:c r="H253" t="n">
        <x:v>392</x:v>
      </x:c>
      <x:c r="I253" t="n">
        <x:v>353.6</x:v>
      </x:c>
      <x:c r="J253" t="str">
        <x:v>Enova årsfil; sammenlign kun innen samme kategori, år og metode</x:v>
      </x:c>
    </x:row>
  </x:sheetData>
  <x:pageMargins left="0.7" right="0.7" top="0.75" bottom="0.75" header="0.3" footer="0.3"/>
  <x:tableParts count="1">
    <x:tablePart xmlns:r="http://schemas.openxmlformats.org/officeDocument/2006/relationships" r:id="Re60650992e45448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2" hidden="0" customWidth="1"/>
    <x:col min="9" max="9" width="31" hidden="0" customWidth="1"/>
    <x:col min="10" max="10" width="38" hidden="0" customWidth="1"/>
  </x:cols>
  <x:sheetData>
    <x:row r="1" ht="38" customHeight="1">
      <x:c r="A1" s="5" t="str">
        <x:v>Hash-kode</x:v>
      </x:c>
      <x:c r="B1" s="5" t="str">
        <x:v>Attestår</x:v>
      </x:c>
      <x:c r="C1" s="5" t="str">
        <x:v>Byggkategori</x:v>
      </x:c>
      <x:c r="D1" s="5" t="str">
        <x:v>Energikarakter</x:v>
      </x:c>
      <x:c r="E1" s="5" t="str">
        <x:v>Byggeår</x:v>
      </x:c>
      <x:c r="F1" s="5" t="str">
        <x:v>Beregnet kWh/m²år</x:v>
      </x:c>
      <x:c r="G1" s="5" t="str">
        <x:v>Registrering</x:v>
      </x:c>
      <x:c r="H1" s="5" t="str">
        <x:v>Materialvalg</x:v>
      </x:c>
      <x:c r="I1" s="5" t="str">
        <x:v>Dataart</x:v>
      </x:c>
      <x:c r="J1" s="5" t="str">
        <x:v>Kildesfil</x:v>
      </x:c>
    </x:row>
    <x:row r="2" ht="22" customHeight="1">
      <x:c r="A2" t="str">
        <x:v>bf0c6c8d0695</x:v>
      </x:c>
      <x:c r="B2" t="n">
        <x:v>2015</x:v>
      </x:c>
      <x:c r="C2" t="str">
        <x:v>Barnehager</x:v>
      </x:c>
      <x:c r="D2" t="str">
        <x:v>A</x:v>
      </x:c>
      <x:c r="E2" t="n">
        <x:v>2015</x:v>
      </x:c>
      <x:c r="F2" t="n">
        <x:v>66.7</x:v>
      </x:c>
      <x:c r="G2" t="str">
        <x:v>Simple</x:v>
      </x:c>
      <x:c r="H2" t="str"/>
      <x:c r="I2" t="str">
        <x:v>Årlig beregnet, ikke målt</x:v>
      </x:c>
      <x:c r="J2" t="str">
        <x:v>01012015_31122015.csv</x:v>
      </x:c>
    </x:row>
    <x:row r="3" ht="22" customHeight="1">
      <x:c r="A3" t="str">
        <x:v>f49d185acba6</x:v>
      </x:c>
      <x:c r="B3" t="n">
        <x:v>2015</x:v>
      </x:c>
      <x:c r="C3" t="str">
        <x:v>Barnehager</x:v>
      </x:c>
      <x:c r="D3" t="str">
        <x:v>A</x:v>
      </x:c>
      <x:c r="E3" t="n">
        <x:v>2014</x:v>
      </x:c>
      <x:c r="F3" t="n">
        <x:v>79.1</x:v>
      </x:c>
      <x:c r="G3" t="str">
        <x:v>Simple</x:v>
      </x:c>
      <x:c r="H3" t="str"/>
      <x:c r="I3" t="str">
        <x:v>Årlig beregnet, ikke målt</x:v>
      </x:c>
      <x:c r="J3" t="str">
        <x:v>01012015_31122015.csv</x:v>
      </x:c>
    </x:row>
    <x:row r="4" ht="22" customHeight="1">
      <x:c r="A4" t="str">
        <x:v>a5b5cfa220ee</x:v>
      </x:c>
      <x:c r="B4" t="n">
        <x:v>2015</x:v>
      </x:c>
      <x:c r="C4" t="str">
        <x:v>Barnehager</x:v>
      </x:c>
      <x:c r="D4" t="str">
        <x:v>A</x:v>
      </x:c>
      <x:c r="E4" t="n">
        <x:v>2014</x:v>
      </x:c>
      <x:c r="F4" t="n">
        <x:v>67</x:v>
      </x:c>
      <x:c r="G4" t="str">
        <x:v>Simple</x:v>
      </x:c>
      <x:c r="H4" t="str"/>
      <x:c r="I4" t="str">
        <x:v>Årlig beregnet, ikke målt</x:v>
      </x:c>
      <x:c r="J4" t="str">
        <x:v>01012015_31122015.csv</x:v>
      </x:c>
    </x:row>
    <x:row r="5" ht="22" customHeight="1">
      <x:c r="A5" t="str">
        <x:v>10a6eb6d6044</x:v>
      </x:c>
      <x:c r="B5" t="n">
        <x:v>2015</x:v>
      </x:c>
      <x:c r="C5" t="str">
        <x:v>Barnehager</x:v>
      </x:c>
      <x:c r="D5" t="str">
        <x:v>A</x:v>
      </x:c>
      <x:c r="E5" t="n">
        <x:v>2013</x:v>
      </x:c>
      <x:c r="F5" t="n">
        <x:v>53.7</x:v>
      </x:c>
      <x:c r="G5" t="str">
        <x:v>Simple</x:v>
      </x:c>
      <x:c r="H5" t="str"/>
      <x:c r="I5" t="str">
        <x:v>Årlig beregnet, ikke målt</x:v>
      </x:c>
      <x:c r="J5" t="str">
        <x:v>01012015_31122015.csv</x:v>
      </x:c>
    </x:row>
    <x:row r="6" ht="22" customHeight="1">
      <x:c r="A6" t="str">
        <x:v>e2336622c18b</x:v>
      </x:c>
      <x:c r="B6" t="n">
        <x:v>2015</x:v>
      </x:c>
      <x:c r="C6" t="str">
        <x:v>Barnehager</x:v>
      </x:c>
      <x:c r="D6" t="str">
        <x:v>A</x:v>
      </x:c>
      <x:c r="E6" t="n">
        <x:v>2016</x:v>
      </x:c>
      <x:c r="F6" t="n">
        <x:v>59.6</x:v>
      </x:c>
      <x:c r="G6" t="str">
        <x:v>Simple</x:v>
      </x:c>
      <x:c r="H6" t="str"/>
      <x:c r="I6" t="str">
        <x:v>Årlig beregnet, ikke målt</x:v>
      </x:c>
      <x:c r="J6" t="str">
        <x:v>01012015_31122015.csv</x:v>
      </x:c>
    </x:row>
    <x:row r="7" ht="22" customHeight="1">
      <x:c r="A7" t="str">
        <x:v>f16ff0afd7b0</x:v>
      </x:c>
      <x:c r="B7" t="n">
        <x:v>2015</x:v>
      </x:c>
      <x:c r="C7" t="str">
        <x:v>Barnehager</x:v>
      </x:c>
      <x:c r="D7" t="str">
        <x:v>B</x:v>
      </x:c>
      <x:c r="E7" t="n">
        <x:v>2000</x:v>
      </x:c>
      <x:c r="F7" t="n">
        <x:v>107.2</x:v>
      </x:c>
      <x:c r="G7" t="str">
        <x:v>Simple</x:v>
      </x:c>
      <x:c r="H7" t="str"/>
      <x:c r="I7" t="str">
        <x:v>Årlig beregnet, ikke målt</x:v>
      </x:c>
      <x:c r="J7" t="str">
        <x:v>01012015_31122015.csv</x:v>
      </x:c>
    </x:row>
    <x:row r="8" ht="22" customHeight="1">
      <x:c r="A8" t="str">
        <x:v>c2c1cb9164d0</x:v>
      </x:c>
      <x:c r="B8" t="n">
        <x:v>2015</x:v>
      </x:c>
      <x:c r="C8" t="str">
        <x:v>Barnehager</x:v>
      </x:c>
      <x:c r="D8" t="str">
        <x:v>B</x:v>
      </x:c>
      <x:c r="E8" t="n">
        <x:v>2012</x:v>
      </x:c>
      <x:c r="F8" t="n">
        <x:v>88.4</x:v>
      </x:c>
      <x:c r="G8" t="str">
        <x:v>Simple</x:v>
      </x:c>
      <x:c r="H8" t="str"/>
      <x:c r="I8" t="str">
        <x:v>Årlig beregnet, ikke målt</x:v>
      </x:c>
      <x:c r="J8" t="str">
        <x:v>01012015_31122015.csv</x:v>
      </x:c>
    </x:row>
    <x:row r="9" ht="22" customHeight="1">
      <x:c r="A9" t="str">
        <x:v>912a965596bd</x:v>
      </x:c>
      <x:c r="B9" t="n">
        <x:v>2015</x:v>
      </x:c>
      <x:c r="C9" t="str">
        <x:v>Barnehager</x:v>
      </x:c>
      <x:c r="D9" t="str">
        <x:v>B</x:v>
      </x:c>
      <x:c r="E9" t="n">
        <x:v>2012</x:v>
      </x:c>
      <x:c r="F9" t="n">
        <x:v>103.1</x:v>
      </x:c>
      <x:c r="G9" t="str">
        <x:v>Simple</x:v>
      </x:c>
      <x:c r="H9" t="str"/>
      <x:c r="I9" t="str">
        <x:v>Årlig beregnet, ikke målt</x:v>
      </x:c>
      <x:c r="J9" t="str">
        <x:v>01012015_31122015.csv</x:v>
      </x:c>
    </x:row>
    <x:row r="10" ht="22" customHeight="1">
      <x:c r="A10" t="str">
        <x:v>6740229cdeac</x:v>
      </x:c>
      <x:c r="B10" t="n">
        <x:v>2015</x:v>
      </x:c>
      <x:c r="C10" t="str">
        <x:v>Barnehager</x:v>
      </x:c>
      <x:c r="D10" t="str">
        <x:v>B</x:v>
      </x:c>
      <x:c r="E10" t="n">
        <x:v>2013</x:v>
      </x:c>
      <x:c r="F10" t="n">
        <x:v>109.3</x:v>
      </x:c>
      <x:c r="G10" t="str">
        <x:v>Simple</x:v>
      </x:c>
      <x:c r="H10" t="str"/>
      <x:c r="I10" t="str">
        <x:v>Årlig beregnet, ikke målt</x:v>
      </x:c>
      <x:c r="J10" t="str">
        <x:v>01012015_31122015.csv</x:v>
      </x:c>
    </x:row>
    <x:row r="11" ht="22" customHeight="1">
      <x:c r="A11" t="str">
        <x:v>7119357ec9ea</x:v>
      </x:c>
      <x:c r="B11" t="n">
        <x:v>2015</x:v>
      </x:c>
      <x:c r="C11" t="str">
        <x:v>Barnehager</x:v>
      </x:c>
      <x:c r="D11" t="str">
        <x:v>B</x:v>
      </x:c>
      <x:c r="E11" t="n">
        <x:v>2013</x:v>
      </x:c>
      <x:c r="F11" t="n">
        <x:v>98.8</x:v>
      </x:c>
      <x:c r="G11" t="str">
        <x:v>Simple</x:v>
      </x:c>
      <x:c r="H11" t="str"/>
      <x:c r="I11" t="str">
        <x:v>Årlig beregnet, ikke målt</x:v>
      </x:c>
      <x:c r="J11" t="str">
        <x:v>01012015_31122015.csv</x:v>
      </x:c>
    </x:row>
    <x:row r="12" ht="22" customHeight="1">
      <x:c r="A12" t="str">
        <x:v>3176622f44f2</x:v>
      </x:c>
      <x:c r="B12" t="n">
        <x:v>2015</x:v>
      </x:c>
      <x:c r="C12" t="str">
        <x:v>Barnehager</x:v>
      </x:c>
      <x:c r="D12" t="str">
        <x:v>C</x:v>
      </x:c>
      <x:c r="E12" t="n">
        <x:v>2000</x:v>
      </x:c>
      <x:c r="F12" t="n">
        <x:v>115.6</x:v>
      </x:c>
      <x:c r="G12" t="str">
        <x:v>Simple</x:v>
      </x:c>
      <x:c r="H12" t="str"/>
      <x:c r="I12" t="str">
        <x:v>Årlig beregnet, ikke målt</x:v>
      </x:c>
      <x:c r="J12" t="str">
        <x:v>01012015_31122015.csv</x:v>
      </x:c>
    </x:row>
    <x:row r="13" ht="22" customHeight="1">
      <x:c r="A13" t="str">
        <x:v>e98d1c8a06f4</x:v>
      </x:c>
      <x:c r="B13" t="n">
        <x:v>2015</x:v>
      </x:c>
      <x:c r="C13" t="str">
        <x:v>Barnehager</x:v>
      </x:c>
      <x:c r="D13" t="str">
        <x:v>C</x:v>
      </x:c>
      <x:c r="E13" t="n">
        <x:v>2015</x:v>
      </x:c>
      <x:c r="F13" t="n">
        <x:v>124.2</x:v>
      </x:c>
      <x:c r="G13" t="str">
        <x:v>Simple</x:v>
      </x:c>
      <x:c r="H13" t="str"/>
      <x:c r="I13" t="str">
        <x:v>Årlig beregnet, ikke målt</x:v>
      </x:c>
      <x:c r="J13" t="str">
        <x:v>01012015_31122015.csv</x:v>
      </x:c>
    </x:row>
    <x:row r="14" ht="22" customHeight="1">
      <x:c r="A14" t="str">
        <x:v>70818517e94e</x:v>
      </x:c>
      <x:c r="B14" t="n">
        <x:v>2015</x:v>
      </x:c>
      <x:c r="C14" t="str">
        <x:v>Barnehager</x:v>
      </x:c>
      <x:c r="D14" t="str">
        <x:v>C</x:v>
      </x:c>
      <x:c r="E14" t="n">
        <x:v>2010</x:v>
      </x:c>
      <x:c r="F14" t="n">
        <x:v>144.2</x:v>
      </x:c>
      <x:c r="G14" t="str">
        <x:v>Simple</x:v>
      </x:c>
      <x:c r="H14" t="str"/>
      <x:c r="I14" t="str">
        <x:v>Årlig beregnet, ikke målt</x:v>
      </x:c>
      <x:c r="J14" t="str">
        <x:v>01012015_31122015.csv</x:v>
      </x:c>
    </x:row>
    <x:row r="15" ht="22" customHeight="1">
      <x:c r="A15" t="str">
        <x:v>8f83aac1598e</x:v>
      </x:c>
      <x:c r="B15" t="n">
        <x:v>2015</x:v>
      </x:c>
      <x:c r="C15" t="str">
        <x:v>Barnehager</x:v>
      </x:c>
      <x:c r="D15" t="str">
        <x:v>C</x:v>
      </x:c>
      <x:c r="E15" t="n">
        <x:v>2000</x:v>
      </x:c>
      <x:c r="F15" t="n">
        <x:v>144.2</x:v>
      </x:c>
      <x:c r="G15" t="str">
        <x:v>Simple</x:v>
      </x:c>
      <x:c r="H15" t="str"/>
      <x:c r="I15" t="str">
        <x:v>Årlig beregnet, ikke målt</x:v>
      </x:c>
      <x:c r="J15" t="str">
        <x:v>01012015_31122015.csv</x:v>
      </x:c>
    </x:row>
    <x:row r="16" ht="22" customHeight="1">
      <x:c r="A16" t="str">
        <x:v>57a8baea9e4a</x:v>
      </x:c>
      <x:c r="B16" t="n">
        <x:v>2015</x:v>
      </x:c>
      <x:c r="C16" t="str">
        <x:v>Barnehager</x:v>
      </x:c>
      <x:c r="D16" t="str">
        <x:v>C</x:v>
      </x:c>
      <x:c r="E16" t="n">
        <x:v>1987</x:v>
      </x:c>
      <x:c r="F16" t="n">
        <x:v>128</x:v>
      </x:c>
      <x:c r="G16" t="str">
        <x:v>Simple</x:v>
      </x:c>
      <x:c r="H16" t="str"/>
      <x:c r="I16" t="str">
        <x:v>Årlig beregnet, ikke målt</x:v>
      </x:c>
      <x:c r="J16" t="str">
        <x:v>01012015_31122015.csv</x:v>
      </x:c>
    </x:row>
    <x:row r="17" ht="22" customHeight="1">
      <x:c r="A17" t="str">
        <x:v>20c1f9f82d45</x:v>
      </x:c>
      <x:c r="B17" t="n">
        <x:v>2015</x:v>
      </x:c>
      <x:c r="C17" t="str">
        <x:v>Barnehager</x:v>
      </x:c>
      <x:c r="D17" t="str">
        <x:v>D</x:v>
      </x:c>
      <x:c r="E17" t="n">
        <x:v>2007</x:v>
      </x:c>
      <x:c r="F17" t="n">
        <x:v>174.6</x:v>
      </x:c>
      <x:c r="G17" t="str">
        <x:v>Simple</x:v>
      </x:c>
      <x:c r="H17" t="str"/>
      <x:c r="I17" t="str">
        <x:v>Årlig beregnet, ikke målt</x:v>
      </x:c>
      <x:c r="J17" t="str">
        <x:v>01012015_31122015.csv</x:v>
      </x:c>
    </x:row>
    <x:row r="18" ht="22" customHeight="1">
      <x:c r="A18" t="str">
        <x:v>1faffcf62422</x:v>
      </x:c>
      <x:c r="B18" t="n">
        <x:v>2015</x:v>
      </x:c>
      <x:c r="C18" t="str">
        <x:v>Barnehager</x:v>
      </x:c>
      <x:c r="D18" t="str">
        <x:v>D</x:v>
      </x:c>
      <x:c r="E18" t="n">
        <x:v>2007</x:v>
      </x:c>
      <x:c r="F18" t="n">
        <x:v>173.5</x:v>
      </x:c>
      <x:c r="G18" t="str">
        <x:v>Simple</x:v>
      </x:c>
      <x:c r="H18" t="str"/>
      <x:c r="I18" t="str">
        <x:v>Årlig beregnet, ikke målt</x:v>
      </x:c>
      <x:c r="J18" t="str">
        <x:v>01012015_31122015.csv</x:v>
      </x:c>
    </x:row>
    <x:row r="19" ht="22" customHeight="1">
      <x:c r="A19" t="str">
        <x:v>ea12adf239fc</x:v>
      </x:c>
      <x:c r="B19" t="n">
        <x:v>2015</x:v>
      </x:c>
      <x:c r="C19" t="str">
        <x:v>Barnehager</x:v>
      </x:c>
      <x:c r="D19" t="str">
        <x:v>D</x:v>
      </x:c>
      <x:c r="E19" t="n">
        <x:v>2008</x:v>
      </x:c>
      <x:c r="F19" t="n">
        <x:v>148</x:v>
      </x:c>
      <x:c r="G19" t="str">
        <x:v>Simple</x:v>
      </x:c>
      <x:c r="H19" t="str"/>
      <x:c r="I19" t="str">
        <x:v>Årlig beregnet, ikke målt</x:v>
      </x:c>
      <x:c r="J19" t="str">
        <x:v>01012015_31122015.csv</x:v>
      </x:c>
    </x:row>
    <x:row r="20" ht="22" customHeight="1">
      <x:c r="A20" t="str">
        <x:v>a3977c345e4b</x:v>
      </x:c>
      <x:c r="B20" t="n">
        <x:v>2015</x:v>
      </x:c>
      <x:c r="C20" t="str">
        <x:v>Barnehager</x:v>
      </x:c>
      <x:c r="D20" t="str">
        <x:v>D</x:v>
      </x:c>
      <x:c r="E20" t="n">
        <x:v>2007</x:v>
      </x:c>
      <x:c r="F20" t="n">
        <x:v>171.6</x:v>
      </x:c>
      <x:c r="G20" t="str">
        <x:v>Simple</x:v>
      </x:c>
      <x:c r="H20" t="str"/>
      <x:c r="I20" t="str">
        <x:v>Årlig beregnet, ikke målt</x:v>
      </x:c>
      <x:c r="J20" t="str">
        <x:v>01012015_31122015.csv</x:v>
      </x:c>
    </x:row>
    <x:row r="21" ht="22" customHeight="1">
      <x:c r="A21" t="str">
        <x:v>308b392066c3</x:v>
      </x:c>
      <x:c r="B21" t="n">
        <x:v>2015</x:v>
      </x:c>
      <x:c r="C21" t="str">
        <x:v>Barnehager</x:v>
      </x:c>
      <x:c r="D21" t="str">
        <x:v>D</x:v>
      </x:c>
      <x:c r="E21" t="n">
        <x:v>2007</x:v>
      </x:c>
      <x:c r="F21" t="n">
        <x:v>172.3</x:v>
      </x:c>
      <x:c r="G21" t="str">
        <x:v>Simple</x:v>
      </x:c>
      <x:c r="H21" t="str"/>
      <x:c r="I21" t="str">
        <x:v>Årlig beregnet, ikke målt</x:v>
      </x:c>
      <x:c r="J21" t="str">
        <x:v>01012015_31122015.csv</x:v>
      </x:c>
    </x:row>
    <x:row r="22" ht="22" customHeight="1">
      <x:c r="A22" t="str">
        <x:v>940e3a141590</x:v>
      </x:c>
      <x:c r="B22" t="n">
        <x:v>2015</x:v>
      </x:c>
      <x:c r="C22" t="str">
        <x:v>Barnehager</x:v>
      </x:c>
      <x:c r="D22" t="str">
        <x:v>E</x:v>
      </x:c>
      <x:c r="E22" t="n">
        <x:v>1991</x:v>
      </x:c>
      <x:c r="F22" t="n">
        <x:v>201.4</x:v>
      </x:c>
      <x:c r="G22" t="str">
        <x:v>Simple</x:v>
      </x:c>
      <x:c r="H22" t="str"/>
      <x:c r="I22" t="str">
        <x:v>Årlig beregnet, ikke målt</x:v>
      </x:c>
      <x:c r="J22" t="str">
        <x:v>01012015_31122015.csv</x:v>
      </x:c>
    </x:row>
    <x:row r="23" ht="22" customHeight="1">
      <x:c r="A23" t="str">
        <x:v>fbe11a5fbabd</x:v>
      </x:c>
      <x:c r="B23" t="n">
        <x:v>2015</x:v>
      </x:c>
      <x:c r="C23" t="str">
        <x:v>Barnehager</x:v>
      </x:c>
      <x:c r="D23" t="str">
        <x:v>E</x:v>
      </x:c>
      <x:c r="E23" t="n">
        <x:v>2013</x:v>
      </x:c>
      <x:c r="F23" t="n">
        <x:v>208.3</x:v>
      </x:c>
      <x:c r="G23" t="str">
        <x:v>Advanced</x:v>
      </x:c>
      <x:c r="H23" t="str"/>
      <x:c r="I23" t="str">
        <x:v>Årlig beregnet, ikke målt</x:v>
      </x:c>
      <x:c r="J23" t="str">
        <x:v>01012015_31122015.csv</x:v>
      </x:c>
    </x:row>
    <x:row r="24" ht="22" customHeight="1">
      <x:c r="A24" t="str">
        <x:v>529255692489</x:v>
      </x:c>
      <x:c r="B24" t="n">
        <x:v>2015</x:v>
      </x:c>
      <x:c r="C24" t="str">
        <x:v>Barnehager</x:v>
      </x:c>
      <x:c r="D24" t="str">
        <x:v>E</x:v>
      </x:c>
      <x:c r="E24" t="n">
        <x:v>1990</x:v>
      </x:c>
      <x:c r="F24" t="n">
        <x:v>216.8</x:v>
      </x:c>
      <x:c r="G24" t="str">
        <x:v>Simple</x:v>
      </x:c>
      <x:c r="H24" t="str"/>
      <x:c r="I24" t="str">
        <x:v>Årlig beregnet, ikke målt</x:v>
      </x:c>
      <x:c r="J24" t="str">
        <x:v>01012015_31122015.csv</x:v>
      </x:c>
    </x:row>
    <x:row r="25" ht="22" customHeight="1">
      <x:c r="A25" t="str">
        <x:v>f0b371fb6af3</x:v>
      </x:c>
      <x:c r="B25" t="n">
        <x:v>2015</x:v>
      </x:c>
      <x:c r="C25" t="str">
        <x:v>Barnehager</x:v>
      </x:c>
      <x:c r="D25" t="str">
        <x:v>E</x:v>
      </x:c>
      <x:c r="E25" t="n">
        <x:v>1957</x:v>
      </x:c>
      <x:c r="F25" t="n">
        <x:v>190.8</x:v>
      </x:c>
      <x:c r="G25" t="str">
        <x:v>Simple</x:v>
      </x:c>
      <x:c r="H25" t="str"/>
      <x:c r="I25" t="str">
        <x:v>Årlig beregnet, ikke målt</x:v>
      </x:c>
      <x:c r="J25" t="str">
        <x:v>01012015_31122015.csv</x:v>
      </x:c>
    </x:row>
    <x:row r="26" ht="22" customHeight="1">
      <x:c r="A26" t="str">
        <x:v>f49c611de317</x:v>
      </x:c>
      <x:c r="B26" t="n">
        <x:v>2015</x:v>
      </x:c>
      <x:c r="C26" t="str">
        <x:v>Barnehager</x:v>
      </x:c>
      <x:c r="D26" t="str">
        <x:v>E</x:v>
      </x:c>
      <x:c r="E26" t="n">
        <x:v>2007</x:v>
      </x:c>
      <x:c r="F26" t="n">
        <x:v>198.1</x:v>
      </x:c>
      <x:c r="G26" t="str">
        <x:v>Simple</x:v>
      </x:c>
      <x:c r="H26" t="str"/>
      <x:c r="I26" t="str">
        <x:v>Årlig beregnet, ikke målt</x:v>
      </x:c>
      <x:c r="J26" t="str">
        <x:v>01012015_31122015.csv</x:v>
      </x:c>
    </x:row>
    <x:row r="27" ht="22" customHeight="1">
      <x:c r="A27" t="str">
        <x:v>9f1d16fd41ce</x:v>
      </x:c>
      <x:c r="B27" t="n">
        <x:v>2015</x:v>
      </x:c>
      <x:c r="C27" t="str">
        <x:v>Barnehager</x:v>
      </x:c>
      <x:c r="D27" t="str">
        <x:v>F</x:v>
      </x:c>
      <x:c r="E27" t="n">
        <x:v>2004</x:v>
      </x:c>
      <x:c r="F27" t="n">
        <x:v>271.3</x:v>
      </x:c>
      <x:c r="G27" t="str">
        <x:v>Simple</x:v>
      </x:c>
      <x:c r="H27" t="str">
        <x:v>Tre</x:v>
      </x:c>
      <x:c r="I27" t="str">
        <x:v>Årlig beregnet, ikke målt</x:v>
      </x:c>
      <x:c r="J27" t="str">
        <x:v>01012015_31122015.csv</x:v>
      </x:c>
    </x:row>
    <x:row r="28" ht="22" customHeight="1">
      <x:c r="A28" t="str">
        <x:v>486b12bb2f3e</x:v>
      </x:c>
      <x:c r="B28" t="n">
        <x:v>2015</x:v>
      </x:c>
      <x:c r="C28" t="str">
        <x:v>Barnehager</x:v>
      </x:c>
      <x:c r="D28" t="str">
        <x:v>F</x:v>
      </x:c>
      <x:c r="E28" t="n">
        <x:v>1992</x:v>
      </x:c>
      <x:c r="F28" t="n">
        <x:v>246.6</x:v>
      </x:c>
      <x:c r="G28" t="str">
        <x:v>Simple</x:v>
      </x:c>
      <x:c r="H28" t="str"/>
      <x:c r="I28" t="str">
        <x:v>Årlig beregnet, ikke målt</x:v>
      </x:c>
      <x:c r="J28" t="str">
        <x:v>01012015_31122015.csv</x:v>
      </x:c>
    </x:row>
    <x:row r="29" ht="22" customHeight="1">
      <x:c r="A29" t="str">
        <x:v>432345af1175</x:v>
      </x:c>
      <x:c r="B29" t="n">
        <x:v>2015</x:v>
      </x:c>
      <x:c r="C29" t="str">
        <x:v>Barnehager</x:v>
      </x:c>
      <x:c r="D29" t="str">
        <x:v>F</x:v>
      </x:c>
      <x:c r="E29" t="n">
        <x:v>1980</x:v>
      </x:c>
      <x:c r="F29" t="n">
        <x:v>241.9</x:v>
      </x:c>
      <x:c r="G29" t="str">
        <x:v>Advanced</x:v>
      </x:c>
      <x:c r="H29" t="str"/>
      <x:c r="I29" t="str">
        <x:v>Årlig beregnet, ikke målt</x:v>
      </x:c>
      <x:c r="J29" t="str">
        <x:v>01012015_31122015.csv</x:v>
      </x:c>
    </x:row>
    <x:row r="30" ht="22" customHeight="1">
      <x:c r="A30" t="str">
        <x:v>7b989e4051dc</x:v>
      </x:c>
      <x:c r="B30" t="n">
        <x:v>2015</x:v>
      </x:c>
      <x:c r="C30" t="str">
        <x:v>Barnehager</x:v>
      </x:c>
      <x:c r="D30" t="str">
        <x:v>F</x:v>
      </x:c>
      <x:c r="E30" t="n">
        <x:v>2010</x:v>
      </x:c>
      <x:c r="F30" t="n">
        <x:v>233.3</x:v>
      </x:c>
      <x:c r="G30" t="str">
        <x:v>Simple</x:v>
      </x:c>
      <x:c r="H30" t="str"/>
      <x:c r="I30" t="str">
        <x:v>Årlig beregnet, ikke målt</x:v>
      </x:c>
      <x:c r="J30" t="str">
        <x:v>01012015_31122015.csv</x:v>
      </x:c>
    </x:row>
    <x:row r="31" ht="22" customHeight="1">
      <x:c r="A31" t="str">
        <x:v>d72738496659</x:v>
      </x:c>
      <x:c r="B31" t="n">
        <x:v>2015</x:v>
      </x:c>
      <x:c r="C31" t="str">
        <x:v>Barnehager</x:v>
      </x:c>
      <x:c r="D31" t="str">
        <x:v>F</x:v>
      </x:c>
      <x:c r="E31" t="n">
        <x:v>1995</x:v>
      </x:c>
      <x:c r="F31" t="n">
        <x:v>222.7</x:v>
      </x:c>
      <x:c r="G31" t="str">
        <x:v>Advanced</x:v>
      </x:c>
      <x:c r="H31" t="str"/>
      <x:c r="I31" t="str">
        <x:v>Årlig beregnet, ikke målt</x:v>
      </x:c>
      <x:c r="J31" t="str">
        <x:v>01012015_31122015.csv</x:v>
      </x:c>
    </x:row>
    <x:row r="32" ht="22" customHeight="1">
      <x:c r="A32" t="str">
        <x:v>69f3bb3a347c</x:v>
      </x:c>
      <x:c r="B32" t="n">
        <x:v>2015</x:v>
      </x:c>
      <x:c r="C32" t="str">
        <x:v>Barnehager</x:v>
      </x:c>
      <x:c r="D32" t="str">
        <x:v>G</x:v>
      </x:c>
      <x:c r="E32" t="n">
        <x:v>1965</x:v>
      </x:c>
      <x:c r="F32" t="n">
        <x:v>317.9</x:v>
      </x:c>
      <x:c r="G32" t="str">
        <x:v>Simple</x:v>
      </x:c>
      <x:c r="H32" t="str"/>
      <x:c r="I32" t="str">
        <x:v>Årlig beregnet, ikke målt</x:v>
      </x:c>
      <x:c r="J32" t="str">
        <x:v>01012015_31122015.csv</x:v>
      </x:c>
    </x:row>
    <x:row r="33" ht="22" customHeight="1">
      <x:c r="A33" t="str">
        <x:v>393ad69c457d</x:v>
      </x:c>
      <x:c r="B33" t="n">
        <x:v>2015</x:v>
      </x:c>
      <x:c r="C33" t="str">
        <x:v>Barnehager</x:v>
      </x:c>
      <x:c r="D33" t="str">
        <x:v>G</x:v>
      </x:c>
      <x:c r="E33" t="n">
        <x:v>1980</x:v>
      </x:c>
      <x:c r="F33" t="n">
        <x:v>316.2</x:v>
      </x:c>
      <x:c r="G33" t="str">
        <x:v>Simple</x:v>
      </x:c>
      <x:c r="H33" t="str"/>
      <x:c r="I33" t="str">
        <x:v>Årlig beregnet, ikke målt</x:v>
      </x:c>
      <x:c r="J33" t="str">
        <x:v>01012015_31122015.csv</x:v>
      </x:c>
    </x:row>
    <x:row r="34" ht="22" customHeight="1">
      <x:c r="A34" t="str">
        <x:v>954555fe0ea3</x:v>
      </x:c>
      <x:c r="B34" t="n">
        <x:v>2015</x:v>
      </x:c>
      <x:c r="C34" t="str">
        <x:v>Barnehager</x:v>
      </x:c>
      <x:c r="D34" t="str">
        <x:v>G</x:v>
      </x:c>
      <x:c r="E34" t="n">
        <x:v>1981</x:v>
      </x:c>
      <x:c r="F34" t="n">
        <x:v>322.8</x:v>
      </x:c>
      <x:c r="G34" t="str">
        <x:v>Simple</x:v>
      </x:c>
      <x:c r="H34" t="str"/>
      <x:c r="I34" t="str">
        <x:v>Årlig beregnet, ikke målt</x:v>
      </x:c>
      <x:c r="J34" t="str">
        <x:v>01012015_31122015.csv</x:v>
      </x:c>
    </x:row>
    <x:row r="35" ht="22" customHeight="1">
      <x:c r="A35" t="str">
        <x:v>d0f211f58789</x:v>
      </x:c>
      <x:c r="B35" t="n">
        <x:v>2015</x:v>
      </x:c>
      <x:c r="C35" t="str">
        <x:v>Barnehager</x:v>
      </x:c>
      <x:c r="D35" t="str">
        <x:v>G</x:v>
      </x:c>
      <x:c r="E35" t="n">
        <x:v>2005</x:v>
      </x:c>
      <x:c r="F35" t="n">
        <x:v>293.36</x:v>
      </x:c>
      <x:c r="G35" t="str">
        <x:v>Simple</x:v>
      </x:c>
      <x:c r="H35" t="str">
        <x:v>Tre</x:v>
      </x:c>
      <x:c r="I35" t="str">
        <x:v>Årlig beregnet, ikke målt</x:v>
      </x:c>
      <x:c r="J35" t="str">
        <x:v>01012015_31122015.csv</x:v>
      </x:c>
    </x:row>
    <x:row r="36" ht="22" customHeight="1">
      <x:c r="A36" t="str">
        <x:v>07108ae139f5</x:v>
      </x:c>
      <x:c r="B36" t="n">
        <x:v>2015</x:v>
      </x:c>
      <x:c r="C36" t="str">
        <x:v>Barnehager</x:v>
      </x:c>
      <x:c r="D36" t="str">
        <x:v>G</x:v>
      </x:c>
      <x:c r="E36" t="n">
        <x:v>1980</x:v>
      </x:c>
      <x:c r="F36" t="n">
        <x:v>316.2</x:v>
      </x:c>
      <x:c r="G36" t="str">
        <x:v>Simple</x:v>
      </x:c>
      <x:c r="H36" t="str"/>
      <x:c r="I36" t="str">
        <x:v>Årlig beregnet, ikke målt</x:v>
      </x:c>
      <x:c r="J36" t="str">
        <x:v>01012015_31122015.csv</x:v>
      </x:c>
    </x:row>
    <x:row r="37" ht="22" customHeight="1">
      <x:c r="A37" t="str">
        <x:v>7bb4cd5cff58</x:v>
      </x:c>
      <x:c r="B37" t="n">
        <x:v>2015</x:v>
      </x:c>
      <x:c r="C37" t="str">
        <x:v>Boligblokker</x:v>
      </x:c>
      <x:c r="D37" t="str">
        <x:v>A</x:v>
      </x:c>
      <x:c r="E37" t="n">
        <x:v>2014</x:v>
      </x:c>
      <x:c r="F37" t="n">
        <x:v>56</x:v>
      </x:c>
      <x:c r="G37" t="str">
        <x:v>Advanced</x:v>
      </x:c>
      <x:c r="H37" t="str"/>
      <x:c r="I37" t="str">
        <x:v>Årlig beregnet, ikke målt</x:v>
      </x:c>
      <x:c r="J37" t="str">
        <x:v>01012015_31122015.csv</x:v>
      </x:c>
    </x:row>
    <x:row r="38" ht="22" customHeight="1">
      <x:c r="A38" t="str">
        <x:v>4dee54dae0f3</x:v>
      </x:c>
      <x:c r="B38" t="n">
        <x:v>2015</x:v>
      </x:c>
      <x:c r="C38" t="str">
        <x:v>Boligblokker</x:v>
      </x:c>
      <x:c r="D38" t="str">
        <x:v>A</x:v>
      </x:c>
      <x:c r="E38" t="n">
        <x:v>2014</x:v>
      </x:c>
      <x:c r="F38" t="n">
        <x:v>71.9</x:v>
      </x:c>
      <x:c r="G38" t="str">
        <x:v>Simple</x:v>
      </x:c>
      <x:c r="H38" t="str"/>
      <x:c r="I38" t="str">
        <x:v>Årlig beregnet, ikke målt</x:v>
      </x:c>
      <x:c r="J38" t="str">
        <x:v>01012015_31122015.csv</x:v>
      </x:c>
    </x:row>
    <x:row r="39" ht="22" customHeight="1">
      <x:c r="A39" t="str">
        <x:v>0c562d35c336</x:v>
      </x:c>
      <x:c r="B39" t="n">
        <x:v>2015</x:v>
      </x:c>
      <x:c r="C39" t="str">
        <x:v>Boligblokker</x:v>
      </x:c>
      <x:c r="D39" t="str">
        <x:v>A</x:v>
      </x:c>
      <x:c r="E39" t="n">
        <x:v>2015</x:v>
      </x:c>
      <x:c r="F39" t="n">
        <x:v>73.8</x:v>
      </x:c>
      <x:c r="G39" t="str">
        <x:v>Advanced</x:v>
      </x:c>
      <x:c r="H39" t="str"/>
      <x:c r="I39" t="str">
        <x:v>Årlig beregnet, ikke målt</x:v>
      </x:c>
      <x:c r="J39" t="str">
        <x:v>01012015_31122015.csv</x:v>
      </x:c>
    </x:row>
    <x:row r="40" ht="22" customHeight="1">
      <x:c r="A40" t="str">
        <x:v>211608ee7deb</x:v>
      </x:c>
      <x:c r="B40" t="n">
        <x:v>2015</x:v>
      </x:c>
      <x:c r="C40" t="str">
        <x:v>Boligblokker</x:v>
      </x:c>
      <x:c r="D40" t="str">
        <x:v>A</x:v>
      </x:c>
      <x:c r="E40" t="n">
        <x:v>2015</x:v>
      </x:c>
      <x:c r="F40" t="n">
        <x:v>84.9</x:v>
      </x:c>
      <x:c r="G40" t="str">
        <x:v>Simple</x:v>
      </x:c>
      <x:c r="H40" t="str"/>
      <x:c r="I40" t="str">
        <x:v>Årlig beregnet, ikke målt</x:v>
      </x:c>
      <x:c r="J40" t="str">
        <x:v>01012015_31122015.csv</x:v>
      </x:c>
    </x:row>
    <x:row r="41" ht="22" customHeight="1">
      <x:c r="A41" t="str">
        <x:v>30f85aa59dc6</x:v>
      </x:c>
      <x:c r="B41" t="n">
        <x:v>2015</x:v>
      </x:c>
      <x:c r="C41" t="str">
        <x:v>Boligblokker</x:v>
      </x:c>
      <x:c r="D41" t="str">
        <x:v>A</x:v>
      </x:c>
      <x:c r="E41" t="n">
        <x:v>2015</x:v>
      </x:c>
      <x:c r="F41" t="n">
        <x:v>93.5</x:v>
      </x:c>
      <x:c r="G41" t="str">
        <x:v>Simple</x:v>
      </x:c>
      <x:c r="H41" t="str"/>
      <x:c r="I41" t="str">
        <x:v>Årlig beregnet, ikke målt</x:v>
      </x:c>
      <x:c r="J41" t="str">
        <x:v>01012015_31122015.csv</x:v>
      </x:c>
    </x:row>
    <x:row r="42" ht="22" customHeight="1">
      <x:c r="A42" t="str">
        <x:v>d223c42b656a</x:v>
      </x:c>
      <x:c r="B42" t="n">
        <x:v>2015</x:v>
      </x:c>
      <x:c r="C42" t="str">
        <x:v>Boligblokker</x:v>
      </x:c>
      <x:c r="D42" t="str">
        <x:v>B</x:v>
      </x:c>
      <x:c r="E42" t="n">
        <x:v>2015</x:v>
      </x:c>
      <x:c r="F42" t="n">
        <x:v>91.7</x:v>
      </x:c>
      <x:c r="G42" t="str">
        <x:v>Advanced</x:v>
      </x:c>
      <x:c r="H42" t="str"/>
      <x:c r="I42" t="str">
        <x:v>Årlig beregnet, ikke målt</x:v>
      </x:c>
      <x:c r="J42" t="str">
        <x:v>01012015_31122015.csv</x:v>
      </x:c>
    </x:row>
    <x:row r="43" ht="22" customHeight="1">
      <x:c r="A43" t="str">
        <x:v>761dbcef6f7f</x:v>
      </x:c>
      <x:c r="B43" t="n">
        <x:v>2015</x:v>
      </x:c>
      <x:c r="C43" t="str">
        <x:v>Boligblokker</x:v>
      </x:c>
      <x:c r="D43" t="str">
        <x:v>B</x:v>
      </x:c>
      <x:c r="E43" t="n">
        <x:v>2015</x:v>
      </x:c>
      <x:c r="F43" t="n">
        <x:v>100.1</x:v>
      </x:c>
      <x:c r="G43" t="str">
        <x:v>Simple</x:v>
      </x:c>
      <x:c r="H43" t="str"/>
      <x:c r="I43" t="str">
        <x:v>Årlig beregnet, ikke målt</x:v>
      </x:c>
      <x:c r="J43" t="str">
        <x:v>01012015_31122015.csv</x:v>
      </x:c>
    </x:row>
    <x:row r="44" ht="22" customHeight="1">
      <x:c r="A44" t="str">
        <x:v>94c166e94b9d</x:v>
      </x:c>
      <x:c r="B44" t="n">
        <x:v>2015</x:v>
      </x:c>
      <x:c r="C44" t="str">
        <x:v>Boligblokker</x:v>
      </x:c>
      <x:c r="D44" t="str">
        <x:v>B</x:v>
      </x:c>
      <x:c r="E44" t="n">
        <x:v>2015</x:v>
      </x:c>
      <x:c r="F44" t="n">
        <x:v>98.3</x:v>
      </x:c>
      <x:c r="G44" t="str">
        <x:v>Simple</x:v>
      </x:c>
      <x:c r="H44" t="str"/>
      <x:c r="I44" t="str">
        <x:v>Årlig beregnet, ikke målt</x:v>
      </x:c>
      <x:c r="J44" t="str">
        <x:v>01012015_31122015.csv</x:v>
      </x:c>
    </x:row>
    <x:row r="45" ht="22" customHeight="1">
      <x:c r="A45" t="str">
        <x:v>b5b53290bc5f</x:v>
      </x:c>
      <x:c r="B45" t="n">
        <x:v>2015</x:v>
      </x:c>
      <x:c r="C45" t="str">
        <x:v>Boligblokker</x:v>
      </x:c>
      <x:c r="D45" t="str">
        <x:v>B</x:v>
      </x:c>
      <x:c r="E45" t="n">
        <x:v>2015</x:v>
      </x:c>
      <x:c r="F45" t="n">
        <x:v>107.8</x:v>
      </x:c>
      <x:c r="G45" t="str">
        <x:v>Simple</x:v>
      </x:c>
      <x:c r="H45" t="str"/>
      <x:c r="I45" t="str">
        <x:v>Årlig beregnet, ikke målt</x:v>
      </x:c>
      <x:c r="J45" t="str">
        <x:v>01012015_31122015.csv</x:v>
      </x:c>
    </x:row>
    <x:row r="46" ht="22" customHeight="1">
      <x:c r="A46" t="str">
        <x:v>86bcce57be5c</x:v>
      </x:c>
      <x:c r="B46" t="n">
        <x:v>2015</x:v>
      </x:c>
      <x:c r="C46" t="str">
        <x:v>Boligblokker</x:v>
      </x:c>
      <x:c r="D46" t="str">
        <x:v>B</x:v>
      </x:c>
      <x:c r="E46" t="n">
        <x:v>2014</x:v>
      </x:c>
      <x:c r="F46" t="n">
        <x:v>100</x:v>
      </x:c>
      <x:c r="G46" t="str">
        <x:v>Simple</x:v>
      </x:c>
      <x:c r="H46" t="str"/>
      <x:c r="I46" t="str">
        <x:v>Årlig beregnet, ikke målt</x:v>
      </x:c>
      <x:c r="J46" t="str">
        <x:v>01012015_31122015.csv</x:v>
      </x:c>
    </x:row>
    <x:row r="47" ht="22" customHeight="1">
      <x:c r="A47" t="str">
        <x:v>f75e1117de62</x:v>
      </x:c>
      <x:c r="B47" t="n">
        <x:v>2015</x:v>
      </x:c>
      <x:c r="C47" t="str">
        <x:v>Boligblokker</x:v>
      </x:c>
      <x:c r="D47" t="str">
        <x:v>C</x:v>
      </x:c>
      <x:c r="E47" t="n">
        <x:v>2006</x:v>
      </x:c>
      <x:c r="F47" t="n">
        <x:v>124.3</x:v>
      </x:c>
      <x:c r="G47" t="str">
        <x:v>Simple</x:v>
      </x:c>
      <x:c r="H47" t="str">
        <x:v>Betong</x:v>
      </x:c>
      <x:c r="I47" t="str">
        <x:v>Årlig beregnet, ikke målt</x:v>
      </x:c>
      <x:c r="J47" t="str">
        <x:v>01012015_31122015.csv</x:v>
      </x:c>
    </x:row>
    <x:row r="48" ht="22" customHeight="1">
      <x:c r="A48" t="str">
        <x:v>c025718f755a</x:v>
      </x:c>
      <x:c r="B48" t="n">
        <x:v>2015</x:v>
      </x:c>
      <x:c r="C48" t="str">
        <x:v>Boligblokker</x:v>
      </x:c>
      <x:c r="D48" t="str">
        <x:v>C</x:v>
      </x:c>
      <x:c r="E48" t="n">
        <x:v>2004</x:v>
      </x:c>
      <x:c r="F48" t="n">
        <x:v>115</x:v>
      </x:c>
      <x:c r="G48" t="str">
        <x:v>Advanced</x:v>
      </x:c>
      <x:c r="H48" t="str"/>
      <x:c r="I48" t="str">
        <x:v>Årlig beregnet, ikke målt</x:v>
      </x:c>
      <x:c r="J48" t="str">
        <x:v>01012015_31122015.csv</x:v>
      </x:c>
    </x:row>
    <x:row r="49" ht="22" customHeight="1">
      <x:c r="A49" t="str">
        <x:v>0ce7cd236c2f</x:v>
      </x:c>
      <x:c r="B49" t="n">
        <x:v>2015</x:v>
      </x:c>
      <x:c r="C49" t="str">
        <x:v>Boligblokker</x:v>
      </x:c>
      <x:c r="D49" t="str">
        <x:v>C</x:v>
      </x:c>
      <x:c r="E49" t="n">
        <x:v>2009</x:v>
      </x:c>
      <x:c r="F49" t="n">
        <x:v>115.75</x:v>
      </x:c>
      <x:c r="G49" t="str">
        <x:v>Simple</x:v>
      </x:c>
      <x:c r="H49" t="str">
        <x:v>Betong</x:v>
      </x:c>
      <x:c r="I49" t="str">
        <x:v>Årlig beregnet, ikke målt</x:v>
      </x:c>
      <x:c r="J49" t="str">
        <x:v>01012015_31122015.csv</x:v>
      </x:c>
    </x:row>
    <x:row r="50" ht="22" customHeight="1">
      <x:c r="A50" t="str">
        <x:v>c7d293d70a8a</x:v>
      </x:c>
      <x:c r="B50" t="n">
        <x:v>2015</x:v>
      </x:c>
      <x:c r="C50" t="str">
        <x:v>Boligblokker</x:v>
      </x:c>
      <x:c r="D50" t="str">
        <x:v>C</x:v>
      </x:c>
      <x:c r="E50" t="n">
        <x:v>2011</x:v>
      </x:c>
      <x:c r="F50" t="n">
        <x:v>121.48</x:v>
      </x:c>
      <x:c r="G50" t="str">
        <x:v>Simple</x:v>
      </x:c>
      <x:c r="H50" t="str">
        <x:v>Betong</x:v>
      </x:c>
      <x:c r="I50" t="str">
        <x:v>Årlig beregnet, ikke målt</x:v>
      </x:c>
      <x:c r="J50" t="str">
        <x:v>01012015_31122015.csv</x:v>
      </x:c>
    </x:row>
    <x:row r="51" ht="22" customHeight="1">
      <x:c r="A51" t="str">
        <x:v>48cff2a81e12</x:v>
      </x:c>
      <x:c r="B51" t="n">
        <x:v>2015</x:v>
      </x:c>
      <x:c r="C51" t="str">
        <x:v>Boligblokker</x:v>
      </x:c>
      <x:c r="D51" t="str">
        <x:v>C</x:v>
      </x:c>
      <x:c r="E51" t="n">
        <x:v>2005</x:v>
      </x:c>
      <x:c r="F51" t="n">
        <x:v>160.51</x:v>
      </x:c>
      <x:c r="G51" t="str">
        <x:v>Simple</x:v>
      </x:c>
      <x:c r="H51" t="str">
        <x:v>Betong</x:v>
      </x:c>
      <x:c r="I51" t="str">
        <x:v>Årlig beregnet, ikke målt</x:v>
      </x:c>
      <x:c r="J51" t="str">
        <x:v>01012015_31122015.csv</x:v>
      </x:c>
    </x:row>
    <x:row r="52" ht="22" customHeight="1">
      <x:c r="A52" t="str">
        <x:v>7b3cb45eb8d1</x:v>
      </x:c>
      <x:c r="B52" t="n">
        <x:v>2015</x:v>
      </x:c>
      <x:c r="C52" t="str">
        <x:v>Boligblokker</x:v>
      </x:c>
      <x:c r="D52" t="str">
        <x:v>D</x:v>
      </x:c>
      <x:c r="E52" t="n">
        <x:v>1977</x:v>
      </x:c>
      <x:c r="F52" t="n">
        <x:v>141.9</x:v>
      </x:c>
      <x:c r="G52" t="str">
        <x:v>Advanced</x:v>
      </x:c>
      <x:c r="H52" t="str"/>
      <x:c r="I52" t="str">
        <x:v>Årlig beregnet, ikke målt</x:v>
      </x:c>
      <x:c r="J52" t="str">
        <x:v>01012015_31122015.csv</x:v>
      </x:c>
    </x:row>
    <x:row r="53" ht="22" customHeight="1">
      <x:c r="A53" t="str">
        <x:v>70f5ad612867</x:v>
      </x:c>
      <x:c r="B53" t="n">
        <x:v>2015</x:v>
      </x:c>
      <x:c r="C53" t="str">
        <x:v>Boligblokker</x:v>
      </x:c>
      <x:c r="D53" t="str">
        <x:v>D</x:v>
      </x:c>
      <x:c r="E53" t="n">
        <x:v>2007</x:v>
      </x:c>
      <x:c r="F53" t="n">
        <x:v>135.99</x:v>
      </x:c>
      <x:c r="G53" t="str">
        <x:v>Simple</x:v>
      </x:c>
      <x:c r="H53" t="str">
        <x:v>Betong</x:v>
      </x:c>
      <x:c r="I53" t="str">
        <x:v>Årlig beregnet, ikke målt</x:v>
      </x:c>
      <x:c r="J53" t="str">
        <x:v>01012015_31122015.csv</x:v>
      </x:c>
    </x:row>
    <x:row r="54" ht="22" customHeight="1">
      <x:c r="A54" t="str">
        <x:v>9ce3d91a03db</x:v>
      </x:c>
      <x:c r="B54" t="n">
        <x:v>2015</x:v>
      </x:c>
      <x:c r="C54" t="str">
        <x:v>Boligblokker</x:v>
      </x:c>
      <x:c r="D54" t="str">
        <x:v>D</x:v>
      </x:c>
      <x:c r="E54" t="n">
        <x:v>1983</x:v>
      </x:c>
      <x:c r="F54" t="n">
        <x:v>149.64</x:v>
      </x:c>
      <x:c r="G54" t="str">
        <x:v>Simple</x:v>
      </x:c>
      <x:c r="H54" t="str">
        <x:v>Mur/tegl</x:v>
      </x:c>
      <x:c r="I54" t="str">
        <x:v>Årlig beregnet, ikke målt</x:v>
      </x:c>
      <x:c r="J54" t="str">
        <x:v>01012015_31122015.csv</x:v>
      </x:c>
    </x:row>
    <x:row r="55" ht="22" customHeight="1">
      <x:c r="A55" t="str">
        <x:v>4004c9cb356f</x:v>
      </x:c>
      <x:c r="B55" t="n">
        <x:v>2015</x:v>
      </x:c>
      <x:c r="C55" t="str">
        <x:v>Boligblokker</x:v>
      </x:c>
      <x:c r="D55" t="str">
        <x:v>D</x:v>
      </x:c>
      <x:c r="E55" t="n">
        <x:v>2004</x:v>
      </x:c>
      <x:c r="F55" t="n">
        <x:v>163.54</x:v>
      </x:c>
      <x:c r="G55" t="str">
        <x:v>Simple</x:v>
      </x:c>
      <x:c r="H55" t="str">
        <x:v>Mur/tegl</x:v>
      </x:c>
      <x:c r="I55" t="str">
        <x:v>Årlig beregnet, ikke målt</x:v>
      </x:c>
      <x:c r="J55" t="str">
        <x:v>01012015_31122015.csv</x:v>
      </x:c>
    </x:row>
    <x:row r="56" ht="22" customHeight="1">
      <x:c r="A56" t="str">
        <x:v>9b41c9d14843</x:v>
      </x:c>
      <x:c r="B56" t="n">
        <x:v>2015</x:v>
      </x:c>
      <x:c r="C56" t="str">
        <x:v>Boligblokker</x:v>
      </x:c>
      <x:c r="D56" t="str">
        <x:v>D</x:v>
      </x:c>
      <x:c r="E56" t="n">
        <x:v>2015</x:v>
      </x:c>
      <x:c r="F56" t="n">
        <x:v>148.6</x:v>
      </x:c>
      <x:c r="G56" t="str">
        <x:v>Simple</x:v>
      </x:c>
      <x:c r="H56" t="str"/>
      <x:c r="I56" t="str">
        <x:v>Årlig beregnet, ikke målt</x:v>
      </x:c>
      <x:c r="J56" t="str">
        <x:v>01012015_31122015.csv</x:v>
      </x:c>
    </x:row>
    <x:row r="57" ht="22" customHeight="1">
      <x:c r="A57" t="str">
        <x:v>576cfe1345cb</x:v>
      </x:c>
      <x:c r="B57" t="n">
        <x:v>2015</x:v>
      </x:c>
      <x:c r="C57" t="str">
        <x:v>Boligblokker</x:v>
      </x:c>
      <x:c r="D57" t="str">
        <x:v>E</x:v>
      </x:c>
      <x:c r="E57" t="n">
        <x:v>1988</x:v>
      </x:c>
      <x:c r="F57" t="n">
        <x:v>177.56</x:v>
      </x:c>
      <x:c r="G57" t="str">
        <x:v>Simple</x:v>
      </x:c>
      <x:c r="H57" t="str">
        <x:v>Betong</x:v>
      </x:c>
      <x:c r="I57" t="str">
        <x:v>Årlig beregnet, ikke målt</x:v>
      </x:c>
      <x:c r="J57" t="str">
        <x:v>01012015_31122015.csv</x:v>
      </x:c>
    </x:row>
    <x:row r="58" ht="22" customHeight="1">
      <x:c r="A58" t="str">
        <x:v>fc8b814dc87b</x:v>
      </x:c>
      <x:c r="B58" t="n">
        <x:v>2015</x:v>
      </x:c>
      <x:c r="C58" t="str">
        <x:v>Boligblokker</x:v>
      </x:c>
      <x:c r="D58" t="str">
        <x:v>E</x:v>
      </x:c>
      <x:c r="E58" t="n">
        <x:v>1964</x:v>
      </x:c>
      <x:c r="F58" t="n">
        <x:v>199.14</x:v>
      </x:c>
      <x:c r="G58" t="str">
        <x:v>Simple</x:v>
      </x:c>
      <x:c r="H58" t="str">
        <x:v>Betong</x:v>
      </x:c>
      <x:c r="I58" t="str">
        <x:v>Årlig beregnet, ikke målt</x:v>
      </x:c>
      <x:c r="J58" t="str">
        <x:v>01012015_31122015.csv</x:v>
      </x:c>
    </x:row>
    <x:row r="59" ht="22" customHeight="1">
      <x:c r="A59" t="str">
        <x:v>0c468d724899</x:v>
      </x:c>
      <x:c r="B59" t="n">
        <x:v>2015</x:v>
      </x:c>
      <x:c r="C59" t="str">
        <x:v>Boligblokker</x:v>
      </x:c>
      <x:c r="D59" t="str">
        <x:v>E</x:v>
      </x:c>
      <x:c r="E59" t="n">
        <x:v>2006</x:v>
      </x:c>
      <x:c r="F59" t="n">
        <x:v>171.48</x:v>
      </x:c>
      <x:c r="G59" t="str">
        <x:v>Simple</x:v>
      </x:c>
      <x:c r="H59" t="str">
        <x:v>Mur/tegl</x:v>
      </x:c>
      <x:c r="I59" t="str">
        <x:v>Årlig beregnet, ikke målt</x:v>
      </x:c>
      <x:c r="J59" t="str">
        <x:v>01012015_31122015.csv</x:v>
      </x:c>
    </x:row>
    <x:row r="60" ht="22" customHeight="1">
      <x:c r="A60" t="str">
        <x:v>7d9c924f8c39</x:v>
      </x:c>
      <x:c r="B60" t="n">
        <x:v>2015</x:v>
      </x:c>
      <x:c r="C60" t="str">
        <x:v>Boligblokker</x:v>
      </x:c>
      <x:c r="D60" t="str">
        <x:v>E</x:v>
      </x:c>
      <x:c r="E60" t="n">
        <x:v>1989</x:v>
      </x:c>
      <x:c r="F60" t="n">
        <x:v>178.95</x:v>
      </x:c>
      <x:c r="G60" t="str">
        <x:v>Simple</x:v>
      </x:c>
      <x:c r="H60" t="str">
        <x:v>Betong</x:v>
      </x:c>
      <x:c r="I60" t="str">
        <x:v>Årlig beregnet, ikke målt</x:v>
      </x:c>
      <x:c r="J60" t="str">
        <x:v>01012015_31122015.csv</x:v>
      </x:c>
    </x:row>
    <x:row r="61" ht="22" customHeight="1">
      <x:c r="A61" t="str">
        <x:v>f764db5298f1</x:v>
      </x:c>
      <x:c r="B61" t="n">
        <x:v>2015</x:v>
      </x:c>
      <x:c r="C61" t="str">
        <x:v>Boligblokker</x:v>
      </x:c>
      <x:c r="D61" t="str">
        <x:v>E</x:v>
      </x:c>
      <x:c r="E61" t="n">
        <x:v>1959</x:v>
      </x:c>
      <x:c r="F61" t="n">
        <x:v>183.01</x:v>
      </x:c>
      <x:c r="G61" t="str">
        <x:v>Simple</x:v>
      </x:c>
      <x:c r="H61" t="str">
        <x:v>Betong</x:v>
      </x:c>
      <x:c r="I61" t="str">
        <x:v>Årlig beregnet, ikke målt</x:v>
      </x:c>
      <x:c r="J61" t="str">
        <x:v>01012015_31122015.csv</x:v>
      </x:c>
    </x:row>
    <x:row r="62" ht="22" customHeight="1">
      <x:c r="A62" t="str">
        <x:v>f9ae85f7e5a8</x:v>
      </x:c>
      <x:c r="B62" t="n">
        <x:v>2015</x:v>
      </x:c>
      <x:c r="C62" t="str">
        <x:v>Boligblokker</x:v>
      </x:c>
      <x:c r="D62" t="str">
        <x:v>F</x:v>
      </x:c>
      <x:c r="E62" t="n">
        <x:v>1912</x:v>
      </x:c>
      <x:c r="F62" t="n">
        <x:v>241.23</x:v>
      </x:c>
      <x:c r="G62" t="str">
        <x:v>Simple</x:v>
      </x:c>
      <x:c r="H62" t="str">
        <x:v>Mur/tegl</x:v>
      </x:c>
      <x:c r="I62" t="str">
        <x:v>Årlig beregnet, ikke målt</x:v>
      </x:c>
      <x:c r="J62" t="str">
        <x:v>01012015_31122015.csv</x:v>
      </x:c>
    </x:row>
    <x:row r="63" ht="22" customHeight="1">
      <x:c r="A63" t="str">
        <x:v>f9d1eb978c91</x:v>
      </x:c>
      <x:c r="B63" t="n">
        <x:v>2015</x:v>
      </x:c>
      <x:c r="C63" t="str">
        <x:v>Boligblokker</x:v>
      </x:c>
      <x:c r="D63" t="str">
        <x:v>F</x:v>
      </x:c>
      <x:c r="E63" t="n">
        <x:v>1898</x:v>
      </x:c>
      <x:c r="F63" t="n">
        <x:v>292.34</x:v>
      </x:c>
      <x:c r="G63" t="str">
        <x:v>Simple</x:v>
      </x:c>
      <x:c r="H63" t="str">
        <x:v>Mur/tegl</x:v>
      </x:c>
      <x:c r="I63" t="str">
        <x:v>Årlig beregnet, ikke målt</x:v>
      </x:c>
      <x:c r="J63" t="str">
        <x:v>01012015_31122015.csv</x:v>
      </x:c>
    </x:row>
    <x:row r="64" ht="22" customHeight="1">
      <x:c r="A64" t="str">
        <x:v>0d56df798eee</x:v>
      </x:c>
      <x:c r="B64" t="n">
        <x:v>2015</x:v>
      </x:c>
      <x:c r="C64" t="str">
        <x:v>Boligblokker</x:v>
      </x:c>
      <x:c r="D64" t="str">
        <x:v>F</x:v>
      </x:c>
      <x:c r="E64" t="n">
        <x:v>1975</x:v>
      </x:c>
      <x:c r="F64" t="n">
        <x:v>222.54</x:v>
      </x:c>
      <x:c r="G64" t="str">
        <x:v>Simple</x:v>
      </x:c>
      <x:c r="H64" t="str">
        <x:v>Betong</x:v>
      </x:c>
      <x:c r="I64" t="str">
        <x:v>Årlig beregnet, ikke målt</x:v>
      </x:c>
      <x:c r="J64" t="str">
        <x:v>01012015_31122015.csv</x:v>
      </x:c>
    </x:row>
    <x:row r="65" ht="22" customHeight="1">
      <x:c r="A65" t="str">
        <x:v>702750eae4e5</x:v>
      </x:c>
      <x:c r="B65" t="n">
        <x:v>2015</x:v>
      </x:c>
      <x:c r="C65" t="str">
        <x:v>Boligblokker</x:v>
      </x:c>
      <x:c r="D65" t="str">
        <x:v>F</x:v>
      </x:c>
      <x:c r="E65" t="n">
        <x:v>1892</x:v>
      </x:c>
      <x:c r="F65" t="n">
        <x:v>259.31</x:v>
      </x:c>
      <x:c r="G65" t="str">
        <x:v>Simple</x:v>
      </x:c>
      <x:c r="H65" t="str">
        <x:v>Mur/tegl</x:v>
      </x:c>
      <x:c r="I65" t="str">
        <x:v>Årlig beregnet, ikke målt</x:v>
      </x:c>
      <x:c r="J65" t="str">
        <x:v>01012015_31122015.csv</x:v>
      </x:c>
    </x:row>
    <x:row r="66" ht="22" customHeight="1">
      <x:c r="A66" t="str">
        <x:v>166e91dee3fd</x:v>
      </x:c>
      <x:c r="B66" t="n">
        <x:v>2015</x:v>
      </x:c>
      <x:c r="C66" t="str">
        <x:v>Boligblokker</x:v>
      </x:c>
      <x:c r="D66" t="str">
        <x:v>F</x:v>
      </x:c>
      <x:c r="E66" t="n">
        <x:v>1887</x:v>
      </x:c>
      <x:c r="F66" t="n">
        <x:v>237.94</x:v>
      </x:c>
      <x:c r="G66" t="str">
        <x:v>Simple</x:v>
      </x:c>
      <x:c r="H66" t="str">
        <x:v>Mur/tegl</x:v>
      </x:c>
      <x:c r="I66" t="str">
        <x:v>Årlig beregnet, ikke målt</x:v>
      </x:c>
      <x:c r="J66" t="str">
        <x:v>01012015_31122015.csv</x:v>
      </x:c>
    </x:row>
    <x:row r="67" ht="22" customHeight="1">
      <x:c r="A67" t="str">
        <x:v>4fad5ec2ade8</x:v>
      </x:c>
      <x:c r="B67" t="n">
        <x:v>2015</x:v>
      </x:c>
      <x:c r="C67" t="str">
        <x:v>Boligblokker</x:v>
      </x:c>
      <x:c r="D67" t="str">
        <x:v>G</x:v>
      </x:c>
      <x:c r="E67" t="n">
        <x:v>1914</x:v>
      </x:c>
      <x:c r="F67" t="n">
        <x:v>325.26</x:v>
      </x:c>
      <x:c r="G67" t="str">
        <x:v>Simple</x:v>
      </x:c>
      <x:c r="H67" t="str">
        <x:v>Mur/tegl</x:v>
      </x:c>
      <x:c r="I67" t="str">
        <x:v>Årlig beregnet, ikke målt</x:v>
      </x:c>
      <x:c r="J67" t="str">
        <x:v>01012015_31122015.csv</x:v>
      </x:c>
    </x:row>
    <x:row r="68" ht="22" customHeight="1">
      <x:c r="A68" t="str">
        <x:v>0735312ae050</x:v>
      </x:c>
      <x:c r="B68" t="n">
        <x:v>2015</x:v>
      </x:c>
      <x:c r="C68" t="str">
        <x:v>Boligblokker</x:v>
      </x:c>
      <x:c r="D68" t="str">
        <x:v>G</x:v>
      </x:c>
      <x:c r="E68" t="n">
        <x:v>1900</x:v>
      </x:c>
      <x:c r="F68" t="n">
        <x:v>404.59</x:v>
      </x:c>
      <x:c r="G68" t="str">
        <x:v>Simple</x:v>
      </x:c>
      <x:c r="H68" t="str">
        <x:v>Mur/tegl</x:v>
      </x:c>
      <x:c r="I68" t="str">
        <x:v>Årlig beregnet, ikke målt</x:v>
      </x:c>
      <x:c r="J68" t="str">
        <x:v>01012015_31122015.csv</x:v>
      </x:c>
    </x:row>
    <x:row r="69" ht="22" customHeight="1">
      <x:c r="A69" t="str">
        <x:v>4f2501378917</x:v>
      </x:c>
      <x:c r="B69" t="n">
        <x:v>2015</x:v>
      </x:c>
      <x:c r="C69" t="str">
        <x:v>Boligblokker</x:v>
      </x:c>
      <x:c r="D69" t="str">
        <x:v>G</x:v>
      </x:c>
      <x:c r="E69" t="n">
        <x:v>1918</x:v>
      </x:c>
      <x:c r="F69" t="n">
        <x:v>377.32</x:v>
      </x:c>
      <x:c r="G69" t="str">
        <x:v>Simple</x:v>
      </x:c>
      <x:c r="H69" t="str">
        <x:v>Mur/tegl</x:v>
      </x:c>
      <x:c r="I69" t="str">
        <x:v>Årlig beregnet, ikke målt</x:v>
      </x:c>
      <x:c r="J69" t="str">
        <x:v>01012015_31122015.csv</x:v>
      </x:c>
    </x:row>
    <x:row r="70" ht="22" customHeight="1">
      <x:c r="A70" t="str">
        <x:v>fbeb2c0e1b22</x:v>
      </x:c>
      <x:c r="B70" t="n">
        <x:v>2015</x:v>
      </x:c>
      <x:c r="C70" t="str">
        <x:v>Boligblokker</x:v>
      </x:c>
      <x:c r="D70" t="str">
        <x:v>G</x:v>
      </x:c>
      <x:c r="E70" t="n">
        <x:v>1964</x:v>
      </x:c>
      <x:c r="F70" t="n">
        <x:v>277.84</x:v>
      </x:c>
      <x:c r="G70" t="str">
        <x:v>Simple</x:v>
      </x:c>
      <x:c r="H70" t="str">
        <x:v>Betong</x:v>
      </x:c>
      <x:c r="I70" t="str">
        <x:v>Årlig beregnet, ikke målt</x:v>
      </x:c>
      <x:c r="J70" t="str">
        <x:v>01012015_31122015.csv</x:v>
      </x:c>
    </x:row>
    <x:row r="71" ht="22" customHeight="1">
      <x:c r="A71" t="str">
        <x:v>36f6e686dab2</x:v>
      </x:c>
      <x:c r="B71" t="n">
        <x:v>2015</x:v>
      </x:c>
      <x:c r="C71" t="str">
        <x:v>Boligblokker</x:v>
      </x:c>
      <x:c r="D71" t="str">
        <x:v>G</x:v>
      </x:c>
      <x:c r="E71" t="n">
        <x:v>1937</x:v>
      </x:c>
      <x:c r="F71" t="n">
        <x:v>284.49</x:v>
      </x:c>
      <x:c r="G71" t="str">
        <x:v>Simple</x:v>
      </x:c>
      <x:c r="H71" t="str">
        <x:v>Mur/tegl</x:v>
      </x:c>
      <x:c r="I71" t="str">
        <x:v>Årlig beregnet, ikke målt</x:v>
      </x:c>
      <x:c r="J71" t="str">
        <x:v>01012015_31122015.csv</x:v>
      </x:c>
    </x:row>
    <x:row r="72" ht="22" customHeight="1">
      <x:c r="A72" t="str">
        <x:v>4c8cc717458e</x:v>
      </x:c>
      <x:c r="B72" t="n">
        <x:v>2015</x:v>
      </x:c>
      <x:c r="C72" t="str">
        <x:v>Forretningsbygg</x:v>
      </x:c>
      <x:c r="D72" t="str">
        <x:v>A</x:v>
      </x:c>
      <x:c r="E72" t="n">
        <x:v>2015</x:v>
      </x:c>
      <x:c r="F72" t="n">
        <x:v>82</x:v>
      </x:c>
      <x:c r="G72" t="str">
        <x:v>Simple</x:v>
      </x:c>
      <x:c r="H72" t="str"/>
      <x:c r="I72" t="str">
        <x:v>Årlig beregnet, ikke målt</x:v>
      </x:c>
      <x:c r="J72" t="str">
        <x:v>01012015_31122015.csv</x:v>
      </x:c>
    </x:row>
    <x:row r="73" ht="22" customHeight="1">
      <x:c r="A73" t="str">
        <x:v>6d40f059614a</x:v>
      </x:c>
      <x:c r="B73" t="n">
        <x:v>2015</x:v>
      </x:c>
      <x:c r="C73" t="str">
        <x:v>Forretningsbygg</x:v>
      </x:c>
      <x:c r="D73" t="str">
        <x:v>A</x:v>
      </x:c>
      <x:c r="E73" t="n">
        <x:v>2000</x:v>
      </x:c>
      <x:c r="F73" t="n">
        <x:v>102.9</x:v>
      </x:c>
      <x:c r="G73" t="str">
        <x:v>Simple</x:v>
      </x:c>
      <x:c r="H73" t="str"/>
      <x:c r="I73" t="str">
        <x:v>Årlig beregnet, ikke målt</x:v>
      </x:c>
      <x:c r="J73" t="str">
        <x:v>01012015_31122015.csv</x:v>
      </x:c>
    </x:row>
    <x:row r="74" ht="22" customHeight="1">
      <x:c r="A74" t="str">
        <x:v>1c86e89a94d8</x:v>
      </x:c>
      <x:c r="B74" t="n">
        <x:v>2015</x:v>
      </x:c>
      <x:c r="C74" t="str">
        <x:v>Forretningsbygg</x:v>
      </x:c>
      <x:c r="D74" t="str">
        <x:v>A</x:v>
      </x:c>
      <x:c r="E74" t="n">
        <x:v>2014</x:v>
      </x:c>
      <x:c r="F74" t="n">
        <x:v>101</x:v>
      </x:c>
      <x:c r="G74" t="str">
        <x:v>Simple</x:v>
      </x:c>
      <x:c r="H74" t="str"/>
      <x:c r="I74" t="str">
        <x:v>Årlig beregnet, ikke målt</x:v>
      </x:c>
      <x:c r="J74" t="str">
        <x:v>01012015_31122015.csv</x:v>
      </x:c>
    </x:row>
    <x:row r="75" ht="22" customHeight="1">
      <x:c r="A75" t="str">
        <x:v>9fb9cdb8ba60</x:v>
      </x:c>
      <x:c r="B75" t="n">
        <x:v>2015</x:v>
      </x:c>
      <x:c r="C75" t="str">
        <x:v>Forretningsbygg</x:v>
      </x:c>
      <x:c r="D75" t="str">
        <x:v>A</x:v>
      </x:c>
      <x:c r="E75" t="n">
        <x:v>2014</x:v>
      </x:c>
      <x:c r="F75" t="n">
        <x:v>69</x:v>
      </x:c>
      <x:c r="G75" t="str">
        <x:v>Simple</x:v>
      </x:c>
      <x:c r="H75" t="str"/>
      <x:c r="I75" t="str">
        <x:v>Årlig beregnet, ikke målt</x:v>
      </x:c>
      <x:c r="J75" t="str">
        <x:v>01012015_31122015.csv</x:v>
      </x:c>
    </x:row>
    <x:row r="76" ht="22" customHeight="1">
      <x:c r="A76" t="str">
        <x:v>286c463a2586</x:v>
      </x:c>
      <x:c r="B76" t="n">
        <x:v>2015</x:v>
      </x:c>
      <x:c r="C76" t="str">
        <x:v>Forretningsbygg</x:v>
      </x:c>
      <x:c r="D76" t="str">
        <x:v>B</x:v>
      </x:c>
      <x:c r="E76" t="n">
        <x:v>2015</x:v>
      </x:c>
      <x:c r="F76" t="n">
        <x:v>152.3</x:v>
      </x:c>
      <x:c r="G76" t="str">
        <x:v>Simple</x:v>
      </x:c>
      <x:c r="H76" t="str"/>
      <x:c r="I76" t="str">
        <x:v>Årlig beregnet, ikke målt</x:v>
      </x:c>
      <x:c r="J76" t="str">
        <x:v>01012015_31122015.csv</x:v>
      </x:c>
    </x:row>
    <x:row r="77" ht="22" customHeight="1">
      <x:c r="A77" t="str">
        <x:v>4de90de8c1ba</x:v>
      </x:c>
      <x:c r="B77" t="n">
        <x:v>2015</x:v>
      </x:c>
      <x:c r="C77" t="str">
        <x:v>Forretningsbygg</x:v>
      </x:c>
      <x:c r="D77" t="str">
        <x:v>B</x:v>
      </x:c>
      <x:c r="E77" t="n">
        <x:v>2011</x:v>
      </x:c>
      <x:c r="F77" t="n">
        <x:v>123.9</x:v>
      </x:c>
      <x:c r="G77" t="str">
        <x:v>Simple</x:v>
      </x:c>
      <x:c r="H77" t="str"/>
      <x:c r="I77" t="str">
        <x:v>Årlig beregnet, ikke målt</x:v>
      </x:c>
      <x:c r="J77" t="str">
        <x:v>01012015_31122015.csv</x:v>
      </x:c>
    </x:row>
    <x:row r="78" ht="22" customHeight="1">
      <x:c r="A78" t="str">
        <x:v>775a4902236e</x:v>
      </x:c>
      <x:c r="B78" t="n">
        <x:v>2015</x:v>
      </x:c>
      <x:c r="C78" t="str">
        <x:v>Forretningsbygg</x:v>
      </x:c>
      <x:c r="D78" t="str">
        <x:v>B</x:v>
      </x:c>
      <x:c r="E78" t="n">
        <x:v>2011</x:v>
      </x:c>
      <x:c r="F78" t="n">
        <x:v>153</x:v>
      </x:c>
      <x:c r="G78" t="str">
        <x:v>Advanced</x:v>
      </x:c>
      <x:c r="H78" t="str"/>
      <x:c r="I78" t="str">
        <x:v>Årlig beregnet, ikke målt</x:v>
      </x:c>
      <x:c r="J78" t="str">
        <x:v>01012015_31122015.csv</x:v>
      </x:c>
    </x:row>
    <x:row r="79" ht="22" customHeight="1">
      <x:c r="A79" t="str">
        <x:v>480070255f88</x:v>
      </x:c>
      <x:c r="B79" t="n">
        <x:v>2015</x:v>
      </x:c>
      <x:c r="C79" t="str">
        <x:v>Forretningsbygg</x:v>
      </x:c>
      <x:c r="D79" t="str">
        <x:v>B</x:v>
      </x:c>
      <x:c r="E79" t="n">
        <x:v>2015</x:v>
      </x:c>
      <x:c r="F79" t="n">
        <x:v>154</x:v>
      </x:c>
      <x:c r="G79" t="str">
        <x:v>Simple</x:v>
      </x:c>
      <x:c r="H79" t="str"/>
      <x:c r="I79" t="str">
        <x:v>Årlig beregnet, ikke målt</x:v>
      </x:c>
      <x:c r="J79" t="str">
        <x:v>01012015_31122015.csv</x:v>
      </x:c>
    </x:row>
    <x:row r="80" ht="22" customHeight="1">
      <x:c r="A80" t="str">
        <x:v>9314bfac3c23</x:v>
      </x:c>
      <x:c r="B80" t="n">
        <x:v>2015</x:v>
      </x:c>
      <x:c r="C80" t="str">
        <x:v>Forretningsbygg</x:v>
      </x:c>
      <x:c r="D80" t="str">
        <x:v>B</x:v>
      </x:c>
      <x:c r="E80" t="n">
        <x:v>2015</x:v>
      </x:c>
      <x:c r="F80" t="n">
        <x:v>122.5</x:v>
      </x:c>
      <x:c r="G80" t="str">
        <x:v>Advanced</x:v>
      </x:c>
      <x:c r="H80" t="str"/>
      <x:c r="I80" t="str">
        <x:v>Årlig beregnet, ikke målt</x:v>
      </x:c>
      <x:c r="J80" t="str">
        <x:v>01012015_31122015.csv</x:v>
      </x:c>
    </x:row>
    <x:row r="81" ht="22" customHeight="1">
      <x:c r="A81" t="str">
        <x:v>5af9e5fd3947</x:v>
      </x:c>
      <x:c r="B81" t="n">
        <x:v>2015</x:v>
      </x:c>
      <x:c r="C81" t="str">
        <x:v>Forretningsbygg</x:v>
      </x:c>
      <x:c r="D81" t="str">
        <x:v>C</x:v>
      </x:c>
      <x:c r="E81" t="n">
        <x:v>2000</x:v>
      </x:c>
      <x:c r="F81" t="n">
        <x:v>207.1</x:v>
      </x:c>
      <x:c r="G81" t="str">
        <x:v>Simple</x:v>
      </x:c>
      <x:c r="H81" t="str"/>
      <x:c r="I81" t="str">
        <x:v>Årlig beregnet, ikke målt</x:v>
      </x:c>
      <x:c r="J81" t="str">
        <x:v>01012015_31122015.csv</x:v>
      </x:c>
    </x:row>
    <x:row r="82" ht="22" customHeight="1">
      <x:c r="A82" t="str">
        <x:v>7ea048d0cff0</x:v>
      </x:c>
      <x:c r="B82" t="n">
        <x:v>2015</x:v>
      </x:c>
      <x:c r="C82" t="str">
        <x:v>Forretningsbygg</x:v>
      </x:c>
      <x:c r="D82" t="str">
        <x:v>C</x:v>
      </x:c>
      <x:c r="E82" t="n">
        <x:v>1984</x:v>
      </x:c>
      <x:c r="F82" t="n">
        <x:v>207</x:v>
      </x:c>
      <x:c r="G82" t="str">
        <x:v>Simple</x:v>
      </x:c>
      <x:c r="H82" t="str"/>
      <x:c r="I82" t="str">
        <x:v>Årlig beregnet, ikke målt</x:v>
      </x:c>
      <x:c r="J82" t="str">
        <x:v>01012015_31122015.csv</x:v>
      </x:c>
    </x:row>
    <x:row r="83" ht="22" customHeight="1">
      <x:c r="A83" t="str">
        <x:v>f7032fcf001b</x:v>
      </x:c>
      <x:c r="B83" t="n">
        <x:v>2015</x:v>
      </x:c>
      <x:c r="C83" t="str">
        <x:v>Forretningsbygg</x:v>
      </x:c>
      <x:c r="D83" t="str">
        <x:v>C</x:v>
      </x:c>
      <x:c r="E83" t="n">
        <x:v>2008</x:v>
      </x:c>
      <x:c r="F83" t="n">
        <x:v>168.8</x:v>
      </x:c>
      <x:c r="G83" t="str">
        <x:v>Simple</x:v>
      </x:c>
      <x:c r="H83" t="str"/>
      <x:c r="I83" t="str">
        <x:v>Årlig beregnet, ikke målt</x:v>
      </x:c>
      <x:c r="J83" t="str">
        <x:v>01012015_31122015.csv</x:v>
      </x:c>
    </x:row>
    <x:row r="84" ht="22" customHeight="1">
      <x:c r="A84" t="str">
        <x:v>f261cc2c76e0</x:v>
      </x:c>
      <x:c r="B84" t="n">
        <x:v>2015</x:v>
      </x:c>
      <x:c r="C84" t="str">
        <x:v>Forretningsbygg</x:v>
      </x:c>
      <x:c r="D84" t="str">
        <x:v>C</x:v>
      </x:c>
      <x:c r="E84" t="n">
        <x:v>2011</x:v>
      </x:c>
      <x:c r="F84" t="n">
        <x:v>188.9</x:v>
      </x:c>
      <x:c r="G84" t="str">
        <x:v>Simple</x:v>
      </x:c>
      <x:c r="H84" t="str"/>
      <x:c r="I84" t="str">
        <x:v>Årlig beregnet, ikke målt</x:v>
      </x:c>
      <x:c r="J84" t="str">
        <x:v>01012015_31122015.csv</x:v>
      </x:c>
    </x:row>
    <x:row r="85" ht="22" customHeight="1">
      <x:c r="A85" t="str">
        <x:v>d85406f831cd</x:v>
      </x:c>
      <x:c r="B85" t="n">
        <x:v>2015</x:v>
      </x:c>
      <x:c r="C85" t="str">
        <x:v>Forretningsbygg</x:v>
      </x:c>
      <x:c r="D85" t="str">
        <x:v>C</x:v>
      </x:c>
      <x:c r="E85" t="n">
        <x:v>1985</x:v>
      </x:c>
      <x:c r="F85" t="n">
        <x:v>164.2</x:v>
      </x:c>
      <x:c r="G85" t="str">
        <x:v>Simple</x:v>
      </x:c>
      <x:c r="H85" t="str"/>
      <x:c r="I85" t="str">
        <x:v>Årlig beregnet, ikke målt</x:v>
      </x:c>
      <x:c r="J85" t="str">
        <x:v>01012015_31122015.csv</x:v>
      </x:c>
    </x:row>
    <x:row r="86" ht="22" customHeight="1">
      <x:c r="A86" t="str">
        <x:v>c973e9fd61e5</x:v>
      </x:c>
      <x:c r="B86" t="n">
        <x:v>2015</x:v>
      </x:c>
      <x:c r="C86" t="str">
        <x:v>Forretningsbygg</x:v>
      </x:c>
      <x:c r="D86" t="str">
        <x:v>D</x:v>
      </x:c>
      <x:c r="E86" t="n">
        <x:v>2000</x:v>
      </x:c>
      <x:c r="F86" t="n">
        <x:v>234.7</x:v>
      </x:c>
      <x:c r="G86" t="str">
        <x:v>Simple</x:v>
      </x:c>
      <x:c r="H86" t="str"/>
      <x:c r="I86" t="str">
        <x:v>Årlig beregnet, ikke målt</x:v>
      </x:c>
      <x:c r="J86" t="str">
        <x:v>01012015_31122015.csv</x:v>
      </x:c>
    </x:row>
    <x:row r="87" ht="22" customHeight="1">
      <x:c r="A87" t="str">
        <x:v>2c8aaf937195</x:v>
      </x:c>
      <x:c r="B87" t="n">
        <x:v>2015</x:v>
      </x:c>
      <x:c r="C87" t="str">
        <x:v>Forretningsbygg</x:v>
      </x:c>
      <x:c r="D87" t="str">
        <x:v>D</x:v>
      </x:c>
      <x:c r="E87" t="n">
        <x:v>2001</x:v>
      </x:c>
      <x:c r="F87" t="n">
        <x:v>212.6</x:v>
      </x:c>
      <x:c r="G87" t="str">
        <x:v>Advanced</x:v>
      </x:c>
      <x:c r="H87" t="str"/>
      <x:c r="I87" t="str">
        <x:v>Årlig beregnet, ikke målt</x:v>
      </x:c>
      <x:c r="J87" t="str">
        <x:v>01012015_31122015.csv</x:v>
      </x:c>
    </x:row>
    <x:row r="88" ht="22" customHeight="1">
      <x:c r="A88" t="str">
        <x:v>21b8e257d883</x:v>
      </x:c>
      <x:c r="B88" t="n">
        <x:v>2015</x:v>
      </x:c>
      <x:c r="C88" t="str">
        <x:v>Forretningsbygg</x:v>
      </x:c>
      <x:c r="D88" t="str">
        <x:v>D</x:v>
      </x:c>
      <x:c r="E88" t="n">
        <x:v>1975</x:v>
      </x:c>
      <x:c r="F88" t="n">
        <x:v>238.3</x:v>
      </x:c>
      <x:c r="G88" t="str">
        <x:v>Simple</x:v>
      </x:c>
      <x:c r="H88" t="str"/>
      <x:c r="I88" t="str">
        <x:v>Årlig beregnet, ikke målt</x:v>
      </x:c>
      <x:c r="J88" t="str">
        <x:v>01012015_31122015.csv</x:v>
      </x:c>
    </x:row>
    <x:row r="89" ht="22" customHeight="1">
      <x:c r="A89" t="str">
        <x:v>2b90d6bf5c8c</x:v>
      </x:c>
      <x:c r="B89" t="n">
        <x:v>2015</x:v>
      </x:c>
      <x:c r="C89" t="str">
        <x:v>Forretningsbygg</x:v>
      </x:c>
      <x:c r="D89" t="str">
        <x:v>D</x:v>
      </x:c>
      <x:c r="E89" t="n">
        <x:v>1986</x:v>
      </x:c>
      <x:c r="F89" t="n">
        <x:v>226.1</x:v>
      </x:c>
      <x:c r="G89" t="str">
        <x:v>Simple</x:v>
      </x:c>
      <x:c r="H89" t="str"/>
      <x:c r="I89" t="str">
        <x:v>Årlig beregnet, ikke målt</x:v>
      </x:c>
      <x:c r="J89" t="str">
        <x:v>01012015_31122015.csv</x:v>
      </x:c>
    </x:row>
    <x:row r="90" ht="22" customHeight="1">
      <x:c r="A90" t="str">
        <x:v>c32df274e863</x:v>
      </x:c>
      <x:c r="B90" t="n">
        <x:v>2015</x:v>
      </x:c>
      <x:c r="C90" t="str">
        <x:v>Forretningsbygg</x:v>
      </x:c>
      <x:c r="D90" t="str">
        <x:v>D</x:v>
      </x:c>
      <x:c r="E90" t="n">
        <x:v>1946</x:v>
      </x:c>
      <x:c r="F90" t="n">
        <x:v>237.5</x:v>
      </x:c>
      <x:c r="G90" t="str">
        <x:v>Simple</x:v>
      </x:c>
      <x:c r="H90" t="str"/>
      <x:c r="I90" t="str">
        <x:v>Årlig beregnet, ikke målt</x:v>
      </x:c>
      <x:c r="J90" t="str">
        <x:v>01012015_31122015.csv</x:v>
      </x:c>
    </x:row>
    <x:row r="91" ht="22" customHeight="1">
      <x:c r="A91" t="str">
        <x:v>71e9a49351a7</x:v>
      </x:c>
      <x:c r="B91" t="n">
        <x:v>2015</x:v>
      </x:c>
      <x:c r="C91" t="str">
        <x:v>Forretningsbygg</x:v>
      </x:c>
      <x:c r="D91" t="str">
        <x:v>E</x:v>
      </x:c>
      <x:c r="E91" t="n">
        <x:v>1971</x:v>
      </x:c>
      <x:c r="F91" t="n">
        <x:v>259.9</x:v>
      </x:c>
      <x:c r="G91" t="str">
        <x:v>Simple</x:v>
      </x:c>
      <x:c r="H91" t="str"/>
      <x:c r="I91" t="str">
        <x:v>Årlig beregnet, ikke målt</x:v>
      </x:c>
      <x:c r="J91" t="str">
        <x:v>01012015_31122015.csv</x:v>
      </x:c>
    </x:row>
    <x:row r="92" ht="22" customHeight="1">
      <x:c r="A92" t="str">
        <x:v>d8fcaa7f3812</x:v>
      </x:c>
      <x:c r="B92" t="n">
        <x:v>2015</x:v>
      </x:c>
      <x:c r="C92" t="str">
        <x:v>Forretningsbygg</x:v>
      </x:c>
      <x:c r="D92" t="str">
        <x:v>E</x:v>
      </x:c>
      <x:c r="E92" t="n">
        <x:v>1997</x:v>
      </x:c>
      <x:c r="F92" t="n">
        <x:v>297.7</x:v>
      </x:c>
      <x:c r="G92" t="str">
        <x:v>Simple</x:v>
      </x:c>
      <x:c r="H92" t="str"/>
      <x:c r="I92" t="str">
        <x:v>Årlig beregnet, ikke målt</x:v>
      </x:c>
      <x:c r="J92" t="str">
        <x:v>01012015_31122015.csv</x:v>
      </x:c>
    </x:row>
    <x:row r="93" ht="22" customHeight="1">
      <x:c r="A93" t="str">
        <x:v>e6d28eb3d43d</x:v>
      </x:c>
      <x:c r="B93" t="n">
        <x:v>2015</x:v>
      </x:c>
      <x:c r="C93" t="str">
        <x:v>Forretningsbygg</x:v>
      </x:c>
      <x:c r="D93" t="str">
        <x:v>E</x:v>
      </x:c>
      <x:c r="E93" t="n">
        <x:v>1955</x:v>
      </x:c>
      <x:c r="F93" t="n">
        <x:v>267.1</x:v>
      </x:c>
      <x:c r="G93" t="str">
        <x:v>Simple</x:v>
      </x:c>
      <x:c r="H93" t="str"/>
      <x:c r="I93" t="str">
        <x:v>Årlig beregnet, ikke målt</x:v>
      </x:c>
      <x:c r="J93" t="str">
        <x:v>01012015_31122015.csv</x:v>
      </x:c>
    </x:row>
    <x:row r="94" ht="22" customHeight="1">
      <x:c r="A94" t="str">
        <x:v>77a827b413c4</x:v>
      </x:c>
      <x:c r="B94" t="n">
        <x:v>2015</x:v>
      </x:c>
      <x:c r="C94" t="str">
        <x:v>Forretningsbygg</x:v>
      </x:c>
      <x:c r="D94" t="str">
        <x:v>E</x:v>
      </x:c>
      <x:c r="E94" t="n">
        <x:v>1976</x:v>
      </x:c>
      <x:c r="F94" t="n">
        <x:v>271.9</x:v>
      </x:c>
      <x:c r="G94" t="str">
        <x:v>Simple</x:v>
      </x:c>
      <x:c r="H94" t="str"/>
      <x:c r="I94" t="str">
        <x:v>Årlig beregnet, ikke målt</x:v>
      </x:c>
      <x:c r="J94" t="str">
        <x:v>01012015_31122015.csv</x:v>
      </x:c>
    </x:row>
    <x:row r="95" ht="22" customHeight="1">
      <x:c r="A95" t="str">
        <x:v>f539106c4497</x:v>
      </x:c>
      <x:c r="B95" t="n">
        <x:v>2015</x:v>
      </x:c>
      <x:c r="C95" t="str">
        <x:v>Forretningsbygg</x:v>
      </x:c>
      <x:c r="D95" t="str">
        <x:v>E</x:v>
      </x:c>
      <x:c r="E95" t="n">
        <x:v>1996</x:v>
      </x:c>
      <x:c r="F95" t="n">
        <x:v>279.4</x:v>
      </x:c>
      <x:c r="G95" t="str">
        <x:v>Simple</x:v>
      </x:c>
      <x:c r="H95" t="str"/>
      <x:c r="I95" t="str">
        <x:v>Årlig beregnet, ikke målt</x:v>
      </x:c>
      <x:c r="J95" t="str">
        <x:v>01012015_31122015.csv</x:v>
      </x:c>
    </x:row>
    <x:row r="96" ht="22" customHeight="1">
      <x:c r="A96" t="str">
        <x:v>00b672dd1ab7</x:v>
      </x:c>
      <x:c r="B96" t="n">
        <x:v>2015</x:v>
      </x:c>
      <x:c r="C96" t="str">
        <x:v>Forretningsbygg</x:v>
      </x:c>
      <x:c r="D96" t="str">
        <x:v>F</x:v>
      </x:c>
      <x:c r="E96" t="n">
        <x:v>1970</x:v>
      </x:c>
      <x:c r="F96" t="n">
        <x:v>342.7</x:v>
      </x:c>
      <x:c r="G96" t="str">
        <x:v>Advanced</x:v>
      </x:c>
      <x:c r="H96" t="str"/>
      <x:c r="I96" t="str">
        <x:v>Årlig beregnet, ikke målt</x:v>
      </x:c>
      <x:c r="J96" t="str">
        <x:v>01012015_31122015.csv</x:v>
      </x:c>
    </x:row>
    <x:row r="97" ht="22" customHeight="1">
      <x:c r="A97" t="str">
        <x:v>28b1ebeca8c1</x:v>
      </x:c>
      <x:c r="B97" t="n">
        <x:v>2015</x:v>
      </x:c>
      <x:c r="C97" t="str">
        <x:v>Forretningsbygg</x:v>
      </x:c>
      <x:c r="D97" t="str">
        <x:v>F</x:v>
      </x:c>
      <x:c r="E97" t="n">
        <x:v>1980</x:v>
      </x:c>
      <x:c r="F97" t="n">
        <x:v>305.4</x:v>
      </x:c>
      <x:c r="G97" t="str">
        <x:v>Simple</x:v>
      </x:c>
      <x:c r="H97" t="str"/>
      <x:c r="I97" t="str">
        <x:v>Årlig beregnet, ikke målt</x:v>
      </x:c>
      <x:c r="J97" t="str">
        <x:v>01012015_31122015.csv</x:v>
      </x:c>
    </x:row>
    <x:row r="98" ht="22" customHeight="1">
      <x:c r="A98" t="str">
        <x:v>a239f900543d</x:v>
      </x:c>
      <x:c r="B98" t="n">
        <x:v>2015</x:v>
      </x:c>
      <x:c r="C98" t="str">
        <x:v>Forretningsbygg</x:v>
      </x:c>
      <x:c r="D98" t="str">
        <x:v>F</x:v>
      </x:c>
      <x:c r="E98" t="n">
        <x:v>1980</x:v>
      </x:c>
      <x:c r="F98" t="n">
        <x:v>305.4</x:v>
      </x:c>
      <x:c r="G98" t="str">
        <x:v>Simple</x:v>
      </x:c>
      <x:c r="H98" t="str"/>
      <x:c r="I98" t="str">
        <x:v>Årlig beregnet, ikke målt</x:v>
      </x:c>
      <x:c r="J98" t="str">
        <x:v>01012015_31122015.csv</x:v>
      </x:c>
    </x:row>
    <x:row r="99" ht="22" customHeight="1">
      <x:c r="A99" t="str">
        <x:v>9328c16db231</x:v>
      </x:c>
      <x:c r="B99" t="n">
        <x:v>2015</x:v>
      </x:c>
      <x:c r="C99" t="str">
        <x:v>Forretningsbygg</x:v>
      </x:c>
      <x:c r="D99" t="str">
        <x:v>F</x:v>
      </x:c>
      <x:c r="E99" t="n">
        <x:v>1970</x:v>
      </x:c>
      <x:c r="F99" t="n">
        <x:v>372.4</x:v>
      </x:c>
      <x:c r="G99" t="str">
        <x:v>Simple</x:v>
      </x:c>
      <x:c r="H99" t="str"/>
      <x:c r="I99" t="str">
        <x:v>Årlig beregnet, ikke målt</x:v>
      </x:c>
      <x:c r="J99" t="str">
        <x:v>01012015_31122015.csv</x:v>
      </x:c>
    </x:row>
    <x:row r="100" ht="22" customHeight="1">
      <x:c r="A100" t="str">
        <x:v>1ed077747a69</x:v>
      </x:c>
      <x:c r="B100" t="n">
        <x:v>2015</x:v>
      </x:c>
      <x:c r="C100" t="str">
        <x:v>Forretningsbygg</x:v>
      </x:c>
      <x:c r="D100" t="str">
        <x:v>F</x:v>
      </x:c>
      <x:c r="E100" t="n">
        <x:v>1998</x:v>
      </x:c>
      <x:c r="F100" t="n">
        <x:v>347</x:v>
      </x:c>
      <x:c r="G100" t="str">
        <x:v>Simple</x:v>
      </x:c>
      <x:c r="H100" t="str"/>
      <x:c r="I100" t="str">
        <x:v>Årlig beregnet, ikke målt</x:v>
      </x:c>
      <x:c r="J100" t="str">
        <x:v>01012015_31122015.csv</x:v>
      </x:c>
    </x:row>
    <x:row r="101" ht="22" customHeight="1">
      <x:c r="A101" t="str">
        <x:v>7ebc06408b5c</x:v>
      </x:c>
      <x:c r="B101" t="n">
        <x:v>2015</x:v>
      </x:c>
      <x:c r="C101" t="str">
        <x:v>Forretningsbygg</x:v>
      </x:c>
      <x:c r="D101" t="str">
        <x:v>G</x:v>
      </x:c>
      <x:c r="E101" t="n">
        <x:v>1971</x:v>
      </x:c>
      <x:c r="F101" t="n">
        <x:v>473.5</x:v>
      </x:c>
      <x:c r="G101" t="str">
        <x:v>Simple</x:v>
      </x:c>
      <x:c r="H101" t="str"/>
      <x:c r="I101" t="str">
        <x:v>Årlig beregnet, ikke målt</x:v>
      </x:c>
      <x:c r="J101" t="str">
        <x:v>01012015_31122015.csv</x:v>
      </x:c>
    </x:row>
    <x:row r="102" ht="22" customHeight="1">
      <x:c r="A102" t="str">
        <x:v>ff7686ba172f</x:v>
      </x:c>
      <x:c r="B102" t="n">
        <x:v>2015</x:v>
      </x:c>
      <x:c r="C102" t="str">
        <x:v>Forretningsbygg</x:v>
      </x:c>
      <x:c r="D102" t="str">
        <x:v>G</x:v>
      </x:c>
      <x:c r="E102" t="n">
        <x:v>1967</x:v>
      </x:c>
      <x:c r="F102" t="n">
        <x:v>446.8</x:v>
      </x:c>
      <x:c r="G102" t="str">
        <x:v>Simple</x:v>
      </x:c>
      <x:c r="H102" t="str"/>
      <x:c r="I102" t="str">
        <x:v>Årlig beregnet, ikke målt</x:v>
      </x:c>
      <x:c r="J102" t="str">
        <x:v>01012015_31122015.csv</x:v>
      </x:c>
    </x:row>
    <x:row r="103" ht="22" customHeight="1">
      <x:c r="A103" t="str">
        <x:v>9bdc78f231a5</x:v>
      </x:c>
      <x:c r="B103" t="n">
        <x:v>2015</x:v>
      </x:c>
      <x:c r="C103" t="str">
        <x:v>Forretningsbygg</x:v>
      </x:c>
      <x:c r="D103" t="str">
        <x:v>G</x:v>
      </x:c>
      <x:c r="E103" t="n">
        <x:v>1975</x:v>
      </x:c>
      <x:c r="F103" t="n">
        <x:v>590.5</x:v>
      </x:c>
      <x:c r="G103" t="str">
        <x:v>Simple</x:v>
      </x:c>
      <x:c r="H103" t="str"/>
      <x:c r="I103" t="str">
        <x:v>Årlig beregnet, ikke målt</x:v>
      </x:c>
      <x:c r="J103" t="str">
        <x:v>01012015_31122015.csv</x:v>
      </x:c>
    </x:row>
    <x:row r="104" ht="22" customHeight="1">
      <x:c r="A104" t="str">
        <x:v>75b1b3b29a3b</x:v>
      </x:c>
      <x:c r="B104" t="n">
        <x:v>2015</x:v>
      </x:c>
      <x:c r="C104" t="str">
        <x:v>Forretningsbygg</x:v>
      </x:c>
      <x:c r="D104" t="str">
        <x:v>G</x:v>
      </x:c>
      <x:c r="E104" t="n">
        <x:v>1900</x:v>
      </x:c>
      <x:c r="F104" t="n">
        <x:v>411</x:v>
      </x:c>
      <x:c r="G104" t="str">
        <x:v>Simple</x:v>
      </x:c>
      <x:c r="H104" t="str"/>
      <x:c r="I104" t="str">
        <x:v>Årlig beregnet, ikke målt</x:v>
      </x:c>
      <x:c r="J104" t="str">
        <x:v>01012015_31122015.csv</x:v>
      </x:c>
    </x:row>
    <x:row r="105" ht="22" customHeight="1">
      <x:c r="A105" t="str">
        <x:v>1b17f07a55ef</x:v>
      </x:c>
      <x:c r="B105" t="n">
        <x:v>2015</x:v>
      </x:c>
      <x:c r="C105" t="str">
        <x:v>Forretningsbygg</x:v>
      </x:c>
      <x:c r="D105" t="str">
        <x:v>G</x:v>
      </x:c>
      <x:c r="E105" t="n">
        <x:v>1969</x:v>
      </x:c>
      <x:c r="F105" t="n">
        <x:v>448.6</x:v>
      </x:c>
      <x:c r="G105" t="str">
        <x:v>Simple</x:v>
      </x:c>
      <x:c r="H105" t="str"/>
      <x:c r="I105" t="str">
        <x:v>Årlig beregnet, ikke målt</x:v>
      </x:c>
      <x:c r="J105" t="str">
        <x:v>01012015_31122015.csv</x:v>
      </x:c>
    </x:row>
    <x:row r="106" ht="22" customHeight="1">
      <x:c r="A106" t="str">
        <x:v>7f592e4486af</x:v>
      </x:c>
      <x:c r="B106" t="n">
        <x:v>2015</x:v>
      </x:c>
      <x:c r="C106" t="str">
        <x:v>Hoteller</x:v>
      </x:c>
      <x:c r="D106" t="str">
        <x:v>A</x:v>
      </x:c>
      <x:c r="E106" t="n">
        <x:v>2015</x:v>
      </x:c>
      <x:c r="F106" t="n">
        <x:v>120.2</x:v>
      </x:c>
      <x:c r="G106" t="str">
        <x:v>Simple</x:v>
      </x:c>
      <x:c r="H106" t="str"/>
      <x:c r="I106" t="str">
        <x:v>Årlig beregnet, ikke målt</x:v>
      </x:c>
      <x:c r="J106" t="str">
        <x:v>01012015_31122015.csv</x:v>
      </x:c>
    </x:row>
    <x:row r="107" ht="22" customHeight="1">
      <x:c r="A107" t="str">
        <x:v>1c52fcc8aa52</x:v>
      </x:c>
      <x:c r="B107" t="n">
        <x:v>2015</x:v>
      </x:c>
      <x:c r="C107" t="str">
        <x:v>Hoteller</x:v>
      </x:c>
      <x:c r="D107" t="str">
        <x:v>A</x:v>
      </x:c>
      <x:c r="E107" t="n">
        <x:v>2015</x:v>
      </x:c>
      <x:c r="F107" t="n">
        <x:v>118</x:v>
      </x:c>
      <x:c r="G107" t="str">
        <x:v>Simple</x:v>
      </x:c>
      <x:c r="H107" t="str"/>
      <x:c r="I107" t="str">
        <x:v>Årlig beregnet, ikke målt</x:v>
      </x:c>
      <x:c r="J107" t="str">
        <x:v>01012015_31122015.csv</x:v>
      </x:c>
    </x:row>
    <x:row r="108" ht="22" customHeight="1">
      <x:c r="A108" t="str">
        <x:v>732ff4028656</x:v>
      </x:c>
      <x:c r="B108" t="n">
        <x:v>2015</x:v>
      </x:c>
      <x:c r="C108" t="str">
        <x:v>Hoteller</x:v>
      </x:c>
      <x:c r="D108" t="str">
        <x:v>A</x:v>
      </x:c>
      <x:c r="E108" t="n">
        <x:v>2014</x:v>
      </x:c>
      <x:c r="F108" t="n">
        <x:v>115.9</x:v>
      </x:c>
      <x:c r="G108" t="str">
        <x:v>Advanced</x:v>
      </x:c>
      <x:c r="H108" t="str"/>
      <x:c r="I108" t="str">
        <x:v>Årlig beregnet, ikke målt</x:v>
      </x:c>
      <x:c r="J108" t="str">
        <x:v>01012015_31122015.csv</x:v>
      </x:c>
    </x:row>
    <x:row r="109" ht="22" customHeight="1">
      <x:c r="A109" t="str">
        <x:v>2b552be32fb2</x:v>
      </x:c>
      <x:c r="B109" t="n">
        <x:v>2015</x:v>
      </x:c>
      <x:c r="C109" t="str">
        <x:v>Hoteller</x:v>
      </x:c>
      <x:c r="D109" t="str">
        <x:v>A</x:v>
      </x:c>
      <x:c r="E109" t="n">
        <x:v>2008</x:v>
      </x:c>
      <x:c r="F109" t="n">
        <x:v>118.9</x:v>
      </x:c>
      <x:c r="G109" t="str">
        <x:v>Simple</x:v>
      </x:c>
      <x:c r="H109" t="str"/>
      <x:c r="I109" t="str">
        <x:v>Årlig beregnet, ikke målt</x:v>
      </x:c>
      <x:c r="J109" t="str">
        <x:v>01012015_31122015.csv</x:v>
      </x:c>
    </x:row>
    <x:row r="110" ht="22" customHeight="1">
      <x:c r="A110" t="str">
        <x:v>61006d851c3f</x:v>
      </x:c>
      <x:c r="B110" t="n">
        <x:v>2015</x:v>
      </x:c>
      <x:c r="C110" t="str">
        <x:v>Hoteller</x:v>
      </x:c>
      <x:c r="D110" t="str">
        <x:v>B</x:v>
      </x:c>
      <x:c r="E110" t="n">
        <x:v>2011</x:v>
      </x:c>
      <x:c r="F110" t="n">
        <x:v>140.9</x:v>
      </x:c>
      <x:c r="G110" t="str">
        <x:v>Advanced</x:v>
      </x:c>
      <x:c r="H110" t="str"/>
      <x:c r="I110" t="str">
        <x:v>Årlig beregnet, ikke målt</x:v>
      </x:c>
      <x:c r="J110" t="str">
        <x:v>01012015_31122015.csv</x:v>
      </x:c>
    </x:row>
    <x:row r="111" ht="22" customHeight="1">
      <x:c r="A111" t="str">
        <x:v>53f2ef5e326e</x:v>
      </x:c>
      <x:c r="B111" t="n">
        <x:v>2015</x:v>
      </x:c>
      <x:c r="C111" t="str">
        <x:v>Hoteller</x:v>
      </x:c>
      <x:c r="D111" t="str">
        <x:v>B</x:v>
      </x:c>
      <x:c r="E111" t="n">
        <x:v>2000</x:v>
      </x:c>
      <x:c r="F111" t="n">
        <x:v>177.6</x:v>
      </x:c>
      <x:c r="G111" t="str">
        <x:v>Simple</x:v>
      </x:c>
      <x:c r="H111" t="str"/>
      <x:c r="I111" t="str">
        <x:v>Årlig beregnet, ikke målt</x:v>
      </x:c>
      <x:c r="J111" t="str">
        <x:v>01012015_31122015.csv</x:v>
      </x:c>
    </x:row>
    <x:row r="112" ht="22" customHeight="1">
      <x:c r="A112" t="str">
        <x:v>9ad5924a5fb1</x:v>
      </x:c>
      <x:c r="B112" t="n">
        <x:v>2015</x:v>
      </x:c>
      <x:c r="C112" t="str">
        <x:v>Hoteller</x:v>
      </x:c>
      <x:c r="D112" t="str">
        <x:v>B</x:v>
      </x:c>
      <x:c r="E112" t="n">
        <x:v>2014</x:v>
      </x:c>
      <x:c r="F112" t="n">
        <x:v>129</x:v>
      </x:c>
      <x:c r="G112" t="str">
        <x:v>Simple</x:v>
      </x:c>
      <x:c r="H112" t="str"/>
      <x:c r="I112" t="str">
        <x:v>Årlig beregnet, ikke målt</x:v>
      </x:c>
      <x:c r="J112" t="str">
        <x:v>01012015_31122015.csv</x:v>
      </x:c>
    </x:row>
    <x:row r="113" ht="22" customHeight="1">
      <x:c r="A113" t="str">
        <x:v>196558d8dd6d</x:v>
      </x:c>
      <x:c r="B113" t="n">
        <x:v>2015</x:v>
      </x:c>
      <x:c r="C113" t="str">
        <x:v>Hoteller</x:v>
      </x:c>
      <x:c r="D113" t="str">
        <x:v>C</x:v>
      </x:c>
      <x:c r="E113" t="n">
        <x:v>2009</x:v>
      </x:c>
      <x:c r="F113" t="n">
        <x:v>229.3</x:v>
      </x:c>
      <x:c r="G113" t="str">
        <x:v>Simple</x:v>
      </x:c>
      <x:c r="H113" t="str"/>
      <x:c r="I113" t="str">
        <x:v>Årlig beregnet, ikke målt</x:v>
      </x:c>
      <x:c r="J113" t="str">
        <x:v>01012015_31122015.csv</x:v>
      </x:c>
    </x:row>
    <x:row r="114" ht="22" customHeight="1">
      <x:c r="A114" t="str">
        <x:v>e3555afe84c6</x:v>
      </x:c>
      <x:c r="B114" t="n">
        <x:v>2015</x:v>
      </x:c>
      <x:c r="C114" t="str">
        <x:v>Hoteller</x:v>
      </x:c>
      <x:c r="D114" t="str">
        <x:v>C</x:v>
      </x:c>
      <x:c r="E114" t="n">
        <x:v>1966</x:v>
      </x:c>
      <x:c r="F114" t="n">
        <x:v>225</x:v>
      </x:c>
      <x:c r="G114" t="str">
        <x:v>Simple</x:v>
      </x:c>
      <x:c r="H114" t="str"/>
      <x:c r="I114" t="str">
        <x:v>Årlig beregnet, ikke målt</x:v>
      </x:c>
      <x:c r="J114" t="str">
        <x:v>01012015_31122015.csv</x:v>
      </x:c>
    </x:row>
    <x:row r="115" ht="22" customHeight="1">
      <x:c r="A115" t="str">
        <x:v>0963e067089c</x:v>
      </x:c>
      <x:c r="B115" t="n">
        <x:v>2015</x:v>
      </x:c>
      <x:c r="C115" t="str">
        <x:v>Hoteller</x:v>
      </x:c>
      <x:c r="D115" t="str">
        <x:v>C</x:v>
      </x:c>
      <x:c r="E115" t="n">
        <x:v>1988</x:v>
      </x:c>
      <x:c r="F115" t="n">
        <x:v>211.3</x:v>
      </x:c>
      <x:c r="G115" t="str">
        <x:v>Simple</x:v>
      </x:c>
      <x:c r="H115" t="str"/>
      <x:c r="I115" t="str">
        <x:v>Årlig beregnet, ikke målt</x:v>
      </x:c>
      <x:c r="J115" t="str">
        <x:v>01012015_31122015.csv</x:v>
      </x:c>
    </x:row>
    <x:row r="116" ht="22" customHeight="1">
      <x:c r="A116" t="str">
        <x:v>3ad62496d8ef</x:v>
      </x:c>
      <x:c r="B116" t="n">
        <x:v>2015</x:v>
      </x:c>
      <x:c r="C116" t="str">
        <x:v>Hoteller</x:v>
      </x:c>
      <x:c r="D116" t="str">
        <x:v>C</x:v>
      </x:c>
      <x:c r="E116" t="n">
        <x:v>2012</x:v>
      </x:c>
      <x:c r="F116" t="n">
        <x:v>213.1</x:v>
      </x:c>
      <x:c r="G116" t="str">
        <x:v>Advanced</x:v>
      </x:c>
      <x:c r="H116" t="str"/>
      <x:c r="I116" t="str">
        <x:v>Årlig beregnet, ikke målt</x:v>
      </x:c>
      <x:c r="J116" t="str">
        <x:v>01012015_31122015.csv</x:v>
      </x:c>
    </x:row>
    <x:row r="117" ht="22" customHeight="1">
      <x:c r="A117" t="str">
        <x:v>654d6702f87c</x:v>
      </x:c>
      <x:c r="B117" t="n">
        <x:v>2015</x:v>
      </x:c>
      <x:c r="C117" t="str">
        <x:v>Hoteller</x:v>
      </x:c>
      <x:c r="D117" t="str">
        <x:v>D</x:v>
      </x:c>
      <x:c r="E117" t="n">
        <x:v>2000</x:v>
      </x:c>
      <x:c r="F117" t="n">
        <x:v>245.6</x:v>
      </x:c>
      <x:c r="G117" t="str">
        <x:v>Simple</x:v>
      </x:c>
      <x:c r="H117" t="str"/>
      <x:c r="I117" t="str">
        <x:v>Årlig beregnet, ikke målt</x:v>
      </x:c>
      <x:c r="J117" t="str">
        <x:v>01012015_31122015.csv</x:v>
      </x:c>
    </x:row>
    <x:row r="118" ht="22" customHeight="1">
      <x:c r="A118" t="str">
        <x:v>90879e17af8d</x:v>
      </x:c>
      <x:c r="B118" t="n">
        <x:v>2015</x:v>
      </x:c>
      <x:c r="C118" t="str">
        <x:v>Hoteller</x:v>
      </x:c>
      <x:c r="D118" t="str">
        <x:v>D</x:v>
      </x:c>
      <x:c r="E118" t="n">
        <x:v>1990</x:v>
      </x:c>
      <x:c r="F118" t="n">
        <x:v>244.7</x:v>
      </x:c>
      <x:c r="G118" t="str">
        <x:v>Simple</x:v>
      </x:c>
      <x:c r="H118" t="str"/>
      <x:c r="I118" t="str">
        <x:v>Årlig beregnet, ikke målt</x:v>
      </x:c>
      <x:c r="J118" t="str">
        <x:v>01012015_31122015.csv</x:v>
      </x:c>
    </x:row>
    <x:row r="119" ht="22" customHeight="1">
      <x:c r="A119" t="str">
        <x:v>dd0f334bb99c</x:v>
      </x:c>
      <x:c r="B119" t="n">
        <x:v>2015</x:v>
      </x:c>
      <x:c r="C119" t="str">
        <x:v>Hoteller</x:v>
      </x:c>
      <x:c r="D119" t="str">
        <x:v>D</x:v>
      </x:c>
      <x:c r="E119" t="n">
        <x:v>1919</x:v>
      </x:c>
      <x:c r="F119" t="n">
        <x:v>274.1</x:v>
      </x:c>
      <x:c r="G119" t="str">
        <x:v>Simple</x:v>
      </x:c>
      <x:c r="H119" t="str"/>
      <x:c r="I119" t="str">
        <x:v>Årlig beregnet, ikke målt</x:v>
      </x:c>
      <x:c r="J119" t="str">
        <x:v>01012015_31122015.csv</x:v>
      </x:c>
    </x:row>
    <x:row r="120" ht="22" customHeight="1">
      <x:c r="A120" t="str">
        <x:v>237355838792</x:v>
      </x:c>
      <x:c r="B120" t="n">
        <x:v>2015</x:v>
      </x:c>
      <x:c r="C120" t="str">
        <x:v>Hoteller</x:v>
      </x:c>
      <x:c r="D120" t="str">
        <x:v>D</x:v>
      </x:c>
      <x:c r="E120" t="n">
        <x:v>2009</x:v>
      </x:c>
      <x:c r="F120" t="n">
        <x:v>247.3</x:v>
      </x:c>
      <x:c r="G120" t="str">
        <x:v>Simple</x:v>
      </x:c>
      <x:c r="H120" t="str"/>
      <x:c r="I120" t="str">
        <x:v>Årlig beregnet, ikke målt</x:v>
      </x:c>
      <x:c r="J120" t="str">
        <x:v>01012015_31122015.csv</x:v>
      </x:c>
    </x:row>
    <x:row r="121" ht="22" customHeight="1">
      <x:c r="A121" t="str">
        <x:v>ff25ec97f1ca</x:v>
      </x:c>
      <x:c r="B121" t="n">
        <x:v>2015</x:v>
      </x:c>
      <x:c r="C121" t="str">
        <x:v>Hoteller</x:v>
      </x:c>
      <x:c r="D121" t="str">
        <x:v>D</x:v>
      </x:c>
      <x:c r="E121" t="n">
        <x:v>1988</x:v>
      </x:c>
      <x:c r="F121" t="n">
        <x:v>268.7</x:v>
      </x:c>
      <x:c r="G121" t="str">
        <x:v>Simple</x:v>
      </x:c>
      <x:c r="H121" t="str"/>
      <x:c r="I121" t="str">
        <x:v>Årlig beregnet, ikke målt</x:v>
      </x:c>
      <x:c r="J121" t="str">
        <x:v>01012015_31122015.csv</x:v>
      </x:c>
    </x:row>
    <x:row r="122" ht="22" customHeight="1">
      <x:c r="A122" t="str">
        <x:v>dc114cc6f7c1</x:v>
      </x:c>
      <x:c r="B122" t="n">
        <x:v>2015</x:v>
      </x:c>
      <x:c r="C122" t="str">
        <x:v>Hoteller</x:v>
      </x:c>
      <x:c r="D122" t="str">
        <x:v>E</x:v>
      </x:c>
      <x:c r="E122" t="n">
        <x:v>2007</x:v>
      </x:c>
      <x:c r="F122" t="n">
        <x:v>328.8</x:v>
      </x:c>
      <x:c r="G122" t="str">
        <x:v>Simple</x:v>
      </x:c>
      <x:c r="H122" t="str"/>
      <x:c r="I122" t="str">
        <x:v>Årlig beregnet, ikke målt</x:v>
      </x:c>
      <x:c r="J122" t="str">
        <x:v>01012015_31122015.csv</x:v>
      </x:c>
    </x:row>
    <x:row r="123" ht="22" customHeight="1">
      <x:c r="A123" t="str">
        <x:v>dc6d80e2fda1</x:v>
      </x:c>
      <x:c r="B123" t="n">
        <x:v>2015</x:v>
      </x:c>
      <x:c r="C123" t="str">
        <x:v>Hoteller</x:v>
      </x:c>
      <x:c r="D123" t="str">
        <x:v>E</x:v>
      </x:c>
      <x:c r="E123" t="n">
        <x:v>1979</x:v>
      </x:c>
      <x:c r="F123" t="n">
        <x:v>339.9</x:v>
      </x:c>
      <x:c r="G123" t="str">
        <x:v>Simple</x:v>
      </x:c>
      <x:c r="H123" t="str"/>
      <x:c r="I123" t="str">
        <x:v>Årlig beregnet, ikke målt</x:v>
      </x:c>
      <x:c r="J123" t="str">
        <x:v>01012015_31122015.csv</x:v>
      </x:c>
    </x:row>
    <x:row r="124" ht="22" customHeight="1">
      <x:c r="A124" t="str">
        <x:v>d9aa10f4e9c7</x:v>
      </x:c>
      <x:c r="B124" t="n">
        <x:v>2015</x:v>
      </x:c>
      <x:c r="C124" t="str">
        <x:v>Hoteller</x:v>
      </x:c>
      <x:c r="D124" t="str">
        <x:v>E</x:v>
      </x:c>
      <x:c r="E124" t="n">
        <x:v>1922</x:v>
      </x:c>
      <x:c r="F124" t="n">
        <x:v>313</x:v>
      </x:c>
      <x:c r="G124" t="str">
        <x:v>Simple</x:v>
      </x:c>
      <x:c r="H124" t="str"/>
      <x:c r="I124" t="str">
        <x:v>Årlig beregnet, ikke målt</x:v>
      </x:c>
      <x:c r="J124" t="str">
        <x:v>01012015_31122015.csv</x:v>
      </x:c>
    </x:row>
    <x:row r="125" ht="22" customHeight="1">
      <x:c r="A125" t="str">
        <x:v>0c7740cc5b7a</x:v>
      </x:c>
      <x:c r="B125" t="n">
        <x:v>2015</x:v>
      </x:c>
      <x:c r="C125" t="str">
        <x:v>Hoteller</x:v>
      </x:c>
      <x:c r="D125" t="str">
        <x:v>E</x:v>
      </x:c>
      <x:c r="E125" t="n">
        <x:v>1994</x:v>
      </x:c>
      <x:c r="F125" t="n">
        <x:v>300.2</x:v>
      </x:c>
      <x:c r="G125" t="str">
        <x:v>Simple</x:v>
      </x:c>
      <x:c r="H125" t="str"/>
      <x:c r="I125" t="str">
        <x:v>Årlig beregnet, ikke målt</x:v>
      </x:c>
      <x:c r="J125" t="str">
        <x:v>01012015_31122015.csv</x:v>
      </x:c>
    </x:row>
    <x:row r="126" ht="22" customHeight="1">
      <x:c r="A126" t="str">
        <x:v>8612a6f9c3a7</x:v>
      </x:c>
      <x:c r="B126" t="n">
        <x:v>2015</x:v>
      </x:c>
      <x:c r="C126" t="str">
        <x:v>Hoteller</x:v>
      </x:c>
      <x:c r="D126" t="str">
        <x:v>E</x:v>
      </x:c>
      <x:c r="E126" t="n">
        <x:v>1938</x:v>
      </x:c>
      <x:c r="F126" t="n">
        <x:v>326.4</x:v>
      </x:c>
      <x:c r="G126" t="str">
        <x:v>Simple</x:v>
      </x:c>
      <x:c r="H126" t="str"/>
      <x:c r="I126" t="str">
        <x:v>Årlig beregnet, ikke målt</x:v>
      </x:c>
      <x:c r="J126" t="str">
        <x:v>01012015_31122015.csv</x:v>
      </x:c>
    </x:row>
    <x:row r="127" ht="22" customHeight="1">
      <x:c r="A127" t="str">
        <x:v>361429d12241</x:v>
      </x:c>
      <x:c r="B127" t="n">
        <x:v>2015</x:v>
      </x:c>
      <x:c r="C127" t="str">
        <x:v>Hoteller</x:v>
      </x:c>
      <x:c r="D127" t="str">
        <x:v>F</x:v>
      </x:c>
      <x:c r="E127" t="n">
        <x:v>1965</x:v>
      </x:c>
      <x:c r="F127" t="n">
        <x:v>356.31</x:v>
      </x:c>
      <x:c r="G127" t="str">
        <x:v>Simple</x:v>
      </x:c>
      <x:c r="H127" t="str">
        <x:v>Betong</x:v>
      </x:c>
      <x:c r="I127" t="str">
        <x:v>Årlig beregnet, ikke målt</x:v>
      </x:c>
      <x:c r="J127" t="str">
        <x:v>01012015_31122015.csv</x:v>
      </x:c>
    </x:row>
    <x:row r="128" ht="22" customHeight="1">
      <x:c r="A128" t="str">
        <x:v>ee430819e12b</x:v>
      </x:c>
      <x:c r="B128" t="n">
        <x:v>2015</x:v>
      </x:c>
      <x:c r="C128" t="str">
        <x:v>Hoteller</x:v>
      </x:c>
      <x:c r="D128" t="str">
        <x:v>F</x:v>
      </x:c>
      <x:c r="E128" t="n">
        <x:v>2007</x:v>
      </x:c>
      <x:c r="F128" t="n">
        <x:v>359.72</x:v>
      </x:c>
      <x:c r="G128" t="str">
        <x:v>Simple</x:v>
      </x:c>
      <x:c r="H128" t="str">
        <x:v>Tre</x:v>
      </x:c>
      <x:c r="I128" t="str">
        <x:v>Årlig beregnet, ikke målt</x:v>
      </x:c>
      <x:c r="J128" t="str">
        <x:v>01012015_31122015.csv</x:v>
      </x:c>
    </x:row>
    <x:row r="129" ht="22" customHeight="1">
      <x:c r="A129" t="str">
        <x:v>897cd571dbea</x:v>
      </x:c>
      <x:c r="B129" t="n">
        <x:v>2015</x:v>
      </x:c>
      <x:c r="C129" t="str">
        <x:v>Hoteller</x:v>
      </x:c>
      <x:c r="D129" t="str">
        <x:v>F</x:v>
      </x:c>
      <x:c r="E129" t="n">
        <x:v>1900</x:v>
      </x:c>
      <x:c r="F129" t="n">
        <x:v>365</x:v>
      </x:c>
      <x:c r="G129" t="str">
        <x:v>Simple</x:v>
      </x:c>
      <x:c r="H129" t="str"/>
      <x:c r="I129" t="str">
        <x:v>Årlig beregnet, ikke målt</x:v>
      </x:c>
      <x:c r="J129" t="str">
        <x:v>01012015_31122015.csv</x:v>
      </x:c>
    </x:row>
    <x:row r="130" ht="22" customHeight="1">
      <x:c r="A130" t="str">
        <x:v>42ae415e27c5</x:v>
      </x:c>
      <x:c r="B130" t="n">
        <x:v>2015</x:v>
      </x:c>
      <x:c r="C130" t="str">
        <x:v>Hoteller</x:v>
      </x:c>
      <x:c r="D130" t="str">
        <x:v>F</x:v>
      </x:c>
      <x:c r="E130" t="n">
        <x:v>1961</x:v>
      </x:c>
      <x:c r="F130" t="n">
        <x:v>352.7</x:v>
      </x:c>
      <x:c r="G130" t="str">
        <x:v>Simple</x:v>
      </x:c>
      <x:c r="H130" t="str"/>
      <x:c r="I130" t="str">
        <x:v>Årlig beregnet, ikke målt</x:v>
      </x:c>
      <x:c r="J130" t="str">
        <x:v>01012015_31122015.csv</x:v>
      </x:c>
    </x:row>
    <x:row r="131" ht="22" customHeight="1">
      <x:c r="A131" t="str">
        <x:v>411b7fc7f171</x:v>
      </x:c>
      <x:c r="B131" t="n">
        <x:v>2015</x:v>
      </x:c>
      <x:c r="C131" t="str">
        <x:v>Hoteller</x:v>
      </x:c>
      <x:c r="D131" t="str">
        <x:v>F</x:v>
      </x:c>
      <x:c r="E131" t="n">
        <x:v>1952</x:v>
      </x:c>
      <x:c r="F131" t="n">
        <x:v>364.2</x:v>
      </x:c>
      <x:c r="G131" t="str">
        <x:v>Simple</x:v>
      </x:c>
      <x:c r="H131" t="str"/>
      <x:c r="I131" t="str">
        <x:v>Årlig beregnet, ikke målt</x:v>
      </x:c>
      <x:c r="J131" t="str">
        <x:v>01012015_31122015.csv</x:v>
      </x:c>
    </x:row>
    <x:row r="132" ht="22" customHeight="1">
      <x:c r="A132" t="str">
        <x:v>be2f7b963fbb</x:v>
      </x:c>
      <x:c r="B132" t="n">
        <x:v>2015</x:v>
      </x:c>
      <x:c r="C132" t="str">
        <x:v>Hoteller</x:v>
      </x:c>
      <x:c r="D132" t="str">
        <x:v>G</x:v>
      </x:c>
      <x:c r="E132" t="n">
        <x:v>1874</x:v>
      </x:c>
      <x:c r="F132" t="n">
        <x:v>426</x:v>
      </x:c>
      <x:c r="G132" t="str">
        <x:v>Simple</x:v>
      </x:c>
      <x:c r="H132" t="str"/>
      <x:c r="I132" t="str">
        <x:v>Årlig beregnet, ikke målt</x:v>
      </x:c>
      <x:c r="J132" t="str">
        <x:v>01012015_31122015.csv</x:v>
      </x:c>
    </x:row>
    <x:row r="133" ht="22" customHeight="1">
      <x:c r="A133" t="str">
        <x:v>01f261487bfc</x:v>
      </x:c>
      <x:c r="B133" t="n">
        <x:v>2015</x:v>
      </x:c>
      <x:c r="C133" t="str">
        <x:v>Hoteller</x:v>
      </x:c>
      <x:c r="D133" t="str">
        <x:v>G</x:v>
      </x:c>
      <x:c r="E133" t="n">
        <x:v>1965</x:v>
      </x:c>
      <x:c r="F133" t="n">
        <x:v>431.7</x:v>
      </x:c>
      <x:c r="G133" t="str">
        <x:v>Simple</x:v>
      </x:c>
      <x:c r="H133" t="str"/>
      <x:c r="I133" t="str">
        <x:v>Årlig beregnet, ikke målt</x:v>
      </x:c>
      <x:c r="J133" t="str">
        <x:v>01012015_31122015.csv</x:v>
      </x:c>
    </x:row>
    <x:row r="134" ht="22" customHeight="1">
      <x:c r="A134" t="str">
        <x:v>f0707107c391</x:v>
      </x:c>
      <x:c r="B134" t="n">
        <x:v>2015</x:v>
      </x:c>
      <x:c r="C134" t="str">
        <x:v>Hoteller</x:v>
      </x:c>
      <x:c r="D134" t="str">
        <x:v>G</x:v>
      </x:c>
      <x:c r="E134" t="n">
        <x:v>1984</x:v>
      </x:c>
      <x:c r="F134" t="n">
        <x:v>580.9</x:v>
      </x:c>
      <x:c r="G134" t="str">
        <x:v>Simple</x:v>
      </x:c>
      <x:c r="H134" t="str"/>
      <x:c r="I134" t="str">
        <x:v>Årlig beregnet, ikke målt</x:v>
      </x:c>
      <x:c r="J134" t="str">
        <x:v>01012015_31122015.csv</x:v>
      </x:c>
    </x:row>
    <x:row r="135" ht="22" customHeight="1">
      <x:c r="A135" t="str">
        <x:v>49480552c470</x:v>
      </x:c>
      <x:c r="B135" t="n">
        <x:v>2015</x:v>
      </x:c>
      <x:c r="C135" t="str">
        <x:v>Hoteller</x:v>
      </x:c>
      <x:c r="D135" t="str">
        <x:v>G</x:v>
      </x:c>
      <x:c r="E135" t="n">
        <x:v>1888</x:v>
      </x:c>
      <x:c r="F135" t="n">
        <x:v>456.2</x:v>
      </x:c>
      <x:c r="G135" t="str">
        <x:v>Simple</x:v>
      </x:c>
      <x:c r="H135" t="str"/>
      <x:c r="I135" t="str">
        <x:v>Årlig beregnet, ikke målt</x:v>
      </x:c>
      <x:c r="J135" t="str">
        <x:v>01012015_31122015.csv</x:v>
      </x:c>
    </x:row>
    <x:row r="136" ht="22" customHeight="1">
      <x:c r="A136" t="str">
        <x:v>32c3860f25b9</x:v>
      </x:c>
      <x:c r="B136" t="n">
        <x:v>2015</x:v>
      </x:c>
      <x:c r="C136" t="str">
        <x:v>Hoteller</x:v>
      </x:c>
      <x:c r="D136" t="str">
        <x:v>G</x:v>
      </x:c>
      <x:c r="E136" t="n">
        <x:v>1952</x:v>
      </x:c>
      <x:c r="F136" t="n">
        <x:v>511.4</x:v>
      </x:c>
      <x:c r="G136" t="str">
        <x:v>Simple</x:v>
      </x:c>
      <x:c r="H136" t="str"/>
      <x:c r="I136" t="str">
        <x:v>Årlig beregnet, ikke målt</x:v>
      </x:c>
      <x:c r="J136" t="str">
        <x:v>01012015_31122015.csv</x:v>
      </x:c>
    </x:row>
    <x:row r="137" ht="22" customHeight="1">
      <x:c r="A137" t="str">
        <x:v>5bffe4465337</x:v>
      </x:c>
      <x:c r="B137" t="n">
        <x:v>2015</x:v>
      </x:c>
      <x:c r="C137" t="str">
        <x:v>Idrettsbygg</x:v>
      </x:c>
      <x:c r="D137" t="str">
        <x:v>A</x:v>
      </x:c>
      <x:c r="E137" t="n">
        <x:v>1988</x:v>
      </x:c>
      <x:c r="F137" t="n">
        <x:v>120.4</x:v>
      </x:c>
      <x:c r="G137" t="str">
        <x:v>Simple</x:v>
      </x:c>
      <x:c r="H137" t="str"/>
      <x:c r="I137" t="str">
        <x:v>Årlig beregnet, ikke målt</x:v>
      </x:c>
      <x:c r="J137" t="str">
        <x:v>01012015_31122015.csv</x:v>
      </x:c>
    </x:row>
    <x:row r="138" ht="22" customHeight="1">
      <x:c r="A138" t="str">
        <x:v>5340339d0a8a</x:v>
      </x:c>
      <x:c r="B138" t="n">
        <x:v>2015</x:v>
      </x:c>
      <x:c r="C138" t="str">
        <x:v>Idrettsbygg</x:v>
      </x:c>
      <x:c r="D138" t="str">
        <x:v>A</x:v>
      </x:c>
      <x:c r="E138" t="n">
        <x:v>2003</x:v>
      </x:c>
      <x:c r="F138" t="n">
        <x:v>122.7</x:v>
      </x:c>
      <x:c r="G138" t="str">
        <x:v>Simple</x:v>
      </x:c>
      <x:c r="H138" t="str"/>
      <x:c r="I138" t="str">
        <x:v>Årlig beregnet, ikke målt</x:v>
      </x:c>
      <x:c r="J138" t="str">
        <x:v>01012015_31122015.csv</x:v>
      </x:c>
    </x:row>
    <x:row r="139" ht="22" customHeight="1">
      <x:c r="A139" t="str">
        <x:v>21552eafafe8</x:v>
      </x:c>
      <x:c r="B139" t="n">
        <x:v>2015</x:v>
      </x:c>
      <x:c r="C139" t="str">
        <x:v>Idrettsbygg</x:v>
      </x:c>
      <x:c r="D139" t="str">
        <x:v>A</x:v>
      </x:c>
      <x:c r="E139" t="n">
        <x:v>2015</x:v>
      </x:c>
      <x:c r="F139" t="n">
        <x:v>72.5</x:v>
      </x:c>
      <x:c r="G139" t="str">
        <x:v>Simple</x:v>
      </x:c>
      <x:c r="H139" t="str"/>
      <x:c r="I139" t="str">
        <x:v>Årlig beregnet, ikke målt</x:v>
      </x:c>
      <x:c r="J139" t="str">
        <x:v>01012015_31122015.csv</x:v>
      </x:c>
    </x:row>
    <x:row r="140" ht="22" customHeight="1">
      <x:c r="A140" t="str">
        <x:v>4cf4dbf8c1b0</x:v>
      </x:c>
      <x:c r="B140" t="n">
        <x:v>2015</x:v>
      </x:c>
      <x:c r="C140" t="str">
        <x:v>Idrettsbygg</x:v>
      </x:c>
      <x:c r="D140" t="str">
        <x:v>A</x:v>
      </x:c>
      <x:c r="E140" t="n">
        <x:v>2014</x:v>
      </x:c>
      <x:c r="F140" t="n">
        <x:v>78</x:v>
      </x:c>
      <x:c r="G140" t="str">
        <x:v>Advanced</x:v>
      </x:c>
      <x:c r="H140" t="str"/>
      <x:c r="I140" t="str">
        <x:v>Årlig beregnet, ikke målt</x:v>
      </x:c>
      <x:c r="J140" t="str">
        <x:v>01012015_31122015.csv</x:v>
      </x:c>
    </x:row>
    <x:row r="141" ht="22" customHeight="1">
      <x:c r="A141" t="str">
        <x:v>60562fe74acf</x:v>
      </x:c>
      <x:c r="B141" t="n">
        <x:v>2015</x:v>
      </x:c>
      <x:c r="C141" t="str">
        <x:v>Idrettsbygg</x:v>
      </x:c>
      <x:c r="D141" t="str">
        <x:v>A</x:v>
      </x:c>
      <x:c r="E141" t="n">
        <x:v>2014</x:v>
      </x:c>
      <x:c r="F141" t="n">
        <x:v>77.2</x:v>
      </x:c>
      <x:c r="G141" t="str">
        <x:v>Advanced</x:v>
      </x:c>
      <x:c r="H141" t="str"/>
      <x:c r="I141" t="str">
        <x:v>Årlig beregnet, ikke målt</x:v>
      </x:c>
      <x:c r="J141" t="str">
        <x:v>01012015_31122015.csv</x:v>
      </x:c>
    </x:row>
    <x:row r="142" ht="22" customHeight="1">
      <x:c r="A142" t="str">
        <x:v>d6e3b4ae97c9</x:v>
      </x:c>
      <x:c r="B142" t="n">
        <x:v>2015</x:v>
      </x:c>
      <x:c r="C142" t="str">
        <x:v>Idrettsbygg</x:v>
      </x:c>
      <x:c r="D142" t="str">
        <x:v>B</x:v>
      </x:c>
      <x:c r="E142" t="n">
        <x:v>2005</x:v>
      </x:c>
      <x:c r="F142" t="n">
        <x:v>135</x:v>
      </x:c>
      <x:c r="G142" t="str">
        <x:v>Advanced</x:v>
      </x:c>
      <x:c r="H142" t="str"/>
      <x:c r="I142" t="str">
        <x:v>Årlig beregnet, ikke målt</x:v>
      </x:c>
      <x:c r="J142" t="str">
        <x:v>01012015_31122015.csv</x:v>
      </x:c>
    </x:row>
    <x:row r="143" ht="22" customHeight="1">
      <x:c r="A143" t="str">
        <x:v>6820a07b4e6c</x:v>
      </x:c>
      <x:c r="B143" t="n">
        <x:v>2015</x:v>
      </x:c>
      <x:c r="C143" t="str">
        <x:v>Idrettsbygg</x:v>
      </x:c>
      <x:c r="D143" t="str">
        <x:v>B</x:v>
      </x:c>
      <x:c r="E143" t="n">
        <x:v>2010</x:v>
      </x:c>
      <x:c r="F143" t="n">
        <x:v>119.2</x:v>
      </x:c>
      <x:c r="G143" t="str">
        <x:v>Simple</x:v>
      </x:c>
      <x:c r="H143" t="str"/>
      <x:c r="I143" t="str">
        <x:v>Årlig beregnet, ikke målt</x:v>
      </x:c>
      <x:c r="J143" t="str">
        <x:v>01012015_31122015.csv</x:v>
      </x:c>
    </x:row>
    <x:row r="144" ht="22" customHeight="1">
      <x:c r="A144" t="str">
        <x:v>99007f75911d</x:v>
      </x:c>
      <x:c r="B144" t="n">
        <x:v>2015</x:v>
      </x:c>
      <x:c r="C144" t="str">
        <x:v>Idrettsbygg</x:v>
      </x:c>
      <x:c r="D144" t="str">
        <x:v>B</x:v>
      </x:c>
      <x:c r="E144" t="n">
        <x:v>1969</x:v>
      </x:c>
      <x:c r="F144" t="n">
        <x:v>162.3</x:v>
      </x:c>
      <x:c r="G144" t="str">
        <x:v>Simple</x:v>
      </x:c>
      <x:c r="H144" t="str"/>
      <x:c r="I144" t="str">
        <x:v>Årlig beregnet, ikke målt</x:v>
      </x:c>
      <x:c r="J144" t="str">
        <x:v>01012015_31122015.csv</x:v>
      </x:c>
    </x:row>
    <x:row r="145" ht="22" customHeight="1">
      <x:c r="A145" t="str">
        <x:v>48bbbb5838d3</x:v>
      </x:c>
      <x:c r="B145" t="n">
        <x:v>2015</x:v>
      </x:c>
      <x:c r="C145" t="str">
        <x:v>Idrettsbygg</x:v>
      </x:c>
      <x:c r="D145" t="str">
        <x:v>B</x:v>
      </x:c>
      <x:c r="E145" t="n">
        <x:v>2014</x:v>
      </x:c>
      <x:c r="F145" t="n">
        <x:v>151.4</x:v>
      </x:c>
      <x:c r="G145" t="str">
        <x:v>Simple</x:v>
      </x:c>
      <x:c r="H145" t="str"/>
      <x:c r="I145" t="str">
        <x:v>Årlig beregnet, ikke målt</x:v>
      </x:c>
      <x:c r="J145" t="str">
        <x:v>01012015_31122015.csv</x:v>
      </x:c>
    </x:row>
    <x:row r="146" ht="22" customHeight="1">
      <x:c r="A146" t="str">
        <x:v>69d2af66f3e1</x:v>
      </x:c>
      <x:c r="B146" t="n">
        <x:v>2015</x:v>
      </x:c>
      <x:c r="C146" t="str">
        <x:v>Idrettsbygg</x:v>
      </x:c>
      <x:c r="D146" t="str">
        <x:v>B</x:v>
      </x:c>
      <x:c r="E146" t="n">
        <x:v>2014</x:v>
      </x:c>
      <x:c r="F146" t="n">
        <x:v>142.6</x:v>
      </x:c>
      <x:c r="G146" t="str">
        <x:v>Advanced</x:v>
      </x:c>
      <x:c r="H146" t="str"/>
      <x:c r="I146" t="str">
        <x:v>Årlig beregnet, ikke målt</x:v>
      </x:c>
      <x:c r="J146" t="str">
        <x:v>01012015_31122015.csv</x:v>
      </x:c>
    </x:row>
    <x:row r="147" ht="22" customHeight="1">
      <x:c r="A147" t="str">
        <x:v>b83b7d1d8572</x:v>
      </x:c>
      <x:c r="B147" t="n">
        <x:v>2015</x:v>
      </x:c>
      <x:c r="C147" t="str">
        <x:v>Idrettsbygg</x:v>
      </x:c>
      <x:c r="D147" t="str">
        <x:v>C</x:v>
      </x:c>
      <x:c r="E147" t="n">
        <x:v>2014</x:v>
      </x:c>
      <x:c r="F147" t="n">
        <x:v>166</x:v>
      </x:c>
      <x:c r="G147" t="str">
        <x:v>Simple</x:v>
      </x:c>
      <x:c r="H147" t="str"/>
      <x:c r="I147" t="str">
        <x:v>Årlig beregnet, ikke målt</x:v>
      </x:c>
      <x:c r="J147" t="str">
        <x:v>01012015_31122015.csv</x:v>
      </x:c>
    </x:row>
    <x:row r="148" ht="22" customHeight="1">
      <x:c r="A148" t="str">
        <x:v>5a2eca3b82eb</x:v>
      </x:c>
      <x:c r="B148" t="n">
        <x:v>2015</x:v>
      </x:c>
      <x:c r="C148" t="str">
        <x:v>Idrettsbygg</x:v>
      </x:c>
      <x:c r="D148" t="str">
        <x:v>C</x:v>
      </x:c>
      <x:c r="E148" t="n">
        <x:v>2010</x:v>
      </x:c>
      <x:c r="F148" t="n">
        <x:v>201.5</x:v>
      </x:c>
      <x:c r="G148" t="str">
        <x:v>Simple</x:v>
      </x:c>
      <x:c r="H148" t="str"/>
      <x:c r="I148" t="str">
        <x:v>Årlig beregnet, ikke målt</x:v>
      </x:c>
      <x:c r="J148" t="str">
        <x:v>01012015_31122015.csv</x:v>
      </x:c>
    </x:row>
    <x:row r="149" ht="22" customHeight="1">
      <x:c r="A149" t="str">
        <x:v>cfe1a679e34e</x:v>
      </x:c>
      <x:c r="B149" t="n">
        <x:v>2015</x:v>
      </x:c>
      <x:c r="C149" t="str">
        <x:v>Idrettsbygg</x:v>
      </x:c>
      <x:c r="D149" t="str">
        <x:v>C</x:v>
      </x:c>
      <x:c r="E149" t="n">
        <x:v>2004</x:v>
      </x:c>
      <x:c r="F149" t="n">
        <x:v>173.7</x:v>
      </x:c>
      <x:c r="G149" t="str">
        <x:v>Simple</x:v>
      </x:c>
      <x:c r="H149" t="str"/>
      <x:c r="I149" t="str">
        <x:v>Årlig beregnet, ikke målt</x:v>
      </x:c>
      <x:c r="J149" t="str">
        <x:v>01012015_31122015.csv</x:v>
      </x:c>
    </x:row>
    <x:row r="150" ht="22" customHeight="1">
      <x:c r="A150" t="str">
        <x:v>0a7466cff870</x:v>
      </x:c>
      <x:c r="B150" t="n">
        <x:v>2015</x:v>
      </x:c>
      <x:c r="C150" t="str">
        <x:v>Idrettsbygg</x:v>
      </x:c>
      <x:c r="D150" t="str">
        <x:v>C</x:v>
      </x:c>
      <x:c r="E150" t="n">
        <x:v>2008</x:v>
      </x:c>
      <x:c r="F150" t="n">
        <x:v>166.3</x:v>
      </x:c>
      <x:c r="G150" t="str">
        <x:v>Simple</x:v>
      </x:c>
      <x:c r="H150" t="str"/>
      <x:c r="I150" t="str">
        <x:v>Årlig beregnet, ikke målt</x:v>
      </x:c>
      <x:c r="J150" t="str">
        <x:v>01012015_31122015.csv</x:v>
      </x:c>
    </x:row>
    <x:row r="151" ht="22" customHeight="1">
      <x:c r="A151" t="str">
        <x:v>50585dedafe6</x:v>
      </x:c>
      <x:c r="B151" t="n">
        <x:v>2015</x:v>
      </x:c>
      <x:c r="C151" t="str">
        <x:v>Idrettsbygg</x:v>
      </x:c>
      <x:c r="D151" t="str">
        <x:v>C</x:v>
      </x:c>
      <x:c r="E151" t="n">
        <x:v>2005</x:v>
      </x:c>
      <x:c r="F151" t="n">
        <x:v>201.2</x:v>
      </x:c>
      <x:c r="G151" t="str">
        <x:v>Simple</x:v>
      </x:c>
      <x:c r="H151" t="str"/>
      <x:c r="I151" t="str">
        <x:v>Årlig beregnet, ikke målt</x:v>
      </x:c>
      <x:c r="J151" t="str">
        <x:v>01012015_31122015.csv</x:v>
      </x:c>
    </x:row>
    <x:row r="152" ht="22" customHeight="1">
      <x:c r="A152" t="str">
        <x:v>5d5ce3566b1a</x:v>
      </x:c>
      <x:c r="B152" t="n">
        <x:v>2015</x:v>
      </x:c>
      <x:c r="C152" t="str">
        <x:v>Idrettsbygg</x:v>
      </x:c>
      <x:c r="D152" t="str">
        <x:v>D</x:v>
      </x:c>
      <x:c r="E152" t="n">
        <x:v>1993</x:v>
      </x:c>
      <x:c r="F152" t="n">
        <x:v>220</x:v>
      </x:c>
      <x:c r="G152" t="str">
        <x:v>Advanced</x:v>
      </x:c>
      <x:c r="H152" t="str"/>
      <x:c r="I152" t="str">
        <x:v>Årlig beregnet, ikke målt</x:v>
      </x:c>
      <x:c r="J152" t="str">
        <x:v>01012015_31122015.csv</x:v>
      </x:c>
    </x:row>
    <x:row r="153" ht="22" customHeight="1">
      <x:c r="A153" t="str">
        <x:v>4f087906e291</x:v>
      </x:c>
      <x:c r="B153" t="n">
        <x:v>2015</x:v>
      </x:c>
      <x:c r="C153" t="str">
        <x:v>Idrettsbygg</x:v>
      </x:c>
      <x:c r="D153" t="str">
        <x:v>D</x:v>
      </x:c>
      <x:c r="E153" t="n">
        <x:v>1966</x:v>
      </x:c>
      <x:c r="F153" t="n">
        <x:v>210.1</x:v>
      </x:c>
      <x:c r="G153" t="str">
        <x:v>Simple</x:v>
      </x:c>
      <x:c r="H153" t="str"/>
      <x:c r="I153" t="str">
        <x:v>Årlig beregnet, ikke målt</x:v>
      </x:c>
      <x:c r="J153" t="str">
        <x:v>01012015_31122015.csv</x:v>
      </x:c>
    </x:row>
    <x:row r="154" ht="22" customHeight="1">
      <x:c r="A154" t="str">
        <x:v>fab897cd3499</x:v>
      </x:c>
      <x:c r="B154" t="n">
        <x:v>2015</x:v>
      </x:c>
      <x:c r="C154" t="str">
        <x:v>Idrettsbygg</x:v>
      </x:c>
      <x:c r="D154" t="str">
        <x:v>D</x:v>
      </x:c>
      <x:c r="E154" t="n">
        <x:v>1964</x:v>
      </x:c>
      <x:c r="F154" t="n">
        <x:v>233.2</x:v>
      </x:c>
      <x:c r="G154" t="str">
        <x:v>Simple</x:v>
      </x:c>
      <x:c r="H154" t="str"/>
      <x:c r="I154" t="str">
        <x:v>Årlig beregnet, ikke målt</x:v>
      </x:c>
      <x:c r="J154" t="str">
        <x:v>01012015_31122015.csv</x:v>
      </x:c>
    </x:row>
    <x:row r="155" ht="22" customHeight="1">
      <x:c r="A155" t="str">
        <x:v>ae41af40863d</x:v>
      </x:c>
      <x:c r="B155" t="n">
        <x:v>2015</x:v>
      </x:c>
      <x:c r="C155" t="str">
        <x:v>Idrettsbygg</x:v>
      </x:c>
      <x:c r="D155" t="str">
        <x:v>D</x:v>
      </x:c>
      <x:c r="E155" t="n">
        <x:v>1987</x:v>
      </x:c>
      <x:c r="F155" t="n">
        <x:v>254.6</x:v>
      </x:c>
      <x:c r="G155" t="str">
        <x:v>Simple</x:v>
      </x:c>
      <x:c r="H155" t="str"/>
      <x:c r="I155" t="str">
        <x:v>Årlig beregnet, ikke målt</x:v>
      </x:c>
      <x:c r="J155" t="str">
        <x:v>01012015_31122015.csv</x:v>
      </x:c>
    </x:row>
    <x:row r="156" ht="22" customHeight="1">
      <x:c r="A156" t="str">
        <x:v>80f58a1d0439</x:v>
      </x:c>
      <x:c r="B156" t="n">
        <x:v>2015</x:v>
      </x:c>
      <x:c r="C156" t="str">
        <x:v>Idrettsbygg</x:v>
      </x:c>
      <x:c r="D156" t="str">
        <x:v>D</x:v>
      </x:c>
      <x:c r="E156" t="n">
        <x:v>1984</x:v>
      </x:c>
      <x:c r="F156" t="n">
        <x:v>234</x:v>
      </x:c>
      <x:c r="G156" t="str">
        <x:v>Advanced</x:v>
      </x:c>
      <x:c r="H156" t="str"/>
      <x:c r="I156" t="str">
        <x:v>Årlig beregnet, ikke målt</x:v>
      </x:c>
      <x:c r="J156" t="str">
        <x:v>01012015_31122015.csv</x:v>
      </x:c>
    </x:row>
    <x:row r="157" ht="22" customHeight="1">
      <x:c r="A157" t="str">
        <x:v>e9e8020d8785</x:v>
      </x:c>
      <x:c r="B157" t="n">
        <x:v>2015</x:v>
      </x:c>
      <x:c r="C157" t="str">
        <x:v>Idrettsbygg</x:v>
      </x:c>
      <x:c r="D157" t="str">
        <x:v>E</x:v>
      </x:c>
      <x:c r="E157" t="n">
        <x:v>1968</x:v>
      </x:c>
      <x:c r="F157" t="n">
        <x:v>320.4</x:v>
      </x:c>
      <x:c r="G157" t="str">
        <x:v>Simple</x:v>
      </x:c>
      <x:c r="H157" t="str"/>
      <x:c r="I157" t="str">
        <x:v>Årlig beregnet, ikke målt</x:v>
      </x:c>
      <x:c r="J157" t="str">
        <x:v>01012015_31122015.csv</x:v>
      </x:c>
    </x:row>
    <x:row r="158" ht="22" customHeight="1">
      <x:c r="A158" t="str">
        <x:v>39c82f08cff4</x:v>
      </x:c>
      <x:c r="B158" t="n">
        <x:v>2015</x:v>
      </x:c>
      <x:c r="C158" t="str">
        <x:v>Idrettsbygg</x:v>
      </x:c>
      <x:c r="D158" t="str">
        <x:v>E</x:v>
      </x:c>
      <x:c r="E158" t="n">
        <x:v>1965</x:v>
      </x:c>
      <x:c r="F158" t="n">
        <x:v>298</x:v>
      </x:c>
      <x:c r="G158" t="str">
        <x:v>Simple</x:v>
      </x:c>
      <x:c r="H158" t="str"/>
      <x:c r="I158" t="str">
        <x:v>Årlig beregnet, ikke målt</x:v>
      </x:c>
      <x:c r="J158" t="str">
        <x:v>01012015_31122015.csv</x:v>
      </x:c>
    </x:row>
    <x:row r="159" ht="22" customHeight="1">
      <x:c r="A159" t="str">
        <x:v>03d680d839a0</x:v>
      </x:c>
      <x:c r="B159" t="n">
        <x:v>2015</x:v>
      </x:c>
      <x:c r="C159" t="str">
        <x:v>Idrettsbygg</x:v>
      </x:c>
      <x:c r="D159" t="str">
        <x:v>E</x:v>
      </x:c>
      <x:c r="E159" t="n">
        <x:v>1972</x:v>
      </x:c>
      <x:c r="F159" t="n">
        <x:v>306</x:v>
      </x:c>
      <x:c r="G159" t="str">
        <x:v>Advanced</x:v>
      </x:c>
      <x:c r="H159" t="str"/>
      <x:c r="I159" t="str">
        <x:v>Årlig beregnet, ikke målt</x:v>
      </x:c>
      <x:c r="J159" t="str">
        <x:v>01012015_31122015.csv</x:v>
      </x:c>
    </x:row>
    <x:row r="160" ht="22" customHeight="1">
      <x:c r="A160" t="str">
        <x:v>0c1431cbaac9</x:v>
      </x:c>
      <x:c r="B160" t="n">
        <x:v>2015</x:v>
      </x:c>
      <x:c r="C160" t="str">
        <x:v>Idrettsbygg</x:v>
      </x:c>
      <x:c r="D160" t="str">
        <x:v>E</x:v>
      </x:c>
      <x:c r="E160" t="n">
        <x:v>1964</x:v>
      </x:c>
      <x:c r="F160" t="n">
        <x:v>301.5</x:v>
      </x:c>
      <x:c r="G160" t="str">
        <x:v>Simple</x:v>
      </x:c>
      <x:c r="H160" t="str"/>
      <x:c r="I160" t="str">
        <x:v>Årlig beregnet, ikke målt</x:v>
      </x:c>
      <x:c r="J160" t="str">
        <x:v>01012015_31122015.csv</x:v>
      </x:c>
    </x:row>
    <x:row r="161" ht="22" customHeight="1">
      <x:c r="A161" t="str">
        <x:v>5cdb6b4fc6b8</x:v>
      </x:c>
      <x:c r="B161" t="n">
        <x:v>2015</x:v>
      </x:c>
      <x:c r="C161" t="str">
        <x:v>Idrettsbygg</x:v>
      </x:c>
      <x:c r="D161" t="str">
        <x:v>E</x:v>
      </x:c>
      <x:c r="E161" t="n">
        <x:v>1987</x:v>
      </x:c>
      <x:c r="F161" t="n">
        <x:v>303</x:v>
      </x:c>
      <x:c r="G161" t="str">
        <x:v>Advanced</x:v>
      </x:c>
      <x:c r="H161" t="str"/>
      <x:c r="I161" t="str">
        <x:v>Årlig beregnet, ikke målt</x:v>
      </x:c>
      <x:c r="J161" t="str">
        <x:v>01012015_31122015.csv</x:v>
      </x:c>
    </x:row>
    <x:row r="162" ht="22" customHeight="1">
      <x:c r="A162" t="str">
        <x:v>284922125e7e</x:v>
      </x:c>
      <x:c r="B162" t="n">
        <x:v>2015</x:v>
      </x:c>
      <x:c r="C162" t="str">
        <x:v>Idrettsbygg</x:v>
      </x:c>
      <x:c r="D162" t="str">
        <x:v>F</x:v>
      </x:c>
      <x:c r="E162" t="n">
        <x:v>2005</x:v>
      </x:c>
      <x:c r="F162" t="n">
        <x:v>399.8</x:v>
      </x:c>
      <x:c r="G162" t="str">
        <x:v>Simple</x:v>
      </x:c>
      <x:c r="H162" t="str"/>
      <x:c r="I162" t="str">
        <x:v>Årlig beregnet, ikke målt</x:v>
      </x:c>
      <x:c r="J162" t="str">
        <x:v>01012015_31122015.csv</x:v>
      </x:c>
    </x:row>
    <x:row r="163" ht="22" customHeight="1">
      <x:c r="A163" t="str">
        <x:v>52ae3ed6937d</x:v>
      </x:c>
      <x:c r="B163" t="n">
        <x:v>2015</x:v>
      </x:c>
      <x:c r="C163" t="str">
        <x:v>Idrettsbygg</x:v>
      </x:c>
      <x:c r="D163" t="str">
        <x:v>F</x:v>
      </x:c>
      <x:c r="E163" t="n">
        <x:v>1984</x:v>
      </x:c>
      <x:c r="F163" t="n">
        <x:v>353.2</x:v>
      </x:c>
      <x:c r="G163" t="str">
        <x:v>Advanced</x:v>
      </x:c>
      <x:c r="H163" t="str"/>
      <x:c r="I163" t="str">
        <x:v>Årlig beregnet, ikke målt</x:v>
      </x:c>
      <x:c r="J163" t="str">
        <x:v>01012015_31122015.csv</x:v>
      </x:c>
    </x:row>
    <x:row r="164" ht="22" customHeight="1">
      <x:c r="A164" t="str">
        <x:v>5a78170b749c</x:v>
      </x:c>
      <x:c r="B164" t="n">
        <x:v>2015</x:v>
      </x:c>
      <x:c r="C164" t="str">
        <x:v>Idrettsbygg</x:v>
      </x:c>
      <x:c r="D164" t="str">
        <x:v>F</x:v>
      </x:c>
      <x:c r="E164" t="n">
        <x:v>1968</x:v>
      </x:c>
      <x:c r="F164" t="n">
        <x:v>353.7</x:v>
      </x:c>
      <x:c r="G164" t="str">
        <x:v>Simple</x:v>
      </x:c>
      <x:c r="H164" t="str"/>
      <x:c r="I164" t="str">
        <x:v>Årlig beregnet, ikke målt</x:v>
      </x:c>
      <x:c r="J164" t="str">
        <x:v>01012015_31122015.csv</x:v>
      </x:c>
    </x:row>
    <x:row r="165" ht="22" customHeight="1">
      <x:c r="A165" t="str">
        <x:v>5d1f15233df2</x:v>
      </x:c>
      <x:c r="B165" t="n">
        <x:v>2015</x:v>
      </x:c>
      <x:c r="C165" t="str">
        <x:v>Idrettsbygg</x:v>
      </x:c>
      <x:c r="D165" t="str">
        <x:v>F</x:v>
      </x:c>
      <x:c r="E165" t="n">
        <x:v>1972</x:v>
      </x:c>
      <x:c r="F165" t="n">
        <x:v>374.9</x:v>
      </x:c>
      <x:c r="G165" t="str">
        <x:v>Simple</x:v>
      </x:c>
      <x:c r="H165" t="str"/>
      <x:c r="I165" t="str">
        <x:v>Årlig beregnet, ikke målt</x:v>
      </x:c>
      <x:c r="J165" t="str">
        <x:v>01012015_31122015.csv</x:v>
      </x:c>
    </x:row>
    <x:row r="166" ht="22" customHeight="1">
      <x:c r="A166" t="str">
        <x:v>ad013b347699</x:v>
      </x:c>
      <x:c r="B166" t="n">
        <x:v>2015</x:v>
      </x:c>
      <x:c r="C166" t="str">
        <x:v>Idrettsbygg</x:v>
      </x:c>
      <x:c r="D166" t="str">
        <x:v>F</x:v>
      </x:c>
      <x:c r="E166" t="n">
        <x:v>1959</x:v>
      </x:c>
      <x:c r="F166" t="n">
        <x:v>355.2</x:v>
      </x:c>
      <x:c r="G166" t="str">
        <x:v>Simple</x:v>
      </x:c>
      <x:c r="H166" t="str"/>
      <x:c r="I166" t="str">
        <x:v>Årlig beregnet, ikke målt</x:v>
      </x:c>
      <x:c r="J166" t="str">
        <x:v>01012015_31122015.csv</x:v>
      </x:c>
    </x:row>
    <x:row r="167" ht="22" customHeight="1">
      <x:c r="A167" t="str">
        <x:v>0401a21ed14e</x:v>
      </x:c>
      <x:c r="B167" t="n">
        <x:v>2015</x:v>
      </x:c>
      <x:c r="C167" t="str">
        <x:v>Kontorbygg</x:v>
      </x:c>
      <x:c r="D167" t="str">
        <x:v>A</x:v>
      </x:c>
      <x:c r="E167" t="n">
        <x:v>2015</x:v>
      </x:c>
      <x:c r="F167" t="n">
        <x:v>84.9</x:v>
      </x:c>
      <x:c r="G167" t="str">
        <x:v>Simple</x:v>
      </x:c>
      <x:c r="H167" t="str"/>
      <x:c r="I167" t="str">
        <x:v>Årlig beregnet, ikke målt</x:v>
      </x:c>
      <x:c r="J167" t="str">
        <x:v>01012015_31122015.csv</x:v>
      </x:c>
    </x:row>
    <x:row r="168" ht="22" customHeight="1">
      <x:c r="A168" t="str">
        <x:v>9ef106afffcd</x:v>
      </x:c>
      <x:c r="B168" t="n">
        <x:v>2015</x:v>
      </x:c>
      <x:c r="C168" t="str">
        <x:v>Kontorbygg</x:v>
      </x:c>
      <x:c r="D168" t="str">
        <x:v>A</x:v>
      </x:c>
      <x:c r="E168" t="n">
        <x:v>2015</x:v>
      </x:c>
      <x:c r="F168" t="n">
        <x:v>79.1</x:v>
      </x:c>
      <x:c r="G168" t="str">
        <x:v>Simple</x:v>
      </x:c>
      <x:c r="H168" t="str"/>
      <x:c r="I168" t="str">
        <x:v>Årlig beregnet, ikke målt</x:v>
      </x:c>
      <x:c r="J168" t="str">
        <x:v>01012015_31122015.csv</x:v>
      </x:c>
    </x:row>
    <x:row r="169" ht="22" customHeight="1">
      <x:c r="A169" t="str">
        <x:v>f749453457d1</x:v>
      </x:c>
      <x:c r="B169" t="n">
        <x:v>2015</x:v>
      </x:c>
      <x:c r="C169" t="str">
        <x:v>Kontorbygg</x:v>
      </x:c>
      <x:c r="D169" t="str">
        <x:v>A</x:v>
      </x:c>
      <x:c r="E169" t="n">
        <x:v>2015</x:v>
      </x:c>
      <x:c r="F169" t="n">
        <x:v>84.7</x:v>
      </x:c>
      <x:c r="G169" t="str">
        <x:v>Simple</x:v>
      </x:c>
      <x:c r="H169" t="str"/>
      <x:c r="I169" t="str">
        <x:v>Årlig beregnet, ikke målt</x:v>
      </x:c>
      <x:c r="J169" t="str">
        <x:v>01012015_31122015.csv</x:v>
      </x:c>
    </x:row>
    <x:row r="170" ht="22" customHeight="1">
      <x:c r="A170" t="str">
        <x:v>69e51f39a7bd</x:v>
      </x:c>
      <x:c r="B170" t="n">
        <x:v>2015</x:v>
      </x:c>
      <x:c r="C170" t="str">
        <x:v>Kontorbygg</x:v>
      </x:c>
      <x:c r="D170" t="str">
        <x:v>A</x:v>
      </x:c>
      <x:c r="E170" t="n">
        <x:v>2013</x:v>
      </x:c>
      <x:c r="F170" t="n">
        <x:v>82.1</x:v>
      </x:c>
      <x:c r="G170" t="str">
        <x:v>Simple</x:v>
      </x:c>
      <x:c r="H170" t="str"/>
      <x:c r="I170" t="str">
        <x:v>Årlig beregnet, ikke målt</x:v>
      </x:c>
      <x:c r="J170" t="str">
        <x:v>01012015_31122015.csv</x:v>
      </x:c>
    </x:row>
    <x:row r="171" ht="22" customHeight="1">
      <x:c r="A171" t="str">
        <x:v>80fca146e740</x:v>
      </x:c>
      <x:c r="B171" t="n">
        <x:v>2015</x:v>
      </x:c>
      <x:c r="C171" t="str">
        <x:v>Kontorbygg</x:v>
      </x:c>
      <x:c r="D171" t="str">
        <x:v>A</x:v>
      </x:c>
      <x:c r="E171" t="n">
        <x:v>2014</x:v>
      </x:c>
      <x:c r="F171" t="n">
        <x:v>79.1</x:v>
      </x:c>
      <x:c r="G171" t="str">
        <x:v>Simple</x:v>
      </x:c>
      <x:c r="H171" t="str"/>
      <x:c r="I171" t="str">
        <x:v>Årlig beregnet, ikke målt</x:v>
      </x:c>
      <x:c r="J171" t="str">
        <x:v>01012015_31122015.csv</x:v>
      </x:c>
    </x:row>
    <x:row r="172" ht="22" customHeight="1">
      <x:c r="A172" t="str">
        <x:v>8f1d239edfbf</x:v>
      </x:c>
      <x:c r="B172" t="n">
        <x:v>2015</x:v>
      </x:c>
      <x:c r="C172" t="str">
        <x:v>Kontorbygg</x:v>
      </x:c>
      <x:c r="D172" t="str">
        <x:v>B</x:v>
      </x:c>
      <x:c r="E172" t="n">
        <x:v>2015</x:v>
      </x:c>
      <x:c r="F172" t="n">
        <x:v>92.9</x:v>
      </x:c>
      <x:c r="G172" t="str">
        <x:v>Simple</x:v>
      </x:c>
      <x:c r="H172" t="str"/>
      <x:c r="I172" t="str">
        <x:v>Årlig beregnet, ikke målt</x:v>
      </x:c>
      <x:c r="J172" t="str">
        <x:v>01012015_31122015.csv</x:v>
      </x:c>
    </x:row>
    <x:row r="173" ht="22" customHeight="1">
      <x:c r="A173" t="str">
        <x:v>75b74dccc145</x:v>
      </x:c>
      <x:c r="B173" t="n">
        <x:v>2015</x:v>
      </x:c>
      <x:c r="C173" t="str">
        <x:v>Kontorbygg</x:v>
      </x:c>
      <x:c r="D173" t="str">
        <x:v>B</x:v>
      </x:c>
      <x:c r="E173" t="n">
        <x:v>2014</x:v>
      </x:c>
      <x:c r="F173" t="n">
        <x:v>95.8</x:v>
      </x:c>
      <x:c r="G173" t="str">
        <x:v>Simple</x:v>
      </x:c>
      <x:c r="H173" t="str"/>
      <x:c r="I173" t="str">
        <x:v>Årlig beregnet, ikke målt</x:v>
      </x:c>
      <x:c r="J173" t="str">
        <x:v>01012015_31122015.csv</x:v>
      </x:c>
    </x:row>
    <x:row r="174" ht="22" customHeight="1">
      <x:c r="A174" t="str">
        <x:v>3c56f40b29d9</x:v>
      </x:c>
      <x:c r="B174" t="n">
        <x:v>2015</x:v>
      </x:c>
      <x:c r="C174" t="str">
        <x:v>Kontorbygg</x:v>
      </x:c>
      <x:c r="D174" t="str">
        <x:v>B</x:v>
      </x:c>
      <x:c r="E174" t="n">
        <x:v>2015</x:v>
      </x:c>
      <x:c r="F174" t="n">
        <x:v>106.5</x:v>
      </x:c>
      <x:c r="G174" t="str">
        <x:v>Simple</x:v>
      </x:c>
      <x:c r="H174" t="str"/>
      <x:c r="I174" t="str">
        <x:v>Årlig beregnet, ikke målt</x:v>
      </x:c>
      <x:c r="J174" t="str">
        <x:v>01012015_31122015.csv</x:v>
      </x:c>
    </x:row>
    <x:row r="175" ht="22" customHeight="1">
      <x:c r="A175" t="str">
        <x:v>1430ecd489b3</x:v>
      </x:c>
      <x:c r="B175" t="n">
        <x:v>2015</x:v>
      </x:c>
      <x:c r="C175" t="str">
        <x:v>Kontorbygg</x:v>
      </x:c>
      <x:c r="D175" t="str">
        <x:v>B</x:v>
      </x:c>
      <x:c r="E175" t="n">
        <x:v>2015</x:v>
      </x:c>
      <x:c r="F175" t="n">
        <x:v>101.4</x:v>
      </x:c>
      <x:c r="G175" t="str">
        <x:v>Simple</x:v>
      </x:c>
      <x:c r="H175" t="str"/>
      <x:c r="I175" t="str">
        <x:v>Årlig beregnet, ikke målt</x:v>
      </x:c>
      <x:c r="J175" t="str">
        <x:v>01012015_31122015.csv</x:v>
      </x:c>
    </x:row>
    <x:row r="176" ht="22" customHeight="1">
      <x:c r="A176" t="str">
        <x:v>4136a18a27fe</x:v>
      </x:c>
      <x:c r="B176" t="n">
        <x:v>2015</x:v>
      </x:c>
      <x:c r="C176" t="str">
        <x:v>Kontorbygg</x:v>
      </x:c>
      <x:c r="D176" t="str">
        <x:v>B</x:v>
      </x:c>
      <x:c r="E176" t="n">
        <x:v>2011</x:v>
      </x:c>
      <x:c r="F176" t="n">
        <x:v>114.9</x:v>
      </x:c>
      <x:c r="G176" t="str">
        <x:v>Simple</x:v>
      </x:c>
      <x:c r="H176" t="str"/>
      <x:c r="I176" t="str">
        <x:v>Årlig beregnet, ikke målt</x:v>
      </x:c>
      <x:c r="J176" t="str">
        <x:v>01012015_31122015.csv</x:v>
      </x:c>
    </x:row>
    <x:row r="177" ht="22" customHeight="1">
      <x:c r="A177" t="str">
        <x:v>84bc786e482e</x:v>
      </x:c>
      <x:c r="B177" t="n">
        <x:v>2015</x:v>
      </x:c>
      <x:c r="C177" t="str">
        <x:v>Kontorbygg</x:v>
      </x:c>
      <x:c r="D177" t="str">
        <x:v>C</x:v>
      </x:c>
      <x:c r="E177" t="n">
        <x:v>2007</x:v>
      </x:c>
      <x:c r="F177" t="n">
        <x:v>121.6</x:v>
      </x:c>
      <x:c r="G177" t="str">
        <x:v>Simple</x:v>
      </x:c>
      <x:c r="H177" t="str"/>
      <x:c r="I177" t="str">
        <x:v>Årlig beregnet, ikke målt</x:v>
      </x:c>
      <x:c r="J177" t="str">
        <x:v>01012015_31122015.csv</x:v>
      </x:c>
    </x:row>
    <x:row r="178" ht="22" customHeight="1">
      <x:c r="A178" t="str">
        <x:v>b33a98f35de5</x:v>
      </x:c>
      <x:c r="B178" t="n">
        <x:v>2015</x:v>
      </x:c>
      <x:c r="C178" t="str">
        <x:v>Kontorbygg</x:v>
      </x:c>
      <x:c r="D178" t="str">
        <x:v>C</x:v>
      </x:c>
      <x:c r="E178" t="n">
        <x:v>2014</x:v>
      </x:c>
      <x:c r="F178" t="n">
        <x:v>126.53</x:v>
      </x:c>
      <x:c r="G178" t="str">
        <x:v>Simple</x:v>
      </x:c>
      <x:c r="H178" t="str">
        <x:v>Betong</x:v>
      </x:c>
      <x:c r="I178" t="str">
        <x:v>Årlig beregnet, ikke målt</x:v>
      </x:c>
      <x:c r="J178" t="str">
        <x:v>01012015_31122015.csv</x:v>
      </x:c>
    </x:row>
    <x:row r="179" ht="22" customHeight="1">
      <x:c r="A179" t="str">
        <x:v>ccef9c283099</x:v>
      </x:c>
      <x:c r="B179" t="n">
        <x:v>2015</x:v>
      </x:c>
      <x:c r="C179" t="str">
        <x:v>Kontorbygg</x:v>
      </x:c>
      <x:c r="D179" t="str">
        <x:v>C</x:v>
      </x:c>
      <x:c r="E179" t="n">
        <x:v>2015</x:v>
      </x:c>
      <x:c r="F179" t="n">
        <x:v>128.8</x:v>
      </x:c>
      <x:c r="G179" t="str">
        <x:v>Simple</x:v>
      </x:c>
      <x:c r="H179" t="str"/>
      <x:c r="I179" t="str">
        <x:v>Årlig beregnet, ikke målt</x:v>
      </x:c>
      <x:c r="J179" t="str">
        <x:v>01012015_31122015.csv</x:v>
      </x:c>
    </x:row>
    <x:row r="180" ht="22" customHeight="1">
      <x:c r="A180" t="str">
        <x:v>49367060ee38</x:v>
      </x:c>
      <x:c r="B180" t="n">
        <x:v>2015</x:v>
      </x:c>
      <x:c r="C180" t="str">
        <x:v>Kontorbygg</x:v>
      </x:c>
      <x:c r="D180" t="str">
        <x:v>C</x:v>
      </x:c>
      <x:c r="E180" t="n">
        <x:v>2012</x:v>
      </x:c>
      <x:c r="F180" t="n">
        <x:v>139.7</x:v>
      </x:c>
      <x:c r="G180" t="str">
        <x:v>Advanced</x:v>
      </x:c>
      <x:c r="H180" t="str"/>
      <x:c r="I180" t="str">
        <x:v>Årlig beregnet, ikke målt</x:v>
      </x:c>
      <x:c r="J180" t="str">
        <x:v>01012015_31122015.csv</x:v>
      </x:c>
    </x:row>
    <x:row r="181" ht="22" customHeight="1">
      <x:c r="A181" t="str">
        <x:v>738606cf17c1</x:v>
      </x:c>
      <x:c r="B181" t="n">
        <x:v>2015</x:v>
      </x:c>
      <x:c r="C181" t="str">
        <x:v>Kontorbygg</x:v>
      </x:c>
      <x:c r="D181" t="str">
        <x:v>C</x:v>
      </x:c>
      <x:c r="E181" t="n">
        <x:v>2000</x:v>
      </x:c>
      <x:c r="F181" t="n">
        <x:v>117.3</x:v>
      </x:c>
      <x:c r="G181" t="str">
        <x:v>Simple</x:v>
      </x:c>
      <x:c r="H181" t="str"/>
      <x:c r="I181" t="str">
        <x:v>Årlig beregnet, ikke målt</x:v>
      </x:c>
      <x:c r="J181" t="str">
        <x:v>01012015_31122015.csv</x:v>
      </x:c>
    </x:row>
    <x:row r="182" ht="22" customHeight="1">
      <x:c r="A182" t="str">
        <x:v>b70344b9b95e</x:v>
      </x:c>
      <x:c r="B182" t="n">
        <x:v>2015</x:v>
      </x:c>
      <x:c r="C182" t="str">
        <x:v>Kontorbygg</x:v>
      </x:c>
      <x:c r="D182" t="str">
        <x:v>D</x:v>
      </x:c>
      <x:c r="E182" t="n">
        <x:v>1970</x:v>
      </x:c>
      <x:c r="F182" t="n">
        <x:v>156.1</x:v>
      </x:c>
      <x:c r="G182" t="str">
        <x:v>Advanced</x:v>
      </x:c>
      <x:c r="H182" t="str"/>
      <x:c r="I182" t="str">
        <x:v>Årlig beregnet, ikke målt</x:v>
      </x:c>
      <x:c r="J182" t="str">
        <x:v>01012015_31122015.csv</x:v>
      </x:c>
    </x:row>
    <x:row r="183" ht="22" customHeight="1">
      <x:c r="A183" t="str">
        <x:v>25eb6d0aa144</x:v>
      </x:c>
      <x:c r="B183" t="n">
        <x:v>2015</x:v>
      </x:c>
      <x:c r="C183" t="str">
        <x:v>Kontorbygg</x:v>
      </x:c>
      <x:c r="D183" t="str">
        <x:v>D</x:v>
      </x:c>
      <x:c r="E183" t="n">
        <x:v>1992</x:v>
      </x:c>
      <x:c r="F183" t="n">
        <x:v>177.9</x:v>
      </x:c>
      <x:c r="G183" t="str">
        <x:v>Simple</x:v>
      </x:c>
      <x:c r="H183" t="str"/>
      <x:c r="I183" t="str">
        <x:v>Årlig beregnet, ikke målt</x:v>
      </x:c>
      <x:c r="J183" t="str">
        <x:v>01012015_31122015.csv</x:v>
      </x:c>
    </x:row>
    <x:row r="184" ht="22" customHeight="1">
      <x:c r="A184" t="str">
        <x:v>9c525f821a89</x:v>
      </x:c>
      <x:c r="B184" t="n">
        <x:v>2015</x:v>
      </x:c>
      <x:c r="C184" t="str">
        <x:v>Kontorbygg</x:v>
      </x:c>
      <x:c r="D184" t="str">
        <x:v>D</x:v>
      </x:c>
      <x:c r="E184" t="n">
        <x:v>2003</x:v>
      </x:c>
      <x:c r="F184" t="n">
        <x:v>145.6</x:v>
      </x:c>
      <x:c r="G184" t="str">
        <x:v>Simple</x:v>
      </x:c>
      <x:c r="H184" t="str"/>
      <x:c r="I184" t="str">
        <x:v>Årlig beregnet, ikke målt</x:v>
      </x:c>
      <x:c r="J184" t="str">
        <x:v>01012015_31122015.csv</x:v>
      </x:c>
    </x:row>
    <x:row r="185" ht="22" customHeight="1">
      <x:c r="A185" t="str">
        <x:v>effec214f254</x:v>
      </x:c>
      <x:c r="B185" t="n">
        <x:v>2015</x:v>
      </x:c>
      <x:c r="C185" t="str">
        <x:v>Kontorbygg</x:v>
      </x:c>
      <x:c r="D185" t="str">
        <x:v>D</x:v>
      </x:c>
      <x:c r="E185" t="n">
        <x:v>2004</x:v>
      </x:c>
      <x:c r="F185" t="n">
        <x:v>168.8</x:v>
      </x:c>
      <x:c r="G185" t="str">
        <x:v>Advanced</x:v>
      </x:c>
      <x:c r="H185" t="str"/>
      <x:c r="I185" t="str">
        <x:v>Årlig beregnet, ikke målt</x:v>
      </x:c>
      <x:c r="J185" t="str">
        <x:v>01012015_31122015.csv</x:v>
      </x:c>
    </x:row>
    <x:row r="186" ht="22" customHeight="1">
      <x:c r="A186" t="str">
        <x:v>3e61ffff7f41</x:v>
      </x:c>
      <x:c r="B186" t="n">
        <x:v>2015</x:v>
      </x:c>
      <x:c r="C186" t="str">
        <x:v>Kontorbygg</x:v>
      </x:c>
      <x:c r="D186" t="str">
        <x:v>D</x:v>
      </x:c>
      <x:c r="E186" t="n">
        <x:v>1980</x:v>
      </x:c>
      <x:c r="F186" t="n">
        <x:v>163.6</x:v>
      </x:c>
      <x:c r="G186" t="str">
        <x:v>Simple</x:v>
      </x:c>
      <x:c r="H186" t="str"/>
      <x:c r="I186" t="str">
        <x:v>Årlig beregnet, ikke målt</x:v>
      </x:c>
      <x:c r="J186" t="str">
        <x:v>01012015_31122015.csv</x:v>
      </x:c>
    </x:row>
    <x:row r="187" ht="22" customHeight="1">
      <x:c r="A187" t="str">
        <x:v>be11a500c2e5</x:v>
      </x:c>
      <x:c r="B187" t="n">
        <x:v>2015</x:v>
      </x:c>
      <x:c r="C187" t="str">
        <x:v>Kontorbygg</x:v>
      </x:c>
      <x:c r="D187" t="str">
        <x:v>E</x:v>
      </x:c>
      <x:c r="E187" t="n">
        <x:v>1991</x:v>
      </x:c>
      <x:c r="F187" t="n">
        <x:v>206.6</x:v>
      </x:c>
      <x:c r="G187" t="str">
        <x:v>Advanced</x:v>
      </x:c>
      <x:c r="H187" t="str"/>
      <x:c r="I187" t="str">
        <x:v>Årlig beregnet, ikke målt</x:v>
      </x:c>
      <x:c r="J187" t="str">
        <x:v>01012015_31122015.csv</x:v>
      </x:c>
    </x:row>
    <x:row r="188" ht="22" customHeight="1">
      <x:c r="A188" t="str">
        <x:v>431822d18f49</x:v>
      </x:c>
      <x:c r="B188" t="n">
        <x:v>2015</x:v>
      </x:c>
      <x:c r="C188" t="str">
        <x:v>Kontorbygg</x:v>
      </x:c>
      <x:c r="D188" t="str">
        <x:v>E</x:v>
      </x:c>
      <x:c r="E188" t="n">
        <x:v>1950</x:v>
      </x:c>
      <x:c r="F188" t="n">
        <x:v>208.9</x:v>
      </x:c>
      <x:c r="G188" t="str">
        <x:v>Simple</x:v>
      </x:c>
      <x:c r="H188" t="str"/>
      <x:c r="I188" t="str">
        <x:v>Årlig beregnet, ikke målt</x:v>
      </x:c>
      <x:c r="J188" t="str">
        <x:v>01012015_31122015.csv</x:v>
      </x:c>
    </x:row>
    <x:row r="189" ht="22" customHeight="1">
      <x:c r="A189" t="str">
        <x:v>f0fc846ddbcb</x:v>
      </x:c>
      <x:c r="B189" t="n">
        <x:v>2015</x:v>
      </x:c>
      <x:c r="C189" t="str">
        <x:v>Kontorbygg</x:v>
      </x:c>
      <x:c r="D189" t="str">
        <x:v>E</x:v>
      </x:c>
      <x:c r="E189" t="n">
        <x:v>2006</x:v>
      </x:c>
      <x:c r="F189" t="n">
        <x:v>211.3</x:v>
      </x:c>
      <x:c r="G189" t="str">
        <x:v>Simple</x:v>
      </x:c>
      <x:c r="H189" t="str"/>
      <x:c r="I189" t="str">
        <x:v>Årlig beregnet, ikke målt</x:v>
      </x:c>
      <x:c r="J189" t="str">
        <x:v>01012015_31122015.csv</x:v>
      </x:c>
    </x:row>
    <x:row r="190" ht="22" customHeight="1">
      <x:c r="A190" t="str">
        <x:v>9f05f9b6f39c</x:v>
      </x:c>
      <x:c r="B190" t="n">
        <x:v>2015</x:v>
      </x:c>
      <x:c r="C190" t="str">
        <x:v>Kontorbygg</x:v>
      </x:c>
      <x:c r="D190" t="str">
        <x:v>E</x:v>
      </x:c>
      <x:c r="E190" t="n">
        <x:v>1987</x:v>
      </x:c>
      <x:c r="F190" t="n">
        <x:v>200.5</x:v>
      </x:c>
      <x:c r="G190" t="str">
        <x:v>Simple</x:v>
      </x:c>
      <x:c r="H190" t="str"/>
      <x:c r="I190" t="str">
        <x:v>Årlig beregnet, ikke målt</x:v>
      </x:c>
      <x:c r="J190" t="str">
        <x:v>01012015_31122015.csv</x:v>
      </x:c>
    </x:row>
    <x:row r="191" ht="22" customHeight="1">
      <x:c r="A191" t="str">
        <x:v>9a4bd70dbde6</x:v>
      </x:c>
      <x:c r="B191" t="n">
        <x:v>2015</x:v>
      </x:c>
      <x:c r="C191" t="str">
        <x:v>Kontorbygg</x:v>
      </x:c>
      <x:c r="D191" t="str">
        <x:v>E</x:v>
      </x:c>
      <x:c r="E191" t="n">
        <x:v>2007</x:v>
      </x:c>
      <x:c r="F191" t="n">
        <x:v>191.7</x:v>
      </x:c>
      <x:c r="G191" t="str">
        <x:v>Simple</x:v>
      </x:c>
      <x:c r="H191" t="str"/>
      <x:c r="I191" t="str">
        <x:v>Årlig beregnet, ikke målt</x:v>
      </x:c>
      <x:c r="J191" t="str">
        <x:v>01012015_31122015.csv</x:v>
      </x:c>
    </x:row>
    <x:row r="192" ht="22" customHeight="1">
      <x:c r="A192" t="str">
        <x:v>7d0401a05f36</x:v>
      </x:c>
      <x:c r="B192" t="n">
        <x:v>2015</x:v>
      </x:c>
      <x:c r="C192" t="str">
        <x:v>Kontorbygg</x:v>
      </x:c>
      <x:c r="D192" t="str">
        <x:v>F</x:v>
      </x:c>
      <x:c r="E192" t="n">
        <x:v>1971</x:v>
      </x:c>
      <x:c r="F192" t="n">
        <x:v>270.4</x:v>
      </x:c>
      <x:c r="G192" t="str">
        <x:v>Simple</x:v>
      </x:c>
      <x:c r="H192" t="str"/>
      <x:c r="I192" t="str">
        <x:v>Årlig beregnet, ikke målt</x:v>
      </x:c>
      <x:c r="J192" t="str">
        <x:v>01012015_31122015.csv</x:v>
      </x:c>
    </x:row>
    <x:row r="193" ht="22" customHeight="1">
      <x:c r="A193" t="str">
        <x:v>1bf0d7a0af1d</x:v>
      </x:c>
      <x:c r="B193" t="n">
        <x:v>2015</x:v>
      </x:c>
      <x:c r="C193" t="str">
        <x:v>Kontorbygg</x:v>
      </x:c>
      <x:c r="D193" t="str">
        <x:v>F</x:v>
      </x:c>
      <x:c r="E193" t="n">
        <x:v>1982</x:v>
      </x:c>
      <x:c r="F193" t="n">
        <x:v>229</x:v>
      </x:c>
      <x:c r="G193" t="str">
        <x:v>Advanced</x:v>
      </x:c>
      <x:c r="H193" t="str"/>
      <x:c r="I193" t="str">
        <x:v>Årlig beregnet, ikke målt</x:v>
      </x:c>
      <x:c r="J193" t="str">
        <x:v>01012015_31122015.csv</x:v>
      </x:c>
    </x:row>
    <x:row r="194" ht="22" customHeight="1">
      <x:c r="A194" t="str">
        <x:v>8d59c561331c</x:v>
      </x:c>
      <x:c r="B194" t="n">
        <x:v>2015</x:v>
      </x:c>
      <x:c r="C194" t="str">
        <x:v>Kontorbygg</x:v>
      </x:c>
      <x:c r="D194" t="str">
        <x:v>F</x:v>
      </x:c>
      <x:c r="E194" t="n">
        <x:v>1986</x:v>
      </x:c>
      <x:c r="F194" t="n">
        <x:v>241.6</x:v>
      </x:c>
      <x:c r="G194" t="str">
        <x:v>Simple</x:v>
      </x:c>
      <x:c r="H194" t="str"/>
      <x:c r="I194" t="str">
        <x:v>Årlig beregnet, ikke målt</x:v>
      </x:c>
      <x:c r="J194" t="str">
        <x:v>01012015_31122015.csv</x:v>
      </x:c>
    </x:row>
    <x:row r="195" ht="22" customHeight="1">
      <x:c r="A195" t="str">
        <x:v>6eccf76defbb</x:v>
      </x:c>
      <x:c r="B195" t="n">
        <x:v>2015</x:v>
      </x:c>
      <x:c r="C195" t="str">
        <x:v>Kontorbygg</x:v>
      </x:c>
      <x:c r="D195" t="str">
        <x:v>F</x:v>
      </x:c>
      <x:c r="E195" t="n">
        <x:v>1930</x:v>
      </x:c>
      <x:c r="F195" t="n">
        <x:v>259.3</x:v>
      </x:c>
      <x:c r="G195" t="str">
        <x:v>Advanced</x:v>
      </x:c>
      <x:c r="H195" t="str"/>
      <x:c r="I195" t="str">
        <x:v>Årlig beregnet, ikke målt</x:v>
      </x:c>
      <x:c r="J195" t="str">
        <x:v>01012015_31122015.csv</x:v>
      </x:c>
    </x:row>
    <x:row r="196" ht="22" customHeight="1">
      <x:c r="A196" t="str">
        <x:v>0fd1e5462982</x:v>
      </x:c>
      <x:c r="B196" t="n">
        <x:v>2015</x:v>
      </x:c>
      <x:c r="C196" t="str">
        <x:v>Kontorbygg</x:v>
      </x:c>
      <x:c r="D196" t="str">
        <x:v>F</x:v>
      </x:c>
      <x:c r="E196" t="n">
        <x:v>1969</x:v>
      </x:c>
      <x:c r="F196" t="n">
        <x:v>232.6</x:v>
      </x:c>
      <x:c r="G196" t="str">
        <x:v>Simple</x:v>
      </x:c>
      <x:c r="H196" t="str"/>
      <x:c r="I196" t="str">
        <x:v>Årlig beregnet, ikke målt</x:v>
      </x:c>
      <x:c r="J196" t="str">
        <x:v>01012015_31122015.csv</x:v>
      </x:c>
    </x:row>
    <x:row r="197" ht="22" customHeight="1">
      <x:c r="A197" t="str">
        <x:v>644a31e5044f</x:v>
      </x:c>
      <x:c r="B197" t="n">
        <x:v>2015</x:v>
      </x:c>
      <x:c r="C197" t="str">
        <x:v>Kontorbygg</x:v>
      </x:c>
      <x:c r="D197" t="str">
        <x:v>G</x:v>
      </x:c>
      <x:c r="E197" t="n">
        <x:v>1983</x:v>
      </x:c>
      <x:c r="F197" t="n">
        <x:v>366.5</x:v>
      </x:c>
      <x:c r="G197" t="str">
        <x:v>Simple</x:v>
      </x:c>
      <x:c r="H197" t="str"/>
      <x:c r="I197" t="str">
        <x:v>Årlig beregnet, ikke målt</x:v>
      </x:c>
      <x:c r="J197" t="str">
        <x:v>01012015_31122015.csv</x:v>
      </x:c>
    </x:row>
    <x:row r="198" ht="22" customHeight="1">
      <x:c r="A198" t="str">
        <x:v>e2cbaa494535</x:v>
      </x:c>
      <x:c r="B198" t="n">
        <x:v>2015</x:v>
      </x:c>
      <x:c r="C198" t="str">
        <x:v>Kontorbygg</x:v>
      </x:c>
      <x:c r="D198" t="str">
        <x:v>G</x:v>
      </x:c>
      <x:c r="E198" t="n">
        <x:v>1936</x:v>
      </x:c>
      <x:c r="F198" t="n">
        <x:v>374.7</x:v>
      </x:c>
      <x:c r="G198" t="str">
        <x:v>Simple</x:v>
      </x:c>
      <x:c r="H198" t="str"/>
      <x:c r="I198" t="str">
        <x:v>Årlig beregnet, ikke målt</x:v>
      </x:c>
      <x:c r="J198" t="str">
        <x:v>01012015_31122015.csv</x:v>
      </x:c>
    </x:row>
    <x:row r="199" ht="22" customHeight="1">
      <x:c r="A199" t="str">
        <x:v>95d6ec43d88d</x:v>
      </x:c>
      <x:c r="B199" t="n">
        <x:v>2015</x:v>
      </x:c>
      <x:c r="C199" t="str">
        <x:v>Kontorbygg</x:v>
      </x:c>
      <x:c r="D199" t="str">
        <x:v>G</x:v>
      </x:c>
      <x:c r="E199" t="n">
        <x:v>1983</x:v>
      </x:c>
      <x:c r="F199" t="n">
        <x:v>314.8</x:v>
      </x:c>
      <x:c r="G199" t="str">
        <x:v>Simple</x:v>
      </x:c>
      <x:c r="H199" t="str"/>
      <x:c r="I199" t="str">
        <x:v>Årlig beregnet, ikke målt</x:v>
      </x:c>
      <x:c r="J199" t="str">
        <x:v>01012015_31122015.csv</x:v>
      </x:c>
    </x:row>
    <x:row r="200" ht="22" customHeight="1">
      <x:c r="A200" t="str">
        <x:v>077977a6a701</x:v>
      </x:c>
      <x:c r="B200" t="n">
        <x:v>2015</x:v>
      </x:c>
      <x:c r="C200" t="str">
        <x:v>Kontorbygg</x:v>
      </x:c>
      <x:c r="D200" t="str">
        <x:v>G</x:v>
      </x:c>
      <x:c r="E200" t="n">
        <x:v>1929</x:v>
      </x:c>
      <x:c r="F200" t="n">
        <x:v>451.01</x:v>
      </x:c>
      <x:c r="G200" t="str">
        <x:v>Simple</x:v>
      </x:c>
      <x:c r="H200" t="str">
        <x:v>Mur/tegl</x:v>
      </x:c>
      <x:c r="I200" t="str">
        <x:v>Årlig beregnet, ikke målt</x:v>
      </x:c>
      <x:c r="J200" t="str">
        <x:v>01012015_31122015.csv</x:v>
      </x:c>
    </x:row>
    <x:row r="201" ht="22" customHeight="1">
      <x:c r="A201" t="str">
        <x:v>09f98138d3a2</x:v>
      </x:c>
      <x:c r="B201" t="n">
        <x:v>2015</x:v>
      </x:c>
      <x:c r="C201" t="str">
        <x:v>Kontorbygg</x:v>
      </x:c>
      <x:c r="D201" t="str">
        <x:v>G</x:v>
      </x:c>
      <x:c r="E201" t="n">
        <x:v>1987</x:v>
      </x:c>
      <x:c r="F201" t="n">
        <x:v>543.4</x:v>
      </x:c>
      <x:c r="G201" t="str">
        <x:v>Simple</x:v>
      </x:c>
      <x:c r="H201" t="str"/>
      <x:c r="I201" t="str">
        <x:v>Årlig beregnet, ikke målt</x:v>
      </x:c>
      <x:c r="J201" t="str">
        <x:v>01012015_31122015.csv</x:v>
      </x:c>
    </x:row>
    <x:row r="202" ht="22" customHeight="1">
      <x:c r="A202" t="str">
        <x:v>80c8ab39042e</x:v>
      </x:c>
      <x:c r="B202" t="n">
        <x:v>2015</x:v>
      </x:c>
      <x:c r="C202" t="str">
        <x:v>Kulturbygg</x:v>
      </x:c>
      <x:c r="D202" t="str">
        <x:v>C</x:v>
      </x:c>
      <x:c r="E202" t="n">
        <x:v>2009</x:v>
      </x:c>
      <x:c r="F202" t="n">
        <x:v>173.3</x:v>
      </x:c>
      <x:c r="G202" t="str">
        <x:v>Advanced</x:v>
      </x:c>
      <x:c r="H202" t="str"/>
      <x:c r="I202" t="str">
        <x:v>Årlig beregnet, ikke målt</x:v>
      </x:c>
      <x:c r="J202" t="str">
        <x:v>01012015_31122015.csv</x:v>
      </x:c>
    </x:row>
    <x:row r="203" ht="22" customHeight="1">
      <x:c r="A203" t="str">
        <x:v>a2543095ecce</x:v>
      </x:c>
      <x:c r="B203" t="n">
        <x:v>2015</x:v>
      </x:c>
      <x:c r="C203" t="str">
        <x:v>Kulturbygg</x:v>
      </x:c>
      <x:c r="D203" t="str">
        <x:v>C</x:v>
      </x:c>
      <x:c r="E203" t="n">
        <x:v>1985</x:v>
      </x:c>
      <x:c r="F203" t="n">
        <x:v>134.2</x:v>
      </x:c>
      <x:c r="G203" t="str">
        <x:v>Simple</x:v>
      </x:c>
      <x:c r="H203" t="str"/>
      <x:c r="I203" t="str">
        <x:v>Årlig beregnet, ikke målt</x:v>
      </x:c>
      <x:c r="J203" t="str">
        <x:v>01012015_31122015.csv</x:v>
      </x:c>
    </x:row>
    <x:row r="204" ht="22" customHeight="1">
      <x:c r="A204" t="str">
        <x:v>122ba5b734d0</x:v>
      </x:c>
      <x:c r="B204" t="n">
        <x:v>2015</x:v>
      </x:c>
      <x:c r="C204" t="str">
        <x:v>Kulturbygg</x:v>
      </x:c>
      <x:c r="D204" t="str">
        <x:v>C</x:v>
      </x:c>
      <x:c r="E204" t="n">
        <x:v>1992</x:v>
      </x:c>
      <x:c r="F204" t="n">
        <x:v>136.3</x:v>
      </x:c>
      <x:c r="G204" t="str">
        <x:v>Simple</x:v>
      </x:c>
      <x:c r="H204" t="str"/>
      <x:c r="I204" t="str">
        <x:v>Årlig beregnet, ikke målt</x:v>
      </x:c>
      <x:c r="J204" t="str">
        <x:v>01012015_31122015.csv</x:v>
      </x:c>
    </x:row>
    <x:row r="205" ht="22" customHeight="1">
      <x:c r="A205" t="str">
        <x:v>b03b760a7498</x:v>
      </x:c>
      <x:c r="B205" t="n">
        <x:v>2015</x:v>
      </x:c>
      <x:c r="C205" t="str">
        <x:v>Kulturbygg</x:v>
      </x:c>
      <x:c r="D205" t="str">
        <x:v>D</x:v>
      </x:c>
      <x:c r="E205" t="n">
        <x:v>1961</x:v>
      </x:c>
      <x:c r="F205" t="n">
        <x:v>183.6</x:v>
      </x:c>
      <x:c r="G205" t="str">
        <x:v>Advanced</x:v>
      </x:c>
      <x:c r="H205" t="str"/>
      <x:c r="I205" t="str">
        <x:v>Årlig beregnet, ikke målt</x:v>
      </x:c>
      <x:c r="J205" t="str">
        <x:v>01012015_31122015.csv</x:v>
      </x:c>
    </x:row>
    <x:row r="206" ht="22" customHeight="1">
      <x:c r="A206" t="str">
        <x:v>99f690e445e4</x:v>
      </x:c>
      <x:c r="B206" t="n">
        <x:v>2015</x:v>
      </x:c>
      <x:c r="C206" t="str">
        <x:v>Kulturbygg</x:v>
      </x:c>
      <x:c r="D206" t="str">
        <x:v>D</x:v>
      </x:c>
      <x:c r="E206" t="n">
        <x:v>1878</x:v>
      </x:c>
      <x:c r="F206" t="n">
        <x:v>185</x:v>
      </x:c>
      <x:c r="G206" t="str">
        <x:v>Simple</x:v>
      </x:c>
      <x:c r="H206" t="str"/>
      <x:c r="I206" t="str">
        <x:v>Årlig beregnet, ikke målt</x:v>
      </x:c>
      <x:c r="J206" t="str">
        <x:v>01012015_31122015.csv</x:v>
      </x:c>
    </x:row>
    <x:row r="207" ht="22" customHeight="1">
      <x:c r="A207" t="str">
        <x:v>1272ab460a4f</x:v>
      </x:c>
      <x:c r="B207" t="n">
        <x:v>2015</x:v>
      </x:c>
      <x:c r="C207" t="str">
        <x:v>Kulturbygg</x:v>
      </x:c>
      <x:c r="D207" t="str">
        <x:v>D</x:v>
      </x:c>
      <x:c r="E207" t="n">
        <x:v>1977</x:v>
      </x:c>
      <x:c r="F207" t="n">
        <x:v>210.9</x:v>
      </x:c>
      <x:c r="G207" t="str">
        <x:v>Simple</x:v>
      </x:c>
      <x:c r="H207" t="str"/>
      <x:c r="I207" t="str">
        <x:v>Årlig beregnet, ikke målt</x:v>
      </x:c>
      <x:c r="J207" t="str">
        <x:v>01012015_31122015.csv</x:v>
      </x:c>
    </x:row>
    <x:row r="208" ht="22" customHeight="1">
      <x:c r="A208" t="str">
        <x:v>653ade949231</x:v>
      </x:c>
      <x:c r="B208" t="n">
        <x:v>2015</x:v>
      </x:c>
      <x:c r="C208" t="str">
        <x:v>Kulturbygg</x:v>
      </x:c>
      <x:c r="D208" t="str">
        <x:v>D</x:v>
      </x:c>
      <x:c r="E208" t="n">
        <x:v>1988</x:v>
      </x:c>
      <x:c r="F208" t="n">
        <x:v>212.2</x:v>
      </x:c>
      <x:c r="G208" t="str">
        <x:v>Simple</x:v>
      </x:c>
      <x:c r="H208" t="str"/>
      <x:c r="I208" t="str">
        <x:v>Årlig beregnet, ikke målt</x:v>
      </x:c>
      <x:c r="J208" t="str">
        <x:v>01012015_31122015.csv</x:v>
      </x:c>
    </x:row>
    <x:row r="209" ht="22" customHeight="1">
      <x:c r="A209" t="str">
        <x:v>ff361bdb190e</x:v>
      </x:c>
      <x:c r="B209" t="n">
        <x:v>2015</x:v>
      </x:c>
      <x:c r="C209" t="str">
        <x:v>Kulturbygg</x:v>
      </x:c>
      <x:c r="D209" t="str">
        <x:v>D</x:v>
      </x:c>
      <x:c r="E209" t="n">
        <x:v>1954</x:v>
      </x:c>
      <x:c r="F209" t="n">
        <x:v>196</x:v>
      </x:c>
      <x:c r="G209" t="str">
        <x:v>Simple</x:v>
      </x:c>
      <x:c r="H209" t="str"/>
      <x:c r="I209" t="str">
        <x:v>Årlig beregnet, ikke målt</x:v>
      </x:c>
      <x:c r="J209" t="str">
        <x:v>01012015_31122015.csv</x:v>
      </x:c>
    </x:row>
    <x:row r="210" ht="22" customHeight="1">
      <x:c r="A210" t="str">
        <x:v>8b165c684207</x:v>
      </x:c>
      <x:c r="B210" t="n">
        <x:v>2015</x:v>
      </x:c>
      <x:c r="C210" t="str">
        <x:v>Kulturbygg</x:v>
      </x:c>
      <x:c r="D210" t="str">
        <x:v>E</x:v>
      </x:c>
      <x:c r="E210" t="n">
        <x:v>1981</x:v>
      </x:c>
      <x:c r="F210" t="n">
        <x:v>241</x:v>
      </x:c>
      <x:c r="G210" t="str">
        <x:v>Simple</x:v>
      </x:c>
      <x:c r="H210" t="str"/>
      <x:c r="I210" t="str">
        <x:v>Årlig beregnet, ikke målt</x:v>
      </x:c>
      <x:c r="J210" t="str">
        <x:v>01012015_31122015.csv</x:v>
      </x:c>
    </x:row>
    <x:row r="211" ht="22" customHeight="1">
      <x:c r="A211" t="str">
        <x:v>0f85d82011df</x:v>
      </x:c>
      <x:c r="B211" t="n">
        <x:v>2015</x:v>
      </x:c>
      <x:c r="C211" t="str">
        <x:v>Kulturbygg</x:v>
      </x:c>
      <x:c r="D211" t="str">
        <x:v>E</x:v>
      </x:c>
      <x:c r="E211" t="n">
        <x:v>1920</x:v>
      </x:c>
      <x:c r="F211" t="n">
        <x:v>239.9</x:v>
      </x:c>
      <x:c r="G211" t="str">
        <x:v>Simple</x:v>
      </x:c>
      <x:c r="H211" t="str"/>
      <x:c r="I211" t="str">
        <x:v>Årlig beregnet, ikke målt</x:v>
      </x:c>
      <x:c r="J211" t="str">
        <x:v>01012015_31122015.csv</x:v>
      </x:c>
    </x:row>
    <x:row r="212" ht="22" customHeight="1">
      <x:c r="A212" t="str">
        <x:v>d997614bf69f</x:v>
      </x:c>
      <x:c r="B212" t="n">
        <x:v>2015</x:v>
      </x:c>
      <x:c r="C212" t="str">
        <x:v>Kulturbygg</x:v>
      </x:c>
      <x:c r="D212" t="str">
        <x:v>E</x:v>
      </x:c>
      <x:c r="E212" t="n">
        <x:v>2005</x:v>
      </x:c>
      <x:c r="F212" t="n">
        <x:v>236.1</x:v>
      </x:c>
      <x:c r="G212" t="str">
        <x:v>Simple</x:v>
      </x:c>
      <x:c r="H212" t="str"/>
      <x:c r="I212" t="str">
        <x:v>Årlig beregnet, ikke målt</x:v>
      </x:c>
      <x:c r="J212" t="str">
        <x:v>01012015_31122015.csv</x:v>
      </x:c>
    </x:row>
    <x:row r="213" ht="22" customHeight="1">
      <x:c r="A213" t="str">
        <x:v>0c6fefc4bc1a</x:v>
      </x:c>
      <x:c r="B213" t="n">
        <x:v>2015</x:v>
      </x:c>
      <x:c r="C213" t="str">
        <x:v>Kulturbygg</x:v>
      </x:c>
      <x:c r="D213" t="str">
        <x:v>E</x:v>
      </x:c>
      <x:c r="E213" t="n">
        <x:v>1984</x:v>
      </x:c>
      <x:c r="F213" t="n">
        <x:v>218.4</x:v>
      </x:c>
      <x:c r="G213" t="str">
        <x:v>Simple</x:v>
      </x:c>
      <x:c r="H213" t="str"/>
      <x:c r="I213" t="str">
        <x:v>Årlig beregnet, ikke målt</x:v>
      </x:c>
      <x:c r="J213" t="str">
        <x:v>01012015_31122015.csv</x:v>
      </x:c>
    </x:row>
    <x:row r="214" ht="22" customHeight="1">
      <x:c r="A214" t="str">
        <x:v>d63b32300323</x:v>
      </x:c>
      <x:c r="B214" t="n">
        <x:v>2015</x:v>
      </x:c>
      <x:c r="C214" t="str">
        <x:v>Kulturbygg</x:v>
      </x:c>
      <x:c r="D214" t="str">
        <x:v>F</x:v>
      </x:c>
      <x:c r="E214" t="n">
        <x:v>1938</x:v>
      </x:c>
      <x:c r="F214" t="n">
        <x:v>299.1</x:v>
      </x:c>
      <x:c r="G214" t="str">
        <x:v>Simple</x:v>
      </x:c>
      <x:c r="H214" t="str"/>
      <x:c r="I214" t="str">
        <x:v>Årlig beregnet, ikke målt</x:v>
      </x:c>
      <x:c r="J214" t="str">
        <x:v>01012015_31122015.csv</x:v>
      </x:c>
    </x:row>
    <x:row r="215" ht="22" customHeight="1">
      <x:c r="A215" t="str">
        <x:v>c7977c5defb0</x:v>
      </x:c>
      <x:c r="B215" t="n">
        <x:v>2015</x:v>
      </x:c>
      <x:c r="C215" t="str">
        <x:v>Kulturbygg</x:v>
      </x:c>
      <x:c r="D215" t="str">
        <x:v>F</x:v>
      </x:c>
      <x:c r="E215" t="n">
        <x:v>1881</x:v>
      </x:c>
      <x:c r="F215" t="n">
        <x:v>299</x:v>
      </x:c>
      <x:c r="G215" t="str">
        <x:v>Simple</x:v>
      </x:c>
      <x:c r="H215" t="str"/>
      <x:c r="I215" t="str">
        <x:v>Årlig beregnet, ikke målt</x:v>
      </x:c>
      <x:c r="J215" t="str">
        <x:v>01012015_31122015.csv</x:v>
      </x:c>
    </x:row>
    <x:row r="216" ht="22" customHeight="1">
      <x:c r="A216" t="str">
        <x:v>f3b45c23547f</x:v>
      </x:c>
      <x:c r="B216" t="n">
        <x:v>2015</x:v>
      </x:c>
      <x:c r="C216" t="str">
        <x:v>Kulturbygg</x:v>
      </x:c>
      <x:c r="D216" t="str">
        <x:v>F</x:v>
      </x:c>
      <x:c r="E216" t="n">
        <x:v>2014</x:v>
      </x:c>
      <x:c r="F216" t="n">
        <x:v>289.4</x:v>
      </x:c>
      <x:c r="G216" t="str">
        <x:v>Advanced</x:v>
      </x:c>
      <x:c r="H216" t="str"/>
      <x:c r="I216" t="str">
        <x:v>Årlig beregnet, ikke målt</x:v>
      </x:c>
      <x:c r="J216" t="str">
        <x:v>01012015_31122015.csv</x:v>
      </x:c>
    </x:row>
    <x:row r="217" ht="22" customHeight="1">
      <x:c r="A217" t="str">
        <x:v>a637c09c779b</x:v>
      </x:c>
      <x:c r="B217" t="n">
        <x:v>2015</x:v>
      </x:c>
      <x:c r="C217" t="str">
        <x:v>Kulturbygg</x:v>
      </x:c>
      <x:c r="D217" t="str">
        <x:v>F</x:v>
      </x:c>
      <x:c r="E217" t="n">
        <x:v>1999</x:v>
      </x:c>
      <x:c r="F217" t="n">
        <x:v>285</x:v>
      </x:c>
      <x:c r="G217" t="str">
        <x:v>Simple</x:v>
      </x:c>
      <x:c r="H217" t="str"/>
      <x:c r="I217" t="str">
        <x:v>Årlig beregnet, ikke målt</x:v>
      </x:c>
      <x:c r="J217" t="str">
        <x:v>01012015_31122015.csv</x:v>
      </x:c>
    </x:row>
    <x:row r="218" ht="22" customHeight="1">
      <x:c r="A218" t="str">
        <x:v>0bdaa27e2ea9</x:v>
      </x:c>
      <x:c r="B218" t="n">
        <x:v>2015</x:v>
      </x:c>
      <x:c r="C218" t="str">
        <x:v>Kulturbygg</x:v>
      </x:c>
      <x:c r="D218" t="str">
        <x:v>F</x:v>
      </x:c>
      <x:c r="E218" t="n">
        <x:v>2005</x:v>
      </x:c>
      <x:c r="F218" t="n">
        <x:v>279</x:v>
      </x:c>
      <x:c r="G218" t="str">
        <x:v>Simple</x:v>
      </x:c>
      <x:c r="H218" t="str"/>
      <x:c r="I218" t="str">
        <x:v>Årlig beregnet, ikke målt</x:v>
      </x:c>
      <x:c r="J218" t="str">
        <x:v>01012015_31122015.csv</x:v>
      </x:c>
    </x:row>
    <x:row r="219" ht="22" customHeight="1">
      <x:c r="A219" t="str">
        <x:v>ac3f31414650</x:v>
      </x:c>
      <x:c r="B219" t="n">
        <x:v>2015</x:v>
      </x:c>
      <x:c r="C219" t="str">
        <x:v>Kulturbygg</x:v>
      </x:c>
      <x:c r="D219" t="str">
        <x:v>G</x:v>
      </x:c>
      <x:c r="E219" t="n">
        <x:v>1957</x:v>
      </x:c>
      <x:c r="F219" t="n">
        <x:v>337</x:v>
      </x:c>
      <x:c r="G219" t="str">
        <x:v>Simple</x:v>
      </x:c>
      <x:c r="H219" t="str"/>
      <x:c r="I219" t="str">
        <x:v>Årlig beregnet, ikke målt</x:v>
      </x:c>
      <x:c r="J219" t="str">
        <x:v>01012015_31122015.csv</x:v>
      </x:c>
    </x:row>
    <x:row r="220" ht="22" customHeight="1">
      <x:c r="A220" t="str">
        <x:v>3c0ba941643e</x:v>
      </x:c>
      <x:c r="B220" t="n">
        <x:v>2015</x:v>
      </x:c>
      <x:c r="C220" t="str">
        <x:v>Kulturbygg</x:v>
      </x:c>
      <x:c r="D220" t="str">
        <x:v>G</x:v>
      </x:c>
      <x:c r="E220" t="n">
        <x:v>1875</x:v>
      </x:c>
      <x:c r="F220" t="n">
        <x:v>411.3</x:v>
      </x:c>
      <x:c r="G220" t="str">
        <x:v>Advanced</x:v>
      </x:c>
      <x:c r="H220" t="str"/>
      <x:c r="I220" t="str">
        <x:v>Årlig beregnet, ikke målt</x:v>
      </x:c>
      <x:c r="J220" t="str">
        <x:v>01012015_31122015.csv</x:v>
      </x:c>
    </x:row>
    <x:row r="221" ht="22" customHeight="1">
      <x:c r="A221" t="str">
        <x:v>ef3635b02f50</x:v>
      </x:c>
      <x:c r="B221" t="n">
        <x:v>2015</x:v>
      </x:c>
      <x:c r="C221" t="str">
        <x:v>Kulturbygg</x:v>
      </x:c>
      <x:c r="D221" t="str">
        <x:v>G</x:v>
      </x:c>
      <x:c r="E221" t="n">
        <x:v>1966</x:v>
      </x:c>
      <x:c r="F221" t="n">
        <x:v>482.9</x:v>
      </x:c>
      <x:c r="G221" t="str">
        <x:v>Simple</x:v>
      </x:c>
      <x:c r="H221" t="str"/>
      <x:c r="I221" t="str">
        <x:v>Årlig beregnet, ikke målt</x:v>
      </x:c>
      <x:c r="J221" t="str">
        <x:v>01012015_31122015.csv</x:v>
      </x:c>
    </x:row>
    <x:row r="222" ht="22" customHeight="1">
      <x:c r="A222" t="str">
        <x:v>160d9d237641</x:v>
      </x:c>
      <x:c r="B222" t="n">
        <x:v>2015</x:v>
      </x:c>
      <x:c r="C222" t="str">
        <x:v>Kulturbygg</x:v>
      </x:c>
      <x:c r="D222" t="str">
        <x:v>G</x:v>
      </x:c>
      <x:c r="E222" t="n">
        <x:v>1881</x:v>
      </x:c>
      <x:c r="F222" t="n">
        <x:v>340</x:v>
      </x:c>
      <x:c r="G222" t="str">
        <x:v>Simple</x:v>
      </x:c>
      <x:c r="H222" t="str"/>
      <x:c r="I222" t="str">
        <x:v>Årlig beregnet, ikke målt</x:v>
      </x:c>
      <x:c r="J222" t="str">
        <x:v>01012015_31122015.csv</x:v>
      </x:c>
    </x:row>
    <x:row r="223" ht="22" customHeight="1">
      <x:c r="A223" t="str">
        <x:v>2e1b376e2da7</x:v>
      </x:c>
      <x:c r="B223" t="n">
        <x:v>2015</x:v>
      </x:c>
      <x:c r="C223" t="str">
        <x:v>Kulturbygg</x:v>
      </x:c>
      <x:c r="D223" t="str">
        <x:v>G</x:v>
      </x:c>
      <x:c r="E223" t="n">
        <x:v>1906</x:v>
      </x:c>
      <x:c r="F223" t="n">
        <x:v>345</x:v>
      </x:c>
      <x:c r="G223" t="str">
        <x:v>Simple</x:v>
      </x:c>
      <x:c r="H223" t="str"/>
      <x:c r="I223" t="str">
        <x:v>Årlig beregnet, ikke målt</x:v>
      </x:c>
      <x:c r="J223" t="str">
        <x:v>01012015_31122015.csv</x:v>
      </x:c>
    </x:row>
    <x:row r="224" ht="22" customHeight="1">
      <x:c r="A224" t="str">
        <x:v>aac75978ab9e</x:v>
      </x:c>
      <x:c r="B224" t="n">
        <x:v>2015</x:v>
      </x:c>
      <x:c r="C224" t="str">
        <x:v>Lett Industri, Verksteder</x:v>
      </x:c>
      <x:c r="D224" t="str">
        <x:v>A</x:v>
      </x:c>
      <x:c r="E224" t="n">
        <x:v>2015</x:v>
      </x:c>
      <x:c r="F224" t="n">
        <x:v>87.4</x:v>
      </x:c>
      <x:c r="G224" t="str">
        <x:v>Advanced</x:v>
      </x:c>
      <x:c r="H224" t="str"/>
      <x:c r="I224" t="str">
        <x:v>Årlig beregnet, ikke målt</x:v>
      </x:c>
      <x:c r="J224" t="str">
        <x:v>01012015_31122015.csv</x:v>
      </x:c>
    </x:row>
    <x:row r="225" ht="22" customHeight="1">
      <x:c r="A225" t="str">
        <x:v>12e28a94807c</x:v>
      </x:c>
      <x:c r="B225" t="n">
        <x:v>2015</x:v>
      </x:c>
      <x:c r="C225" t="str">
        <x:v>Lett Industri, Verksteder</x:v>
      </x:c>
      <x:c r="D225" t="str">
        <x:v>A</x:v>
      </x:c>
      <x:c r="E225" t="n">
        <x:v>2013</x:v>
      </x:c>
      <x:c r="F225" t="n">
        <x:v>102.7</x:v>
      </x:c>
      <x:c r="G225" t="str">
        <x:v>Simple</x:v>
      </x:c>
      <x:c r="H225" t="str"/>
      <x:c r="I225" t="str">
        <x:v>Årlig beregnet, ikke målt</x:v>
      </x:c>
      <x:c r="J225" t="str">
        <x:v>01012015_31122015.csv</x:v>
      </x:c>
    </x:row>
    <x:row r="226" ht="22" customHeight="1">
      <x:c r="A226" t="str">
        <x:v>5f7093cc58f8</x:v>
      </x:c>
      <x:c r="B226" t="n">
        <x:v>2015</x:v>
      </x:c>
      <x:c r="C226" t="str">
        <x:v>Lett Industri, Verksteder</x:v>
      </x:c>
      <x:c r="D226" t="str">
        <x:v>A</x:v>
      </x:c>
      <x:c r="E226" t="n">
        <x:v>2015</x:v>
      </x:c>
      <x:c r="F226" t="n">
        <x:v>104.1</x:v>
      </x:c>
      <x:c r="G226" t="str">
        <x:v>Simple</x:v>
      </x:c>
      <x:c r="H226" t="str"/>
      <x:c r="I226" t="str">
        <x:v>Årlig beregnet, ikke målt</x:v>
      </x:c>
      <x:c r="J226" t="str">
        <x:v>01012015_31122015.csv</x:v>
      </x:c>
    </x:row>
    <x:row r="227" ht="22" customHeight="1">
      <x:c r="A227" t="str">
        <x:v>dda0581e29af</x:v>
      </x:c>
      <x:c r="B227" t="n">
        <x:v>2015</x:v>
      </x:c>
      <x:c r="C227" t="str">
        <x:v>Lett Industri, Verksteder</x:v>
      </x:c>
      <x:c r="D227" t="str">
        <x:v>A</x:v>
      </x:c>
      <x:c r="E227" t="n">
        <x:v>2013</x:v>
      </x:c>
      <x:c r="F227" t="n">
        <x:v>94.66</x:v>
      </x:c>
      <x:c r="G227" t="str">
        <x:v>Simple</x:v>
      </x:c>
      <x:c r="H227" t="str">
        <x:v>Stål</x:v>
      </x:c>
      <x:c r="I227" t="str">
        <x:v>Årlig beregnet, ikke målt</x:v>
      </x:c>
      <x:c r="J227" t="str">
        <x:v>01012015_31122015.csv</x:v>
      </x:c>
    </x:row>
    <x:row r="228" ht="22" customHeight="1">
      <x:c r="A228" t="str">
        <x:v>e4f9fd2ef811</x:v>
      </x:c>
      <x:c r="B228" t="n">
        <x:v>2015</x:v>
      </x:c>
      <x:c r="C228" t="str">
        <x:v>Lett Industri, Verksteder</x:v>
      </x:c>
      <x:c r="D228" t="str">
        <x:v>B</x:v>
      </x:c>
      <x:c r="E228" t="n">
        <x:v>2015</x:v>
      </x:c>
      <x:c r="F228" t="n">
        <x:v>119.2</x:v>
      </x:c>
      <x:c r="G228" t="str">
        <x:v>Advanced</x:v>
      </x:c>
      <x:c r="H228" t="str"/>
      <x:c r="I228" t="str">
        <x:v>Årlig beregnet, ikke målt</x:v>
      </x:c>
      <x:c r="J228" t="str">
        <x:v>01012015_31122015.csv</x:v>
      </x:c>
    </x:row>
    <x:row r="229" ht="22" customHeight="1">
      <x:c r="A229" t="str">
        <x:v>443aa776408c</x:v>
      </x:c>
      <x:c r="B229" t="n">
        <x:v>2015</x:v>
      </x:c>
      <x:c r="C229" t="str">
        <x:v>Lett Industri, Verksteder</x:v>
      </x:c>
      <x:c r="D229" t="str">
        <x:v>B</x:v>
      </x:c>
      <x:c r="E229" t="n">
        <x:v>2015</x:v>
      </x:c>
      <x:c r="F229" t="n">
        <x:v>112.2</x:v>
      </x:c>
      <x:c r="G229" t="str">
        <x:v>Simple</x:v>
      </x:c>
      <x:c r="H229" t="str"/>
      <x:c r="I229" t="str">
        <x:v>Årlig beregnet, ikke målt</x:v>
      </x:c>
      <x:c r="J229" t="str">
        <x:v>01012015_31122015.csv</x:v>
      </x:c>
    </x:row>
    <x:row r="230" ht="22" customHeight="1">
      <x:c r="A230" t="str">
        <x:v>baff01b00b73</x:v>
      </x:c>
      <x:c r="B230" t="n">
        <x:v>2015</x:v>
      </x:c>
      <x:c r="C230" t="str">
        <x:v>Lett Industri, Verksteder</x:v>
      </x:c>
      <x:c r="D230" t="str">
        <x:v>B</x:v>
      </x:c>
      <x:c r="E230" t="n">
        <x:v>2015</x:v>
      </x:c>
      <x:c r="F230" t="n">
        <x:v>110.8</x:v>
      </x:c>
      <x:c r="G230" t="str">
        <x:v>Advanced</x:v>
      </x:c>
      <x:c r="H230" t="str"/>
      <x:c r="I230" t="str">
        <x:v>Årlig beregnet, ikke målt</x:v>
      </x:c>
      <x:c r="J230" t="str">
        <x:v>01012015_31122015.csv</x:v>
      </x:c>
    </x:row>
    <x:row r="231" ht="22" customHeight="1">
      <x:c r="A231" t="str">
        <x:v>9420e69c5f00</x:v>
      </x:c>
      <x:c r="B231" t="n">
        <x:v>2015</x:v>
      </x:c>
      <x:c r="C231" t="str">
        <x:v>Lett Industri, Verksteder</x:v>
      </x:c>
      <x:c r="D231" t="str">
        <x:v>B</x:v>
      </x:c>
      <x:c r="E231" t="n">
        <x:v>2015</x:v>
      </x:c>
      <x:c r="F231" t="n">
        <x:v>114.2</x:v>
      </x:c>
      <x:c r="G231" t="str">
        <x:v>Simple</x:v>
      </x:c>
      <x:c r="H231" t="str"/>
      <x:c r="I231" t="str">
        <x:v>Årlig beregnet, ikke målt</x:v>
      </x:c>
      <x:c r="J231" t="str">
        <x:v>01012015_31122015.csv</x:v>
      </x:c>
    </x:row>
    <x:row r="232" ht="22" customHeight="1">
      <x:c r="A232" t="str">
        <x:v>b5325062fadf</x:v>
      </x:c>
      <x:c r="B232" t="n">
        <x:v>2015</x:v>
      </x:c>
      <x:c r="C232" t="str">
        <x:v>Lett Industri, Verksteder</x:v>
      </x:c>
      <x:c r="D232" t="str">
        <x:v>B</x:v>
      </x:c>
      <x:c r="E232" t="n">
        <x:v>2014</x:v>
      </x:c>
      <x:c r="F232" t="n">
        <x:v>115.7</x:v>
      </x:c>
      <x:c r="G232" t="str">
        <x:v>Simple</x:v>
      </x:c>
      <x:c r="H232" t="str"/>
      <x:c r="I232" t="str">
        <x:v>Årlig beregnet, ikke målt</x:v>
      </x:c>
      <x:c r="J232" t="str">
        <x:v>01012015_31122015.csv</x:v>
      </x:c>
    </x:row>
    <x:row r="233" ht="22" customHeight="1">
      <x:c r="A233" t="str">
        <x:v>27c4d11c72f2</x:v>
      </x:c>
      <x:c r="B233" t="n">
        <x:v>2015</x:v>
      </x:c>
      <x:c r="C233" t="str">
        <x:v>Lett Industri, Verksteder</x:v>
      </x:c>
      <x:c r="D233" t="str">
        <x:v>C</x:v>
      </x:c>
      <x:c r="E233" t="n">
        <x:v>2007</x:v>
      </x:c>
      <x:c r="F233" t="n">
        <x:v>165.6</x:v>
      </x:c>
      <x:c r="G233" t="str">
        <x:v>Simple</x:v>
      </x:c>
      <x:c r="H233" t="str"/>
      <x:c r="I233" t="str">
        <x:v>Årlig beregnet, ikke målt</x:v>
      </x:c>
      <x:c r="J233" t="str">
        <x:v>01012015_31122015.csv</x:v>
      </x:c>
    </x:row>
    <x:row r="234" ht="22" customHeight="1">
      <x:c r="A234" t="str">
        <x:v>e0e28f819f1b</x:v>
      </x:c>
      <x:c r="B234" t="n">
        <x:v>2015</x:v>
      </x:c>
      <x:c r="C234" t="str">
        <x:v>Lett Industri, Verksteder</x:v>
      </x:c>
      <x:c r="D234" t="str">
        <x:v>C</x:v>
      </x:c>
      <x:c r="E234" t="n">
        <x:v>2011</x:v>
      </x:c>
      <x:c r="F234" t="n">
        <x:v>158</x:v>
      </x:c>
      <x:c r="G234" t="str">
        <x:v>Advanced</x:v>
      </x:c>
      <x:c r="H234" t="str"/>
      <x:c r="I234" t="str">
        <x:v>Årlig beregnet, ikke målt</x:v>
      </x:c>
      <x:c r="J234" t="str">
        <x:v>01012015_31122015.csv</x:v>
      </x:c>
    </x:row>
    <x:row r="235" ht="22" customHeight="1">
      <x:c r="A235" t="str">
        <x:v>b09cfc3ef46d</x:v>
      </x:c>
      <x:c r="B235" t="n">
        <x:v>2015</x:v>
      </x:c>
      <x:c r="C235" t="str">
        <x:v>Lett Industri, Verksteder</x:v>
      </x:c>
      <x:c r="D235" t="str">
        <x:v>C</x:v>
      </x:c>
      <x:c r="E235" t="n">
        <x:v>2014</x:v>
      </x:c>
      <x:c r="F235" t="n">
        <x:v>182.1</x:v>
      </x:c>
      <x:c r="G235" t="str">
        <x:v>Simple</x:v>
      </x:c>
      <x:c r="H235" t="str"/>
      <x:c r="I235" t="str">
        <x:v>Årlig beregnet, ikke målt</x:v>
      </x:c>
      <x:c r="J235" t="str">
        <x:v>01012015_31122015.csv</x:v>
      </x:c>
    </x:row>
    <x:row r="236" ht="22" customHeight="1">
      <x:c r="A236" t="str">
        <x:v>5d51ebd4a017</x:v>
      </x:c>
      <x:c r="B236" t="n">
        <x:v>2015</x:v>
      </x:c>
      <x:c r="C236" t="str">
        <x:v>Lett Industri, Verksteder</x:v>
      </x:c>
      <x:c r="D236" t="str">
        <x:v>C</x:v>
      </x:c>
      <x:c r="E236" t="n">
        <x:v>1968</x:v>
      </x:c>
      <x:c r="F236" t="n">
        <x:v>173</x:v>
      </x:c>
      <x:c r="G236" t="str">
        <x:v>Simple</x:v>
      </x:c>
      <x:c r="H236" t="str"/>
      <x:c r="I236" t="str">
        <x:v>Årlig beregnet, ikke målt</x:v>
      </x:c>
      <x:c r="J236" t="str">
        <x:v>01012015_31122015.csv</x:v>
      </x:c>
    </x:row>
    <x:row r="237" ht="22" customHeight="1">
      <x:c r="A237" t="str">
        <x:v>65f45456e8b9</x:v>
      </x:c>
      <x:c r="B237" t="n">
        <x:v>2015</x:v>
      </x:c>
      <x:c r="C237" t="str">
        <x:v>Lett Industri, Verksteder</x:v>
      </x:c>
      <x:c r="D237" t="str">
        <x:v>C</x:v>
      </x:c>
      <x:c r="E237" t="n">
        <x:v>1975</x:v>
      </x:c>
      <x:c r="F237" t="n">
        <x:v>170.7</x:v>
      </x:c>
      <x:c r="G237" t="str">
        <x:v>Simple</x:v>
      </x:c>
      <x:c r="H237" t="str"/>
      <x:c r="I237" t="str">
        <x:v>Årlig beregnet, ikke målt</x:v>
      </x:c>
      <x:c r="J237" t="str">
        <x:v>01012015_31122015.csv</x:v>
      </x:c>
    </x:row>
    <x:row r="238" ht="22" customHeight="1">
      <x:c r="A238" t="str">
        <x:v>4693abc0fb19</x:v>
      </x:c>
      <x:c r="B238" t="n">
        <x:v>2015</x:v>
      </x:c>
      <x:c r="C238" t="str">
        <x:v>Lett Industri, Verksteder</x:v>
      </x:c>
      <x:c r="D238" t="str">
        <x:v>D</x:v>
      </x:c>
      <x:c r="E238" t="n">
        <x:v>1987</x:v>
      </x:c>
      <x:c r="F238" t="n">
        <x:v>191.2</x:v>
      </x:c>
      <x:c r="G238" t="str">
        <x:v>Simple</x:v>
      </x:c>
      <x:c r="H238" t="str"/>
      <x:c r="I238" t="str">
        <x:v>Årlig beregnet, ikke målt</x:v>
      </x:c>
      <x:c r="J238" t="str">
        <x:v>01012015_31122015.csv</x:v>
      </x:c>
    </x:row>
    <x:row r="239" ht="22" customHeight="1">
      <x:c r="A239" t="str">
        <x:v>16cfa4797deb</x:v>
      </x:c>
      <x:c r="B239" t="n">
        <x:v>2015</x:v>
      </x:c>
      <x:c r="C239" t="str">
        <x:v>Lett Industri, Verksteder</x:v>
      </x:c>
      <x:c r="D239" t="str">
        <x:v>D</x:v>
      </x:c>
      <x:c r="E239" t="n">
        <x:v>1993</x:v>
      </x:c>
      <x:c r="F239" t="n">
        <x:v>189.1</x:v>
      </x:c>
      <x:c r="G239" t="str">
        <x:v>Advanced</x:v>
      </x:c>
      <x:c r="H239" t="str"/>
      <x:c r="I239" t="str">
        <x:v>Årlig beregnet, ikke målt</x:v>
      </x:c>
      <x:c r="J239" t="str">
        <x:v>01012015_31122015.csv</x:v>
      </x:c>
    </x:row>
    <x:row r="240" ht="22" customHeight="1">
      <x:c r="A240" t="str">
        <x:v>c17cdc99e726</x:v>
      </x:c>
      <x:c r="B240" t="n">
        <x:v>2015</x:v>
      </x:c>
      <x:c r="C240" t="str">
        <x:v>Lett Industri, Verksteder</x:v>
      </x:c>
      <x:c r="D240" t="str">
        <x:v>D</x:v>
      </x:c>
      <x:c r="E240" t="n">
        <x:v>2004</x:v>
      </x:c>
      <x:c r="F240" t="n">
        <x:v>240.3</x:v>
      </x:c>
      <x:c r="G240" t="str">
        <x:v>Simple</x:v>
      </x:c>
      <x:c r="H240" t="str"/>
      <x:c r="I240" t="str">
        <x:v>Årlig beregnet, ikke målt</x:v>
      </x:c>
      <x:c r="J240" t="str">
        <x:v>01012015_31122015.csv</x:v>
      </x:c>
    </x:row>
    <x:row r="241" ht="22" customHeight="1">
      <x:c r="A241" t="str">
        <x:v>2235f71d2374</x:v>
      </x:c>
      <x:c r="B241" t="n">
        <x:v>2015</x:v>
      </x:c>
      <x:c r="C241" t="str">
        <x:v>Lett Industri, Verksteder</x:v>
      </x:c>
      <x:c r="D241" t="str">
        <x:v>D</x:v>
      </x:c>
      <x:c r="E241" t="n">
        <x:v>2011</x:v>
      </x:c>
      <x:c r="F241" t="n">
        <x:v>238.8</x:v>
      </x:c>
      <x:c r="G241" t="str">
        <x:v>Simple</x:v>
      </x:c>
      <x:c r="H241" t="str"/>
      <x:c r="I241" t="str">
        <x:v>Årlig beregnet, ikke målt</x:v>
      </x:c>
      <x:c r="J241" t="str">
        <x:v>01012015_31122015.csv</x:v>
      </x:c>
    </x:row>
    <x:row r="242" ht="22" customHeight="1">
      <x:c r="A242" t="str">
        <x:v>81346f315c1c</x:v>
      </x:c>
      <x:c r="B242" t="n">
        <x:v>2015</x:v>
      </x:c>
      <x:c r="C242" t="str">
        <x:v>Lett Industri, Verksteder</x:v>
      </x:c>
      <x:c r="D242" t="str">
        <x:v>D</x:v>
      </x:c>
      <x:c r="E242" t="n">
        <x:v>1999</x:v>
      </x:c>
      <x:c r="F242" t="n">
        <x:v>245.7</x:v>
      </x:c>
      <x:c r="G242" t="str">
        <x:v>Simple</x:v>
      </x:c>
      <x:c r="H242" t="str"/>
      <x:c r="I242" t="str">
        <x:v>Årlig beregnet, ikke målt</x:v>
      </x:c>
      <x:c r="J242" t="str">
        <x:v>01012015_31122015.csv</x:v>
      </x:c>
    </x:row>
    <x:row r="243" ht="22" customHeight="1">
      <x:c r="A243" t="str">
        <x:v>fe611edfe94f</x:v>
      </x:c>
      <x:c r="B243" t="n">
        <x:v>2015</x:v>
      </x:c>
      <x:c r="C243" t="str">
        <x:v>Lett Industri, Verksteder</x:v>
      </x:c>
      <x:c r="D243" t="str">
        <x:v>E</x:v>
      </x:c>
      <x:c r="E243" t="n">
        <x:v>1986</x:v>
      </x:c>
      <x:c r="F243" t="n">
        <x:v>282.3</x:v>
      </x:c>
      <x:c r="G243" t="str">
        <x:v>Simple</x:v>
      </x:c>
      <x:c r="H243" t="str"/>
      <x:c r="I243" t="str">
        <x:v>Årlig beregnet, ikke målt</x:v>
      </x:c>
      <x:c r="J243" t="str">
        <x:v>01012015_31122015.csv</x:v>
      </x:c>
    </x:row>
    <x:row r="244" ht="22" customHeight="1">
      <x:c r="A244" t="str">
        <x:v>d60627f7835b</x:v>
      </x:c>
      <x:c r="B244" t="n">
        <x:v>2015</x:v>
      </x:c>
      <x:c r="C244" t="str">
        <x:v>Lett Industri, Verksteder</x:v>
      </x:c>
      <x:c r="D244" t="str">
        <x:v>E</x:v>
      </x:c>
      <x:c r="E244" t="n">
        <x:v>2007</x:v>
      </x:c>
      <x:c r="F244" t="n">
        <x:v>272.1</x:v>
      </x:c>
      <x:c r="G244" t="str">
        <x:v>Simple</x:v>
      </x:c>
      <x:c r="H244" t="str"/>
      <x:c r="I244" t="str">
        <x:v>Årlig beregnet, ikke målt</x:v>
      </x:c>
      <x:c r="J244" t="str">
        <x:v>01012015_31122015.csv</x:v>
      </x:c>
    </x:row>
    <x:row r="245" ht="22" customHeight="1">
      <x:c r="A245" t="str">
        <x:v>aad613b51fb1</x:v>
      </x:c>
      <x:c r="B245" t="n">
        <x:v>2015</x:v>
      </x:c>
      <x:c r="C245" t="str">
        <x:v>Lett Industri, Verksteder</x:v>
      </x:c>
      <x:c r="D245" t="str">
        <x:v>E</x:v>
      </x:c>
      <x:c r="E245" t="n">
        <x:v>1980</x:v>
      </x:c>
      <x:c r="F245" t="n">
        <x:v>299.53</x:v>
      </x:c>
      <x:c r="G245" t="str">
        <x:v>Simple</x:v>
      </x:c>
      <x:c r="H245" t="str">
        <x:v>Stål</x:v>
      </x:c>
      <x:c r="I245" t="str">
        <x:v>Årlig beregnet, ikke målt</x:v>
      </x:c>
      <x:c r="J245" t="str">
        <x:v>01012015_31122015.csv</x:v>
      </x:c>
    </x:row>
    <x:row r="246" ht="22" customHeight="1">
      <x:c r="A246" t="str">
        <x:v>484844144272</x:v>
      </x:c>
      <x:c r="B246" t="n">
        <x:v>2015</x:v>
      </x:c>
      <x:c r="C246" t="str">
        <x:v>Lett Industri, Verksteder</x:v>
      </x:c>
      <x:c r="D246" t="str">
        <x:v>E</x:v>
      </x:c>
      <x:c r="E246" t="n">
        <x:v>1996</x:v>
      </x:c>
      <x:c r="F246" t="n">
        <x:v>309.95</x:v>
      </x:c>
      <x:c r="G246" t="str">
        <x:v>Simple</x:v>
      </x:c>
      <x:c r="H246" t="str">
        <x:v>Tre</x:v>
      </x:c>
      <x:c r="I246" t="str">
        <x:v>Årlig beregnet, ikke målt</x:v>
      </x:c>
      <x:c r="J246" t="str">
        <x:v>01012015_31122015.csv</x:v>
      </x:c>
    </x:row>
    <x:row r="247" ht="22" customHeight="1">
      <x:c r="A247" t="str">
        <x:v>81f0d4ace6c1</x:v>
      </x:c>
      <x:c r="B247" t="n">
        <x:v>2015</x:v>
      </x:c>
      <x:c r="C247" t="str">
        <x:v>Lett Industri, Verksteder</x:v>
      </x:c>
      <x:c r="D247" t="str">
        <x:v>E</x:v>
      </x:c>
      <x:c r="E247" t="n">
        <x:v>1997</x:v>
      </x:c>
      <x:c r="F247" t="n">
        <x:v>265.4</x:v>
      </x:c>
      <x:c r="G247" t="str">
        <x:v>Simple</x:v>
      </x:c>
      <x:c r="H247" t="str"/>
      <x:c r="I247" t="str">
        <x:v>Årlig beregnet, ikke målt</x:v>
      </x:c>
      <x:c r="J247" t="str">
        <x:v>01012015_31122015.csv</x:v>
      </x:c>
    </x:row>
    <x:row r="248" ht="22" customHeight="1">
      <x:c r="A248" t="str">
        <x:v>86788ff9eda0</x:v>
      </x:c>
      <x:c r="B248" t="n">
        <x:v>2015</x:v>
      </x:c>
      <x:c r="C248" t="str">
        <x:v>Lett Industri, Verksteder</x:v>
      </x:c>
      <x:c r="D248" t="str">
        <x:v>F</x:v>
      </x:c>
      <x:c r="E248" t="n">
        <x:v>1988</x:v>
      </x:c>
      <x:c r="F248" t="n">
        <x:v>344.6</x:v>
      </x:c>
      <x:c r="G248" t="str">
        <x:v>Simple</x:v>
      </x:c>
      <x:c r="H248" t="str"/>
      <x:c r="I248" t="str">
        <x:v>Årlig beregnet, ikke målt</x:v>
      </x:c>
      <x:c r="J248" t="str">
        <x:v>01012015_31122015.csv</x:v>
      </x:c>
    </x:row>
    <x:row r="249" ht="22" customHeight="1">
      <x:c r="A249" t="str">
        <x:v>de6a2255a429</x:v>
      </x:c>
      <x:c r="B249" t="n">
        <x:v>2015</x:v>
      </x:c>
      <x:c r="C249" t="str">
        <x:v>Lett Industri, Verksteder</x:v>
      </x:c>
      <x:c r="D249" t="str">
        <x:v>F</x:v>
      </x:c>
      <x:c r="E249" t="n">
        <x:v>1989</x:v>
      </x:c>
      <x:c r="F249" t="n">
        <x:v>363</x:v>
      </x:c>
      <x:c r="G249" t="str">
        <x:v>Simple</x:v>
      </x:c>
      <x:c r="H249" t="str"/>
      <x:c r="I249" t="str">
        <x:v>Årlig beregnet, ikke målt</x:v>
      </x:c>
      <x:c r="J249" t="str">
        <x:v>01012015_31122015.csv</x:v>
      </x:c>
    </x:row>
    <x:row r="250" ht="22" customHeight="1">
      <x:c r="A250" t="str">
        <x:v>dd192bf98a6a</x:v>
      </x:c>
      <x:c r="B250" t="n">
        <x:v>2015</x:v>
      </x:c>
      <x:c r="C250" t="str">
        <x:v>Lett Industri, Verksteder</x:v>
      </x:c>
      <x:c r="D250" t="str">
        <x:v>F</x:v>
      </x:c>
      <x:c r="E250" t="n">
        <x:v>2000</x:v>
      </x:c>
      <x:c r="F250" t="n">
        <x:v>343.1</x:v>
      </x:c>
      <x:c r="G250" t="str">
        <x:v>Simple</x:v>
      </x:c>
      <x:c r="H250" t="str"/>
      <x:c r="I250" t="str">
        <x:v>Årlig beregnet, ikke målt</x:v>
      </x:c>
      <x:c r="J250" t="str">
        <x:v>01012015_31122015.csv</x:v>
      </x:c>
    </x:row>
    <x:row r="251" ht="22" customHeight="1">
      <x:c r="A251" t="str">
        <x:v>6fd4b4d8a1ae</x:v>
      </x:c>
      <x:c r="B251" t="n">
        <x:v>2015</x:v>
      </x:c>
      <x:c r="C251" t="str">
        <x:v>Lett Industri, Verksteder</x:v>
      </x:c>
      <x:c r="D251" t="str">
        <x:v>F</x:v>
      </x:c>
      <x:c r="E251" t="n">
        <x:v>1911</x:v>
      </x:c>
      <x:c r="F251" t="n">
        <x:v>360</x:v>
      </x:c>
      <x:c r="G251" t="str">
        <x:v>Simple</x:v>
      </x:c>
      <x:c r="H251" t="str"/>
      <x:c r="I251" t="str">
        <x:v>Årlig beregnet, ikke målt</x:v>
      </x:c>
      <x:c r="J251" t="str">
        <x:v>01012015_31122015.csv</x:v>
      </x:c>
    </x:row>
    <x:row r="252" ht="22" customHeight="1">
      <x:c r="A252" t="str">
        <x:v>08d97dab3854</x:v>
      </x:c>
      <x:c r="B252" t="n">
        <x:v>2015</x:v>
      </x:c>
      <x:c r="C252" t="str">
        <x:v>Lett Industri, Verksteder</x:v>
      </x:c>
      <x:c r="D252" t="str">
        <x:v>F</x:v>
      </x:c>
      <x:c r="E252" t="n">
        <x:v>1970</x:v>
      </x:c>
      <x:c r="F252" t="n">
        <x:v>370.4</x:v>
      </x:c>
      <x:c r="G252" t="str">
        <x:v>Simple</x:v>
      </x:c>
      <x:c r="H252" t="str"/>
      <x:c r="I252" t="str">
        <x:v>Årlig beregnet, ikke målt</x:v>
      </x:c>
      <x:c r="J252" t="str">
        <x:v>01012015_31122015.csv</x:v>
      </x:c>
    </x:row>
    <x:row r="253" ht="22" customHeight="1">
      <x:c r="A253" t="str">
        <x:v>3200d057f86a</x:v>
      </x:c>
      <x:c r="B253" t="n">
        <x:v>2015</x:v>
      </x:c>
      <x:c r="C253" t="str">
        <x:v>Lett Industri, Verksteder</x:v>
      </x:c>
      <x:c r="D253" t="str">
        <x:v>G</x:v>
      </x:c>
      <x:c r="E253" t="n">
        <x:v>1967</x:v>
      </x:c>
      <x:c r="F253" t="n">
        <x:v>437.4</x:v>
      </x:c>
      <x:c r="G253" t="str">
        <x:v>Simple</x:v>
      </x:c>
      <x:c r="H253" t="str"/>
      <x:c r="I253" t="str">
        <x:v>Årlig beregnet, ikke målt</x:v>
      </x:c>
      <x:c r="J253" t="str">
        <x:v>01012015_31122015.csv</x:v>
      </x:c>
    </x:row>
    <x:row r="254" ht="22" customHeight="1">
      <x:c r="A254" t="str">
        <x:v>0149247f80f6</x:v>
      </x:c>
      <x:c r="B254" t="n">
        <x:v>2015</x:v>
      </x:c>
      <x:c r="C254" t="str">
        <x:v>Lett Industri, Verksteder</x:v>
      </x:c>
      <x:c r="D254" t="str">
        <x:v>G</x:v>
      </x:c>
      <x:c r="E254" t="n">
        <x:v>1967</x:v>
      </x:c>
      <x:c r="F254" t="n">
        <x:v>465.03</x:v>
      </x:c>
      <x:c r="G254" t="str">
        <x:v>Simple</x:v>
      </x:c>
      <x:c r="H254" t="str">
        <x:v>Betong</x:v>
      </x:c>
      <x:c r="I254" t="str">
        <x:v>Årlig beregnet, ikke målt</x:v>
      </x:c>
      <x:c r="J254" t="str">
        <x:v>01012015_31122015.csv</x:v>
      </x:c>
    </x:row>
    <x:row r="255" ht="22" customHeight="1">
      <x:c r="A255" t="str">
        <x:v>b2bb0ebb3f1a</x:v>
      </x:c>
      <x:c r="B255" t="n">
        <x:v>2015</x:v>
      </x:c>
      <x:c r="C255" t="str">
        <x:v>Lett Industri, Verksteder</x:v>
      </x:c>
      <x:c r="D255" t="str">
        <x:v>G</x:v>
      </x:c>
      <x:c r="E255" t="n">
        <x:v>1977</x:v>
      </x:c>
      <x:c r="F255" t="n">
        <x:v>434</x:v>
      </x:c>
      <x:c r="G255" t="str">
        <x:v>Simple</x:v>
      </x:c>
      <x:c r="H255" t="str"/>
      <x:c r="I255" t="str">
        <x:v>Årlig beregnet, ikke målt</x:v>
      </x:c>
      <x:c r="J255" t="str">
        <x:v>01012015_31122015.csv</x:v>
      </x:c>
    </x:row>
    <x:row r="256" ht="22" customHeight="1">
      <x:c r="A256" t="str">
        <x:v>eb4c1ff3c1b7</x:v>
      </x:c>
      <x:c r="B256" t="n">
        <x:v>2015</x:v>
      </x:c>
      <x:c r="C256" t="str">
        <x:v>Lett Industri, Verksteder</x:v>
      </x:c>
      <x:c r="D256" t="str">
        <x:v>G</x:v>
      </x:c>
      <x:c r="E256" t="n">
        <x:v>1989</x:v>
      </x:c>
      <x:c r="F256" t="n">
        <x:v>725.8</x:v>
      </x:c>
      <x:c r="G256" t="str">
        <x:v>Simple</x:v>
      </x:c>
      <x:c r="H256" t="str"/>
      <x:c r="I256" t="str">
        <x:v>Årlig beregnet, ikke målt</x:v>
      </x:c>
      <x:c r="J256" t="str">
        <x:v>01012015_31122015.csv</x:v>
      </x:c>
    </x:row>
    <x:row r="257" ht="22" customHeight="1">
      <x:c r="A257" t="str">
        <x:v>775947cfab07</x:v>
      </x:c>
      <x:c r="B257" t="n">
        <x:v>2015</x:v>
      </x:c>
      <x:c r="C257" t="str">
        <x:v>Lett Industri, Verksteder</x:v>
      </x:c>
      <x:c r="D257" t="str">
        <x:v>G</x:v>
      </x:c>
      <x:c r="E257" t="n">
        <x:v>1973</x:v>
      </x:c>
      <x:c r="F257" t="n">
        <x:v>460.6</x:v>
      </x:c>
      <x:c r="G257" t="str">
        <x:v>Simple</x:v>
      </x:c>
      <x:c r="H257" t="str"/>
      <x:c r="I257" t="str">
        <x:v>Årlig beregnet, ikke målt</x:v>
      </x:c>
      <x:c r="J257" t="str">
        <x:v>01012015_31122015.csv</x:v>
      </x:c>
    </x:row>
    <x:row r="258" ht="22" customHeight="1">
      <x:c r="A258" t="str">
        <x:v>ef8f13521940</x:v>
      </x:c>
      <x:c r="B258" t="n">
        <x:v>2015</x:v>
      </x:c>
      <x:c r="C258" t="str">
        <x:v>Skolebygg</x:v>
      </x:c>
      <x:c r="D258" t="str">
        <x:v>A</x:v>
      </x:c>
      <x:c r="E258" t="n">
        <x:v>2015</x:v>
      </x:c>
      <x:c r="F258" t="n">
        <x:v>63.3</x:v>
      </x:c>
      <x:c r="G258" t="str">
        <x:v>Advanced</x:v>
      </x:c>
      <x:c r="H258" t="str"/>
      <x:c r="I258" t="str">
        <x:v>Årlig beregnet, ikke målt</x:v>
      </x:c>
      <x:c r="J258" t="str">
        <x:v>01012015_31122015.csv</x:v>
      </x:c>
    </x:row>
    <x:row r="259" ht="22" customHeight="1">
      <x:c r="A259" t="str">
        <x:v>e69aee77f533</x:v>
      </x:c>
      <x:c r="B259" t="n">
        <x:v>2015</x:v>
      </x:c>
      <x:c r="C259" t="str">
        <x:v>Skolebygg</x:v>
      </x:c>
      <x:c r="D259" t="str">
        <x:v>A</x:v>
      </x:c>
      <x:c r="E259" t="n">
        <x:v>2014</x:v>
      </x:c>
      <x:c r="F259" t="n">
        <x:v>68</x:v>
      </x:c>
      <x:c r="G259" t="str">
        <x:v>Simple</x:v>
      </x:c>
      <x:c r="H259" t="str"/>
      <x:c r="I259" t="str">
        <x:v>Årlig beregnet, ikke målt</x:v>
      </x:c>
      <x:c r="J259" t="str">
        <x:v>01012015_31122015.csv</x:v>
      </x:c>
    </x:row>
    <x:row r="260" ht="22" customHeight="1">
      <x:c r="A260" t="str">
        <x:v>63af1b2588d0</x:v>
      </x:c>
      <x:c r="B260" t="n">
        <x:v>2015</x:v>
      </x:c>
      <x:c r="C260" t="str">
        <x:v>Skolebygg</x:v>
      </x:c>
      <x:c r="D260" t="str">
        <x:v>A</x:v>
      </x:c>
      <x:c r="E260" t="n">
        <x:v>2015</x:v>
      </x:c>
      <x:c r="F260" t="n">
        <x:v>53.1</x:v>
      </x:c>
      <x:c r="G260" t="str">
        <x:v>Advanced</x:v>
      </x:c>
      <x:c r="H260" t="str"/>
      <x:c r="I260" t="str">
        <x:v>Årlig beregnet, ikke målt</x:v>
      </x:c>
      <x:c r="J260" t="str">
        <x:v>01012015_31122015.csv</x:v>
      </x:c>
    </x:row>
    <x:row r="261" ht="22" customHeight="1">
      <x:c r="A261" t="str">
        <x:v>b85dc06cb870</x:v>
      </x:c>
      <x:c r="B261" t="n">
        <x:v>2015</x:v>
      </x:c>
      <x:c r="C261" t="str">
        <x:v>Skolebygg</x:v>
      </x:c>
      <x:c r="D261" t="str">
        <x:v>A</x:v>
      </x:c>
      <x:c r="E261" t="n">
        <x:v>2015</x:v>
      </x:c>
      <x:c r="F261" t="n">
        <x:v>67.2</x:v>
      </x:c>
      <x:c r="G261" t="str">
        <x:v>Simple</x:v>
      </x:c>
      <x:c r="H261" t="str"/>
      <x:c r="I261" t="str">
        <x:v>Årlig beregnet, ikke målt</x:v>
      </x:c>
      <x:c r="J261" t="str">
        <x:v>01012015_31122015.csv</x:v>
      </x:c>
    </x:row>
    <x:row r="262" ht="22" customHeight="1">
      <x:c r="A262" t="str">
        <x:v>730b7a3020cc</x:v>
      </x:c>
      <x:c r="B262" t="n">
        <x:v>2015</x:v>
      </x:c>
      <x:c r="C262" t="str">
        <x:v>Skolebygg</x:v>
      </x:c>
      <x:c r="D262" t="str">
        <x:v>A</x:v>
      </x:c>
      <x:c r="E262" t="n">
        <x:v>2015</x:v>
      </x:c>
      <x:c r="F262" t="n">
        <x:v>68.1</x:v>
      </x:c>
      <x:c r="G262" t="str">
        <x:v>Simple</x:v>
      </x:c>
      <x:c r="H262" t="str"/>
      <x:c r="I262" t="str">
        <x:v>Årlig beregnet, ikke målt</x:v>
      </x:c>
      <x:c r="J262" t="str">
        <x:v>01012015_31122015.csv</x:v>
      </x:c>
    </x:row>
    <x:row r="263" ht="22" customHeight="1">
      <x:c r="A263" t="str">
        <x:v>f7b7723cb81d</x:v>
      </x:c>
      <x:c r="B263" t="n">
        <x:v>2015</x:v>
      </x:c>
      <x:c r="C263" t="str">
        <x:v>Skolebygg</x:v>
      </x:c>
      <x:c r="D263" t="str">
        <x:v>B</x:v>
      </x:c>
      <x:c r="E263" t="n">
        <x:v>2015</x:v>
      </x:c>
      <x:c r="F263" t="n">
        <x:v>93</x:v>
      </x:c>
      <x:c r="G263" t="str">
        <x:v>Advanced</x:v>
      </x:c>
      <x:c r="H263" t="str"/>
      <x:c r="I263" t="str">
        <x:v>Årlig beregnet, ikke målt</x:v>
      </x:c>
      <x:c r="J263" t="str">
        <x:v>01012015_31122015.csv</x:v>
      </x:c>
    </x:row>
    <x:row r="264" ht="22" customHeight="1">
      <x:c r="A264" t="str">
        <x:v>6bc669de6e74</x:v>
      </x:c>
      <x:c r="B264" t="n">
        <x:v>2015</x:v>
      </x:c>
      <x:c r="C264" t="str">
        <x:v>Skolebygg</x:v>
      </x:c>
      <x:c r="D264" t="str">
        <x:v>B</x:v>
      </x:c>
      <x:c r="E264" t="n">
        <x:v>2013</x:v>
      </x:c>
      <x:c r="F264" t="n">
        <x:v>91.1</x:v>
      </x:c>
      <x:c r="G264" t="str">
        <x:v>Simple</x:v>
      </x:c>
      <x:c r="H264" t="str"/>
      <x:c r="I264" t="str">
        <x:v>Årlig beregnet, ikke målt</x:v>
      </x:c>
      <x:c r="J264" t="str">
        <x:v>01012015_31122015.csv</x:v>
      </x:c>
    </x:row>
    <x:row r="265" ht="22" customHeight="1">
      <x:c r="A265" t="str">
        <x:v>2def5c0bd4bb</x:v>
      </x:c>
      <x:c r="B265" t="n">
        <x:v>2015</x:v>
      </x:c>
      <x:c r="C265" t="str">
        <x:v>Skolebygg</x:v>
      </x:c>
      <x:c r="D265" t="str">
        <x:v>B</x:v>
      </x:c>
      <x:c r="E265" t="n">
        <x:v>2015</x:v>
      </x:c>
      <x:c r="F265" t="n">
        <x:v>94.9</x:v>
      </x:c>
      <x:c r="G265" t="str">
        <x:v>Advanced</x:v>
      </x:c>
      <x:c r="H265" t="str"/>
      <x:c r="I265" t="str">
        <x:v>Årlig beregnet, ikke målt</x:v>
      </x:c>
      <x:c r="J265" t="str">
        <x:v>01012015_31122015.csv</x:v>
      </x:c>
    </x:row>
    <x:row r="266" ht="22" customHeight="1">
      <x:c r="A266" t="str">
        <x:v>f45af4981876</x:v>
      </x:c>
      <x:c r="B266" t="n">
        <x:v>2015</x:v>
      </x:c>
      <x:c r="C266" t="str">
        <x:v>Skolebygg</x:v>
      </x:c>
      <x:c r="D266" t="str">
        <x:v>B</x:v>
      </x:c>
      <x:c r="E266" t="n">
        <x:v>2015</x:v>
      </x:c>
      <x:c r="F266" t="n">
        <x:v>97.8</x:v>
      </x:c>
      <x:c r="G266" t="str">
        <x:v>Simple</x:v>
      </x:c>
      <x:c r="H266" t="str"/>
      <x:c r="I266" t="str">
        <x:v>Årlig beregnet, ikke målt</x:v>
      </x:c>
      <x:c r="J266" t="str">
        <x:v>01012015_31122015.csv</x:v>
      </x:c>
    </x:row>
    <x:row r="267" ht="22" customHeight="1">
      <x:c r="A267" t="str">
        <x:v>e010daa22474</x:v>
      </x:c>
      <x:c r="B267" t="n">
        <x:v>2015</x:v>
      </x:c>
      <x:c r="C267" t="str">
        <x:v>Skolebygg</x:v>
      </x:c>
      <x:c r="D267" t="str">
        <x:v>B</x:v>
      </x:c>
      <x:c r="E267" t="n">
        <x:v>2008</x:v>
      </x:c>
      <x:c r="F267" t="n">
        <x:v>88.6</x:v>
      </x:c>
      <x:c r="G267" t="str">
        <x:v>Simple</x:v>
      </x:c>
      <x:c r="H267" t="str"/>
      <x:c r="I267" t="str">
        <x:v>Årlig beregnet, ikke målt</x:v>
      </x:c>
      <x:c r="J267" t="str">
        <x:v>01012015_31122015.csv</x:v>
      </x:c>
    </x:row>
    <x:row r="268" ht="22" customHeight="1">
      <x:c r="A268" t="str">
        <x:v>c2d9ed0104d7</x:v>
      </x:c>
      <x:c r="B268" t="n">
        <x:v>2015</x:v>
      </x:c>
      <x:c r="C268" t="str">
        <x:v>Skolebygg</x:v>
      </x:c>
      <x:c r="D268" t="str">
        <x:v>C</x:v>
      </x:c>
      <x:c r="E268" t="n">
        <x:v>1968</x:v>
      </x:c>
      <x:c r="F268" t="n">
        <x:v>134.6</x:v>
      </x:c>
      <x:c r="G268" t="str">
        <x:v>Simple</x:v>
      </x:c>
      <x:c r="H268" t="str"/>
      <x:c r="I268" t="str">
        <x:v>Årlig beregnet, ikke målt</x:v>
      </x:c>
      <x:c r="J268" t="str">
        <x:v>01012015_31122015.csv</x:v>
      </x:c>
    </x:row>
    <x:row r="269" ht="22" customHeight="1">
      <x:c r="A269" t="str">
        <x:v>7586cfc4c10a</x:v>
      </x:c>
      <x:c r="B269" t="n">
        <x:v>2015</x:v>
      </x:c>
      <x:c r="C269" t="str">
        <x:v>Skolebygg</x:v>
      </x:c>
      <x:c r="D269" t="str">
        <x:v>C</x:v>
      </x:c>
      <x:c r="E269" t="n">
        <x:v>2014</x:v>
      </x:c>
      <x:c r="F269" t="n">
        <x:v>111.5</x:v>
      </x:c>
      <x:c r="G269" t="str">
        <x:v>Simple</x:v>
      </x:c>
      <x:c r="H269" t="str"/>
      <x:c r="I269" t="str">
        <x:v>Årlig beregnet, ikke målt</x:v>
      </x:c>
      <x:c r="J269" t="str">
        <x:v>01012015_31122015.csv</x:v>
      </x:c>
    </x:row>
    <x:row r="270" ht="22" customHeight="1">
      <x:c r="A270" t="str">
        <x:v>fefefd955908</x:v>
      </x:c>
      <x:c r="B270" t="n">
        <x:v>2015</x:v>
      </x:c>
      <x:c r="C270" t="str">
        <x:v>Skolebygg</x:v>
      </x:c>
      <x:c r="D270" t="str">
        <x:v>C</x:v>
      </x:c>
      <x:c r="E270" t="n">
        <x:v>1978</x:v>
      </x:c>
      <x:c r="F270" t="n">
        <x:v>111.7</x:v>
      </x:c>
      <x:c r="G270" t="str">
        <x:v>Simple</x:v>
      </x:c>
      <x:c r="H270" t="str"/>
      <x:c r="I270" t="str">
        <x:v>Årlig beregnet, ikke målt</x:v>
      </x:c>
      <x:c r="J270" t="str">
        <x:v>01012015_31122015.csv</x:v>
      </x:c>
    </x:row>
    <x:row r="271" ht="22" customHeight="1">
      <x:c r="A271" t="str">
        <x:v>23931dcf649a</x:v>
      </x:c>
      <x:c r="B271" t="n">
        <x:v>2015</x:v>
      </x:c>
      <x:c r="C271" t="str">
        <x:v>Skolebygg</x:v>
      </x:c>
      <x:c r="D271" t="str">
        <x:v>C</x:v>
      </x:c>
      <x:c r="E271" t="n">
        <x:v>2000</x:v>
      </x:c>
      <x:c r="F271" t="n">
        <x:v>113.3</x:v>
      </x:c>
      <x:c r="G271" t="str">
        <x:v>Simple</x:v>
      </x:c>
      <x:c r="H271" t="str"/>
      <x:c r="I271" t="str">
        <x:v>Årlig beregnet, ikke målt</x:v>
      </x:c>
      <x:c r="J271" t="str">
        <x:v>01012015_31122015.csv</x:v>
      </x:c>
    </x:row>
    <x:row r="272" ht="22" customHeight="1">
      <x:c r="A272" t="str">
        <x:v>de49a0384382</x:v>
      </x:c>
      <x:c r="B272" t="n">
        <x:v>2015</x:v>
      </x:c>
      <x:c r="C272" t="str">
        <x:v>Skolebygg</x:v>
      </x:c>
      <x:c r="D272" t="str">
        <x:v>C</x:v>
      </x:c>
      <x:c r="E272" t="n">
        <x:v>1971</x:v>
      </x:c>
      <x:c r="F272" t="n">
        <x:v>134.4</x:v>
      </x:c>
      <x:c r="G272" t="str">
        <x:v>Simple</x:v>
      </x:c>
      <x:c r="H272" t="str"/>
      <x:c r="I272" t="str">
        <x:v>Årlig beregnet, ikke målt</x:v>
      </x:c>
      <x:c r="J272" t="str">
        <x:v>01012015_31122015.csv</x:v>
      </x:c>
    </x:row>
    <x:row r="273" ht="22" customHeight="1">
      <x:c r="A273" t="str">
        <x:v>536840e1f79a</x:v>
      </x:c>
      <x:c r="B273" t="n">
        <x:v>2015</x:v>
      </x:c>
      <x:c r="C273" t="str">
        <x:v>Skolebygg</x:v>
      </x:c>
      <x:c r="D273" t="str">
        <x:v>D</x:v>
      </x:c>
      <x:c r="E273" t="n">
        <x:v>2003</x:v>
      </x:c>
      <x:c r="F273" t="n">
        <x:v>159.2</x:v>
      </x:c>
      <x:c r="G273" t="str">
        <x:v>Simple</x:v>
      </x:c>
      <x:c r="H273" t="str"/>
      <x:c r="I273" t="str">
        <x:v>Årlig beregnet, ikke målt</x:v>
      </x:c>
      <x:c r="J273" t="str">
        <x:v>01012015_31122015.csv</x:v>
      </x:c>
    </x:row>
    <x:row r="274" ht="22" customHeight="1">
      <x:c r="A274" t="str">
        <x:v>d7adbf321cbc</x:v>
      </x:c>
      <x:c r="B274" t="n">
        <x:v>2015</x:v>
      </x:c>
      <x:c r="C274" t="str">
        <x:v>Skolebygg</x:v>
      </x:c>
      <x:c r="D274" t="str">
        <x:v>D</x:v>
      </x:c>
      <x:c r="E274" t="n">
        <x:v>1982</x:v>
      </x:c>
      <x:c r="F274" t="n">
        <x:v>165.3</x:v>
      </x:c>
      <x:c r="G274" t="str">
        <x:v>Simple</x:v>
      </x:c>
      <x:c r="H274" t="str"/>
      <x:c r="I274" t="str">
        <x:v>Årlig beregnet, ikke målt</x:v>
      </x:c>
      <x:c r="J274" t="str">
        <x:v>01012015_31122015.csv</x:v>
      </x:c>
    </x:row>
    <x:row r="275" ht="22" customHeight="1">
      <x:c r="A275" t="str">
        <x:v>7c5405eb7d92</x:v>
      </x:c>
      <x:c r="B275" t="n">
        <x:v>2015</x:v>
      </x:c>
      <x:c r="C275" t="str">
        <x:v>Skolebygg</x:v>
      </x:c>
      <x:c r="D275" t="str">
        <x:v>D</x:v>
      </x:c>
      <x:c r="E275" t="n">
        <x:v>1969</x:v>
      </x:c>
      <x:c r="F275" t="n">
        <x:v>138</x:v>
      </x:c>
      <x:c r="G275" t="str">
        <x:v>Advanced</x:v>
      </x:c>
      <x:c r="H275" t="str"/>
      <x:c r="I275" t="str">
        <x:v>Årlig beregnet, ikke målt</x:v>
      </x:c>
      <x:c r="J275" t="str">
        <x:v>01012015_31122015.csv</x:v>
      </x:c>
    </x:row>
    <x:row r="276" ht="22" customHeight="1">
      <x:c r="A276" t="str">
        <x:v>b4e6f15ec5dc</x:v>
      </x:c>
      <x:c r="B276" t="n">
        <x:v>2015</x:v>
      </x:c>
      <x:c r="C276" t="str">
        <x:v>Skolebygg</x:v>
      </x:c>
      <x:c r="D276" t="str">
        <x:v>D</x:v>
      </x:c>
      <x:c r="E276" t="n">
        <x:v>1998</x:v>
      </x:c>
      <x:c r="F276" t="n">
        <x:v>137.3</x:v>
      </x:c>
      <x:c r="G276" t="str">
        <x:v>Simple</x:v>
      </x:c>
      <x:c r="H276" t="str"/>
      <x:c r="I276" t="str">
        <x:v>Årlig beregnet, ikke målt</x:v>
      </x:c>
      <x:c r="J276" t="str">
        <x:v>01012015_31122015.csv</x:v>
      </x:c>
    </x:row>
    <x:row r="277" ht="22" customHeight="1">
      <x:c r="A277" t="str">
        <x:v>916f886f02a0</x:v>
      </x:c>
      <x:c r="B277" t="n">
        <x:v>2015</x:v>
      </x:c>
      <x:c r="C277" t="str">
        <x:v>Skolebygg</x:v>
      </x:c>
      <x:c r="D277" t="str">
        <x:v>D</x:v>
      </x:c>
      <x:c r="E277" t="n">
        <x:v>1980</x:v>
      </x:c>
      <x:c r="F277" t="n">
        <x:v>145.3</x:v>
      </x:c>
      <x:c r="G277" t="str">
        <x:v>Simple</x:v>
      </x:c>
      <x:c r="H277" t="str"/>
      <x:c r="I277" t="str">
        <x:v>Årlig beregnet, ikke målt</x:v>
      </x:c>
      <x:c r="J277" t="str">
        <x:v>01012015_31122015.csv</x:v>
      </x:c>
    </x:row>
    <x:row r="278" ht="22" customHeight="1">
      <x:c r="A278" t="str">
        <x:v>84e5c392c237</x:v>
      </x:c>
      <x:c r="B278" t="n">
        <x:v>2015</x:v>
      </x:c>
      <x:c r="C278" t="str">
        <x:v>Skolebygg</x:v>
      </x:c>
      <x:c r="D278" t="str">
        <x:v>E</x:v>
      </x:c>
      <x:c r="E278" t="n">
        <x:v>1982</x:v>
      </x:c>
      <x:c r="F278" t="n">
        <x:v>180.5</x:v>
      </x:c>
      <x:c r="G278" t="str">
        <x:v>Simple</x:v>
      </x:c>
      <x:c r="H278" t="str"/>
      <x:c r="I278" t="str">
        <x:v>Årlig beregnet, ikke målt</x:v>
      </x:c>
      <x:c r="J278" t="str">
        <x:v>01012015_31122015.csv</x:v>
      </x:c>
    </x:row>
    <x:row r="279" ht="22" customHeight="1">
      <x:c r="A279" t="str">
        <x:v>e8801396d38b</x:v>
      </x:c>
      <x:c r="B279" t="n">
        <x:v>2015</x:v>
      </x:c>
      <x:c r="C279" t="str">
        <x:v>Skolebygg</x:v>
      </x:c>
      <x:c r="D279" t="str">
        <x:v>E</x:v>
      </x:c>
      <x:c r="E279" t="n">
        <x:v>1940</x:v>
      </x:c>
      <x:c r="F279" t="n">
        <x:v>219.2</x:v>
      </x:c>
      <x:c r="G279" t="str">
        <x:v>Advanced</x:v>
      </x:c>
      <x:c r="H279" t="str"/>
      <x:c r="I279" t="str">
        <x:v>Årlig beregnet, ikke målt</x:v>
      </x:c>
      <x:c r="J279" t="str">
        <x:v>01012015_31122015.csv</x:v>
      </x:c>
    </x:row>
    <x:row r="280" ht="22" customHeight="1">
      <x:c r="A280" t="str">
        <x:v>f3cdf5a3335d</x:v>
      </x:c>
      <x:c r="B280" t="n">
        <x:v>2015</x:v>
      </x:c>
      <x:c r="C280" t="str">
        <x:v>Skolebygg</x:v>
      </x:c>
      <x:c r="D280" t="str">
        <x:v>E</x:v>
      </x:c>
      <x:c r="E280" t="n">
        <x:v>1990</x:v>
      </x:c>
      <x:c r="F280" t="n">
        <x:v>185</x:v>
      </x:c>
      <x:c r="G280" t="str">
        <x:v>Advanced</x:v>
      </x:c>
      <x:c r="H280" t="str"/>
      <x:c r="I280" t="str">
        <x:v>Årlig beregnet, ikke målt</x:v>
      </x:c>
      <x:c r="J280" t="str">
        <x:v>01012015_31122015.csv</x:v>
      </x:c>
    </x:row>
    <x:row r="281" ht="22" customHeight="1">
      <x:c r="A281" t="str">
        <x:v>22d88d304c7a</x:v>
      </x:c>
      <x:c r="B281" t="n">
        <x:v>2015</x:v>
      </x:c>
      <x:c r="C281" t="str">
        <x:v>Skolebygg</x:v>
      </x:c>
      <x:c r="D281" t="str">
        <x:v>E</x:v>
      </x:c>
      <x:c r="E281" t="n">
        <x:v>2003</x:v>
      </x:c>
      <x:c r="F281" t="n">
        <x:v>175.9</x:v>
      </x:c>
      <x:c r="G281" t="str">
        <x:v>Simple</x:v>
      </x:c>
      <x:c r="H281" t="str"/>
      <x:c r="I281" t="str">
        <x:v>Årlig beregnet, ikke målt</x:v>
      </x:c>
      <x:c r="J281" t="str">
        <x:v>01012015_31122015.csv</x:v>
      </x:c>
    </x:row>
    <x:row r="282" ht="22" customHeight="1">
      <x:c r="A282" t="str">
        <x:v>8ad53355b65f</x:v>
      </x:c>
      <x:c r="B282" t="n">
        <x:v>2015</x:v>
      </x:c>
      <x:c r="C282" t="str">
        <x:v>Skolebygg</x:v>
      </x:c>
      <x:c r="D282" t="str">
        <x:v>E</x:v>
      </x:c>
      <x:c r="E282" t="n">
        <x:v>1991</x:v>
      </x:c>
      <x:c r="F282" t="n">
        <x:v>219.2</x:v>
      </x:c>
      <x:c r="G282" t="str">
        <x:v>Advanced</x:v>
      </x:c>
      <x:c r="H282" t="str"/>
      <x:c r="I282" t="str">
        <x:v>Årlig beregnet, ikke målt</x:v>
      </x:c>
      <x:c r="J282" t="str">
        <x:v>01012015_31122015.csv</x:v>
      </x:c>
    </x:row>
    <x:row r="283" ht="22" customHeight="1">
      <x:c r="A283" t="str">
        <x:v>600ac12a5275</x:v>
      </x:c>
      <x:c r="B283" t="n">
        <x:v>2015</x:v>
      </x:c>
      <x:c r="C283" t="str">
        <x:v>Skolebygg</x:v>
      </x:c>
      <x:c r="D283" t="str">
        <x:v>F</x:v>
      </x:c>
      <x:c r="E283" t="n">
        <x:v>1976</x:v>
      </x:c>
      <x:c r="F283" t="n">
        <x:v>260.6</x:v>
      </x:c>
      <x:c r="G283" t="str">
        <x:v>Simple</x:v>
      </x:c>
      <x:c r="H283" t="str"/>
      <x:c r="I283" t="str">
        <x:v>Årlig beregnet, ikke målt</x:v>
      </x:c>
      <x:c r="J283" t="str">
        <x:v>01012015_31122015.csv</x:v>
      </x:c>
    </x:row>
    <x:row r="284" ht="22" customHeight="1">
      <x:c r="A284" t="str">
        <x:v>a545f7b4574a</x:v>
      </x:c>
      <x:c r="B284" t="n">
        <x:v>2015</x:v>
      </x:c>
      <x:c r="C284" t="str">
        <x:v>Skolebygg</x:v>
      </x:c>
      <x:c r="D284" t="str">
        <x:v>F</x:v>
      </x:c>
      <x:c r="E284" t="n">
        <x:v>1999</x:v>
      </x:c>
      <x:c r="F284" t="n">
        <x:v>228.5</x:v>
      </x:c>
      <x:c r="G284" t="str">
        <x:v>Simple</x:v>
      </x:c>
      <x:c r="H284" t="str"/>
      <x:c r="I284" t="str">
        <x:v>Årlig beregnet, ikke målt</x:v>
      </x:c>
      <x:c r="J284" t="str">
        <x:v>01012015_31122015.csv</x:v>
      </x:c>
    </x:row>
    <x:row r="285" ht="22" customHeight="1">
      <x:c r="A285" t="str">
        <x:v>dc75fe3ae00e</x:v>
      </x:c>
      <x:c r="B285" t="n">
        <x:v>2015</x:v>
      </x:c>
      <x:c r="C285" t="str">
        <x:v>Skolebygg</x:v>
      </x:c>
      <x:c r="D285" t="str">
        <x:v>F</x:v>
      </x:c>
      <x:c r="E285" t="n">
        <x:v>1968</x:v>
      </x:c>
      <x:c r="F285" t="n">
        <x:v>229.2</x:v>
      </x:c>
      <x:c r="G285" t="str">
        <x:v>Simple</x:v>
      </x:c>
      <x:c r="H285" t="str"/>
      <x:c r="I285" t="str">
        <x:v>Årlig beregnet, ikke målt</x:v>
      </x:c>
      <x:c r="J285" t="str">
        <x:v>01012015_31122015.csv</x:v>
      </x:c>
    </x:row>
    <x:row r="286" ht="22" customHeight="1">
      <x:c r="A286" t="str">
        <x:v>cdee0c9f36f7</x:v>
      </x:c>
      <x:c r="B286" t="n">
        <x:v>2015</x:v>
      </x:c>
      <x:c r="C286" t="str">
        <x:v>Skolebygg</x:v>
      </x:c>
      <x:c r="D286" t="str">
        <x:v>F</x:v>
      </x:c>
      <x:c r="E286" t="n">
        <x:v>1978</x:v>
      </x:c>
      <x:c r="F286" t="n">
        <x:v>226.1</x:v>
      </x:c>
      <x:c r="G286" t="str">
        <x:v>Simple</x:v>
      </x:c>
      <x:c r="H286" t="str"/>
      <x:c r="I286" t="str">
        <x:v>Årlig beregnet, ikke målt</x:v>
      </x:c>
      <x:c r="J286" t="str">
        <x:v>01012015_31122015.csv</x:v>
      </x:c>
    </x:row>
    <x:row r="287" ht="22" customHeight="1">
      <x:c r="A287" t="str">
        <x:v>aab3c5bfe564</x:v>
      </x:c>
      <x:c r="B287" t="n">
        <x:v>2015</x:v>
      </x:c>
      <x:c r="C287" t="str">
        <x:v>Skolebygg</x:v>
      </x:c>
      <x:c r="D287" t="str">
        <x:v>F</x:v>
      </x:c>
      <x:c r="E287" t="n">
        <x:v>1974</x:v>
      </x:c>
      <x:c r="F287" t="n">
        <x:v>235</x:v>
      </x:c>
      <x:c r="G287" t="str">
        <x:v>Advanced</x:v>
      </x:c>
      <x:c r="H287" t="str"/>
      <x:c r="I287" t="str">
        <x:v>Årlig beregnet, ikke målt</x:v>
      </x:c>
      <x:c r="J287" t="str">
        <x:v>01012015_31122015.csv</x:v>
      </x:c>
    </x:row>
    <x:row r="288" ht="22" customHeight="1">
      <x:c r="A288" t="str">
        <x:v>8b2c1c93755f</x:v>
      </x:c>
      <x:c r="B288" t="n">
        <x:v>2015</x:v>
      </x:c>
      <x:c r="C288" t="str">
        <x:v>Skolebygg</x:v>
      </x:c>
      <x:c r="D288" t="str">
        <x:v>G</x:v>
      </x:c>
      <x:c r="E288" t="n">
        <x:v>1952</x:v>
      </x:c>
      <x:c r="F288" t="n">
        <x:v>283.1</x:v>
      </x:c>
      <x:c r="G288" t="str">
        <x:v>Simple</x:v>
      </x:c>
      <x:c r="H288" t="str"/>
      <x:c r="I288" t="str">
        <x:v>Årlig beregnet, ikke målt</x:v>
      </x:c>
      <x:c r="J288" t="str">
        <x:v>01012015_31122015.csv</x:v>
      </x:c>
    </x:row>
    <x:row r="289" ht="22" customHeight="1">
      <x:c r="A289" t="str">
        <x:v>162196382f90</x:v>
      </x:c>
      <x:c r="B289" t="n">
        <x:v>2015</x:v>
      </x:c>
      <x:c r="C289" t="str">
        <x:v>Skolebygg</x:v>
      </x:c>
      <x:c r="D289" t="str">
        <x:v>G</x:v>
      </x:c>
      <x:c r="E289" t="n">
        <x:v>1992</x:v>
      </x:c>
      <x:c r="F289" t="n">
        <x:v>333</x:v>
      </x:c>
      <x:c r="G289" t="str">
        <x:v>Simple</x:v>
      </x:c>
      <x:c r="H289" t="str"/>
      <x:c r="I289" t="str">
        <x:v>Årlig beregnet, ikke målt</x:v>
      </x:c>
      <x:c r="J289" t="str">
        <x:v>01012015_31122015.csv</x:v>
      </x:c>
    </x:row>
    <x:row r="290" ht="22" customHeight="1">
      <x:c r="A290" t="str">
        <x:v>a6e4f48ab127</x:v>
      </x:c>
      <x:c r="B290" t="n">
        <x:v>2015</x:v>
      </x:c>
      <x:c r="C290" t="str">
        <x:v>Skolebygg</x:v>
      </x:c>
      <x:c r="D290" t="str">
        <x:v>G</x:v>
      </x:c>
      <x:c r="E290" t="n">
        <x:v>1983</x:v>
      </x:c>
      <x:c r="F290" t="n">
        <x:v>348.2</x:v>
      </x:c>
      <x:c r="G290" t="str">
        <x:v>Simple</x:v>
      </x:c>
      <x:c r="H290" t="str">
        <x:v>Tre</x:v>
      </x:c>
      <x:c r="I290" t="str">
        <x:v>Årlig beregnet, ikke målt</x:v>
      </x:c>
      <x:c r="J290" t="str">
        <x:v>01012015_31122015.csv</x:v>
      </x:c>
    </x:row>
    <x:row r="291" ht="22" customHeight="1">
      <x:c r="A291" t="str">
        <x:v>9bbdcd660c1e</x:v>
      </x:c>
      <x:c r="B291" t="n">
        <x:v>2015</x:v>
      </x:c>
      <x:c r="C291" t="str">
        <x:v>Skolebygg</x:v>
      </x:c>
      <x:c r="D291" t="str">
        <x:v>G</x:v>
      </x:c>
      <x:c r="E291" t="n">
        <x:v>1997</x:v>
      </x:c>
      <x:c r="F291" t="n">
        <x:v>282.3</x:v>
      </x:c>
      <x:c r="G291" t="str">
        <x:v>Simple</x:v>
      </x:c>
      <x:c r="H291" t="str"/>
      <x:c r="I291" t="str">
        <x:v>Årlig beregnet, ikke målt</x:v>
      </x:c>
      <x:c r="J291" t="str">
        <x:v>01012015_31122015.csv</x:v>
      </x:c>
    </x:row>
    <x:row r="292" ht="22" customHeight="1">
      <x:c r="A292" t="str">
        <x:v>ba565b52ce28</x:v>
      </x:c>
      <x:c r="B292" t="n">
        <x:v>2015</x:v>
      </x:c>
      <x:c r="C292" t="str">
        <x:v>Skolebygg</x:v>
      </x:c>
      <x:c r="D292" t="str">
        <x:v>G</x:v>
      </x:c>
      <x:c r="E292" t="n">
        <x:v>1960</x:v>
      </x:c>
      <x:c r="F292" t="n">
        <x:v>491.7</x:v>
      </x:c>
      <x:c r="G292" t="str">
        <x:v>Simple</x:v>
      </x:c>
      <x:c r="H292" t="str"/>
      <x:c r="I292" t="str">
        <x:v>Årlig beregnet, ikke målt</x:v>
      </x:c>
      <x:c r="J292" t="str">
        <x:v>01012015_31122015.csv</x:v>
      </x:c>
    </x:row>
    <x:row r="293" ht="22" customHeight="1">
      <x:c r="A293" t="str">
        <x:v>4b03569b42cd</x:v>
      </x:c>
      <x:c r="B293" t="n">
        <x:v>2015</x:v>
      </x:c>
      <x:c r="C293" t="str">
        <x:v>Småhus</x:v>
      </x:c>
      <x:c r="D293" t="str">
        <x:v>A</x:v>
      </x:c>
      <x:c r="E293" t="n">
        <x:v>2015</x:v>
      </x:c>
      <x:c r="F293" t="n">
        <x:v>77.3</x:v>
      </x:c>
      <x:c r="G293" t="str">
        <x:v>Advanced</x:v>
      </x:c>
      <x:c r="H293" t="str"/>
      <x:c r="I293" t="str">
        <x:v>Årlig beregnet, ikke målt</x:v>
      </x:c>
      <x:c r="J293" t="str">
        <x:v>01012015_31122015.csv</x:v>
      </x:c>
    </x:row>
    <x:row r="294" ht="22" customHeight="1">
      <x:c r="A294" t="str">
        <x:v>67549fda3e73</x:v>
      </x:c>
      <x:c r="B294" t="n">
        <x:v>2015</x:v>
      </x:c>
      <x:c r="C294" t="str">
        <x:v>Småhus</x:v>
      </x:c>
      <x:c r="D294" t="str">
        <x:v>A</x:v>
      </x:c>
      <x:c r="E294" t="n">
        <x:v>2014</x:v>
      </x:c>
      <x:c r="F294" t="n">
        <x:v>89.8</x:v>
      </x:c>
      <x:c r="G294" t="str">
        <x:v>Advanced</x:v>
      </x:c>
      <x:c r="H294" t="str"/>
      <x:c r="I294" t="str">
        <x:v>Årlig beregnet, ikke målt</x:v>
      </x:c>
      <x:c r="J294" t="str">
        <x:v>01012015_31122015.csv</x:v>
      </x:c>
    </x:row>
    <x:row r="295" ht="22" customHeight="1">
      <x:c r="A295" t="str">
        <x:v>e13c8c0bda05</x:v>
      </x:c>
      <x:c r="B295" t="n">
        <x:v>2015</x:v>
      </x:c>
      <x:c r="C295" t="str">
        <x:v>Småhus</x:v>
      </x:c>
      <x:c r="D295" t="str">
        <x:v>A</x:v>
      </x:c>
      <x:c r="E295" t="n">
        <x:v>2014</x:v>
      </x:c>
      <x:c r="F295" t="n">
        <x:v>90.2</x:v>
      </x:c>
      <x:c r="G295" t="str">
        <x:v>Advanced</x:v>
      </x:c>
      <x:c r="H295" t="str"/>
      <x:c r="I295" t="str">
        <x:v>Årlig beregnet, ikke målt</x:v>
      </x:c>
      <x:c r="J295" t="str">
        <x:v>01012015_31122015.csv</x:v>
      </x:c>
    </x:row>
    <x:row r="296" ht="22" customHeight="1">
      <x:c r="A296" t="str">
        <x:v>d5a52df6b185</x:v>
      </x:c>
      <x:c r="B296" t="n">
        <x:v>2015</x:v>
      </x:c>
      <x:c r="C296" t="str">
        <x:v>Småhus</x:v>
      </x:c>
      <x:c r="D296" t="str">
        <x:v>A</x:v>
      </x:c>
      <x:c r="E296" t="n">
        <x:v>2014</x:v>
      </x:c>
      <x:c r="F296" t="n">
        <x:v>90.8</x:v>
      </x:c>
      <x:c r="G296" t="str">
        <x:v>Advanced</x:v>
      </x:c>
      <x:c r="H296" t="str"/>
      <x:c r="I296" t="str">
        <x:v>Årlig beregnet, ikke målt</x:v>
      </x:c>
      <x:c r="J296" t="str">
        <x:v>01012015_31122015.csv</x:v>
      </x:c>
    </x:row>
    <x:row r="297" ht="22" customHeight="1">
      <x:c r="A297" t="str">
        <x:v>7d8b141b40f3</x:v>
      </x:c>
      <x:c r="B297" t="n">
        <x:v>2015</x:v>
      </x:c>
      <x:c r="C297" t="str">
        <x:v>Småhus</x:v>
      </x:c>
      <x:c r="D297" t="str">
        <x:v>A</x:v>
      </x:c>
      <x:c r="E297" t="n">
        <x:v>2014</x:v>
      </x:c>
      <x:c r="F297" t="n">
        <x:v>68.6</x:v>
      </x:c>
      <x:c r="G297" t="str">
        <x:v>Simple</x:v>
      </x:c>
      <x:c r="H297" t="str"/>
      <x:c r="I297" t="str">
        <x:v>Årlig beregnet, ikke målt</x:v>
      </x:c>
      <x:c r="J297" t="str">
        <x:v>01012015_31122015.csv</x:v>
      </x:c>
    </x:row>
    <x:row r="298" ht="22" customHeight="1">
      <x:c r="A298" t="str">
        <x:v>30b9ddf31a49</x:v>
      </x:c>
      <x:c r="B298" t="n">
        <x:v>2015</x:v>
      </x:c>
      <x:c r="C298" t="str">
        <x:v>Småhus</x:v>
      </x:c>
      <x:c r="D298" t="str">
        <x:v>B</x:v>
      </x:c>
      <x:c r="E298" t="n">
        <x:v>2015</x:v>
      </x:c>
      <x:c r="F298" t="n">
        <x:v>121.82</x:v>
      </x:c>
      <x:c r="G298" t="str">
        <x:v>Simple</x:v>
      </x:c>
      <x:c r="H298" t="str">
        <x:v>Tre</x:v>
      </x:c>
      <x:c r="I298" t="str">
        <x:v>Årlig beregnet, ikke målt</x:v>
      </x:c>
      <x:c r="J298" t="str">
        <x:v>01012015_31122015.csv</x:v>
      </x:c>
    </x:row>
    <x:row r="299" ht="22" customHeight="1">
      <x:c r="A299" t="str">
        <x:v>bb054d333c42</x:v>
      </x:c>
      <x:c r="B299" t="n">
        <x:v>2015</x:v>
      </x:c>
      <x:c r="C299" t="str">
        <x:v>Småhus</x:v>
      </x:c>
      <x:c r="D299" t="str">
        <x:v>B</x:v>
      </x:c>
      <x:c r="E299" t="n">
        <x:v>2015</x:v>
      </x:c>
      <x:c r="F299" t="n">
        <x:v>118.86</x:v>
      </x:c>
      <x:c r="G299" t="str">
        <x:v>Simple</x:v>
      </x:c>
      <x:c r="H299" t="str">
        <x:v>Tre</x:v>
      </x:c>
      <x:c r="I299" t="str">
        <x:v>Årlig beregnet, ikke målt</x:v>
      </x:c>
      <x:c r="J299" t="str">
        <x:v>01012015_31122015.csv</x:v>
      </x:c>
    </x:row>
    <x:row r="300" ht="22" customHeight="1">
      <x:c r="A300" t="str">
        <x:v>c1a1c5945529</x:v>
      </x:c>
      <x:c r="B300" t="n">
        <x:v>2015</x:v>
      </x:c>
      <x:c r="C300" t="str">
        <x:v>Småhus</x:v>
      </x:c>
      <x:c r="D300" t="str">
        <x:v>B</x:v>
      </x:c>
      <x:c r="E300" t="n">
        <x:v>2015</x:v>
      </x:c>
      <x:c r="F300" t="n">
        <x:v>127.3</x:v>
      </x:c>
      <x:c r="G300" t="str">
        <x:v>Simple</x:v>
      </x:c>
      <x:c r="H300" t="str"/>
      <x:c r="I300" t="str">
        <x:v>Årlig beregnet, ikke målt</x:v>
      </x:c>
      <x:c r="J300" t="str">
        <x:v>01012015_31122015.csv</x:v>
      </x:c>
    </x:row>
    <x:row r="301" ht="22" customHeight="1">
      <x:c r="A301" t="str">
        <x:v>f8940016c8af</x:v>
      </x:c>
      <x:c r="B301" t="n">
        <x:v>2015</x:v>
      </x:c>
      <x:c r="C301" t="str">
        <x:v>Småhus</x:v>
      </x:c>
      <x:c r="D301" t="str">
        <x:v>B</x:v>
      </x:c>
      <x:c r="E301" t="n">
        <x:v>2015</x:v>
      </x:c>
      <x:c r="F301" t="n">
        <x:v>121.62</x:v>
      </x:c>
      <x:c r="G301" t="str">
        <x:v>Simple</x:v>
      </x:c>
      <x:c r="H301" t="str">
        <x:v>Tre</x:v>
      </x:c>
      <x:c r="I301" t="str">
        <x:v>Årlig beregnet, ikke målt</x:v>
      </x:c>
      <x:c r="J301" t="str">
        <x:v>01012015_31122015.csv</x:v>
      </x:c>
    </x:row>
    <x:row r="302" ht="22" customHeight="1">
      <x:c r="A302" t="str">
        <x:v>9d7c38efce7a</x:v>
      </x:c>
      <x:c r="B302" t="n">
        <x:v>2015</x:v>
      </x:c>
      <x:c r="C302" t="str">
        <x:v>Småhus</x:v>
      </x:c>
      <x:c r="D302" t="str">
        <x:v>B</x:v>
      </x:c>
      <x:c r="E302" t="n">
        <x:v>1960</x:v>
      </x:c>
      <x:c r="F302" t="n">
        <x:v>109.75</x:v>
      </x:c>
      <x:c r="G302" t="str">
        <x:v>Simple</x:v>
      </x:c>
      <x:c r="H302" t="str">
        <x:v>Tre</x:v>
      </x:c>
      <x:c r="I302" t="str">
        <x:v>Årlig beregnet, ikke målt</x:v>
      </x:c>
      <x:c r="J302" t="str">
        <x:v>01012015_31122015.csv</x:v>
      </x:c>
    </x:row>
    <x:row r="303" ht="22" customHeight="1">
      <x:c r="A303" t="str">
        <x:v>70acc84fcb64</x:v>
      </x:c>
      <x:c r="B303" t="n">
        <x:v>2015</x:v>
      </x:c>
      <x:c r="C303" t="str">
        <x:v>Småhus</x:v>
      </x:c>
      <x:c r="D303" t="str">
        <x:v>C</x:v>
      </x:c>
      <x:c r="E303" t="n">
        <x:v>2007</x:v>
      </x:c>
      <x:c r="F303" t="n">
        <x:v>145.56</x:v>
      </x:c>
      <x:c r="G303" t="str">
        <x:v>Simple</x:v>
      </x:c>
      <x:c r="H303" t="str">
        <x:v>Tre</x:v>
      </x:c>
      <x:c r="I303" t="str">
        <x:v>Årlig beregnet, ikke målt</x:v>
      </x:c>
      <x:c r="J303" t="str">
        <x:v>01012015_31122015.csv</x:v>
      </x:c>
    </x:row>
    <x:row r="304" ht="22" customHeight="1">
      <x:c r="A304" t="str">
        <x:v>b8531befd1a7</x:v>
      </x:c>
      <x:c r="B304" t="n">
        <x:v>2015</x:v>
      </x:c>
      <x:c r="C304" t="str">
        <x:v>Småhus</x:v>
      </x:c>
      <x:c r="D304" t="str">
        <x:v>C</x:v>
      </x:c>
      <x:c r="E304" t="n">
        <x:v>2006</x:v>
      </x:c>
      <x:c r="F304" t="n">
        <x:v>147.39</x:v>
      </x:c>
      <x:c r="G304" t="str">
        <x:v>Simple</x:v>
      </x:c>
      <x:c r="H304" t="str">
        <x:v>Tre</x:v>
      </x:c>
      <x:c r="I304" t="str">
        <x:v>Årlig beregnet, ikke målt</x:v>
      </x:c>
      <x:c r="J304" t="str">
        <x:v>01012015_31122015.csv</x:v>
      </x:c>
    </x:row>
    <x:row r="305" ht="22" customHeight="1">
      <x:c r="A305" t="str">
        <x:v>79e838fad5a2</x:v>
      </x:c>
      <x:c r="B305" t="n">
        <x:v>2015</x:v>
      </x:c>
      <x:c r="C305" t="str">
        <x:v>Småhus</x:v>
      </x:c>
      <x:c r="D305" t="str">
        <x:v>C</x:v>
      </x:c>
      <x:c r="E305" t="n">
        <x:v>2006</x:v>
      </x:c>
      <x:c r="F305" t="n">
        <x:v>146.61</x:v>
      </x:c>
      <x:c r="G305" t="str">
        <x:v>Simple</x:v>
      </x:c>
      <x:c r="H305" t="str">
        <x:v>Tre</x:v>
      </x:c>
      <x:c r="I305" t="str">
        <x:v>Årlig beregnet, ikke målt</x:v>
      </x:c>
      <x:c r="J305" t="str">
        <x:v>01012015_31122015.csv</x:v>
      </x:c>
    </x:row>
    <x:row r="306" ht="22" customHeight="1">
      <x:c r="A306" t="str">
        <x:v>fcbfd588ed34</x:v>
      </x:c>
      <x:c r="B306" t="n">
        <x:v>2015</x:v>
      </x:c>
      <x:c r="C306" t="str">
        <x:v>Småhus</x:v>
      </x:c>
      <x:c r="D306" t="str">
        <x:v>C</x:v>
      </x:c>
      <x:c r="E306" t="n">
        <x:v>2015</x:v>
      </x:c>
      <x:c r="F306" t="n">
        <x:v>136.7</x:v>
      </x:c>
      <x:c r="G306" t="str">
        <x:v>Simple</x:v>
      </x:c>
      <x:c r="H306" t="str"/>
      <x:c r="I306" t="str">
        <x:v>Årlig beregnet, ikke målt</x:v>
      </x:c>
      <x:c r="J306" t="str">
        <x:v>01012015_31122015.csv</x:v>
      </x:c>
    </x:row>
    <x:row r="307" ht="22" customHeight="1">
      <x:c r="A307" t="str">
        <x:v>e3f17b05b72f</x:v>
      </x:c>
      <x:c r="B307" t="n">
        <x:v>2015</x:v>
      </x:c>
      <x:c r="C307" t="str">
        <x:v>Småhus</x:v>
      </x:c>
      <x:c r="D307" t="str">
        <x:v>C</x:v>
      </x:c>
      <x:c r="E307" t="n">
        <x:v>2013</x:v>
      </x:c>
      <x:c r="F307" t="n">
        <x:v>127.73</x:v>
      </x:c>
      <x:c r="G307" t="str">
        <x:v>Simple</x:v>
      </x:c>
      <x:c r="H307" t="str">
        <x:v>Tre</x:v>
      </x:c>
      <x:c r="I307" t="str">
        <x:v>Årlig beregnet, ikke målt</x:v>
      </x:c>
      <x:c r="J307" t="str">
        <x:v>01012015_31122015.csv</x:v>
      </x:c>
    </x:row>
    <x:row r="308" ht="22" customHeight="1">
      <x:c r="A308" t="str">
        <x:v>62162244fa83</x:v>
      </x:c>
      <x:c r="B308" t="n">
        <x:v>2015</x:v>
      </x:c>
      <x:c r="C308" t="str">
        <x:v>Småhus</x:v>
      </x:c>
      <x:c r="D308" t="str">
        <x:v>D</x:v>
      </x:c>
      <x:c r="E308" t="n">
        <x:v>1980</x:v>
      </x:c>
      <x:c r="F308" t="n">
        <x:v>223</x:v>
      </x:c>
      <x:c r="G308" t="str">
        <x:v>Advanced</x:v>
      </x:c>
      <x:c r="H308" t="str"/>
      <x:c r="I308" t="str">
        <x:v>Årlig beregnet, ikke målt</x:v>
      </x:c>
      <x:c r="J308" t="str">
        <x:v>01012015_31122015.csv</x:v>
      </x:c>
    </x:row>
    <x:row r="309" ht="22" customHeight="1">
      <x:c r="A309" t="str">
        <x:v>86db512c11a1</x:v>
      </x:c>
      <x:c r="B309" t="n">
        <x:v>2015</x:v>
      </x:c>
      <x:c r="C309" t="str">
        <x:v>Småhus</x:v>
      </x:c>
      <x:c r="D309" t="str">
        <x:v>D</x:v>
      </x:c>
      <x:c r="E309" t="n">
        <x:v>1933</x:v>
      </x:c>
      <x:c r="F309" t="n">
        <x:v>197.46</x:v>
      </x:c>
      <x:c r="G309" t="str">
        <x:v>Simple</x:v>
      </x:c>
      <x:c r="H309" t="str">
        <x:v>Tre</x:v>
      </x:c>
      <x:c r="I309" t="str">
        <x:v>Årlig beregnet, ikke målt</x:v>
      </x:c>
      <x:c r="J309" t="str">
        <x:v>01012015_31122015.csv</x:v>
      </x:c>
    </x:row>
    <x:row r="310" ht="22" customHeight="1">
      <x:c r="A310" t="str">
        <x:v>77a988813bb9</x:v>
      </x:c>
      <x:c r="B310" t="n">
        <x:v>2015</x:v>
      </x:c>
      <x:c r="C310" t="str">
        <x:v>Småhus</x:v>
      </x:c>
      <x:c r="D310" t="str">
        <x:v>D</x:v>
      </x:c>
      <x:c r="E310" t="n">
        <x:v>1991</x:v>
      </x:c>
      <x:c r="F310" t="n">
        <x:v>214.54</x:v>
      </x:c>
      <x:c r="G310" t="str">
        <x:v>Simple</x:v>
      </x:c>
      <x:c r="H310" t="str">
        <x:v>Tre</x:v>
      </x:c>
      <x:c r="I310" t="str">
        <x:v>Årlig beregnet, ikke målt</x:v>
      </x:c>
      <x:c r="J310" t="str">
        <x:v>01012015_31122015.csv</x:v>
      </x:c>
    </x:row>
    <x:row r="311" ht="22" customHeight="1">
      <x:c r="A311" t="str">
        <x:v>97a65881f919</x:v>
      </x:c>
      <x:c r="B311" t="n">
        <x:v>2015</x:v>
      </x:c>
      <x:c r="C311" t="str">
        <x:v>Småhus</x:v>
      </x:c>
      <x:c r="D311" t="str">
        <x:v>D</x:v>
      </x:c>
      <x:c r="E311" t="n">
        <x:v>2007</x:v>
      </x:c>
      <x:c r="F311" t="n">
        <x:v>188.22</x:v>
      </x:c>
      <x:c r="G311" t="str">
        <x:v>Simple</x:v>
      </x:c>
      <x:c r="H311" t="str">
        <x:v>Tre</x:v>
      </x:c>
      <x:c r="I311" t="str">
        <x:v>Årlig beregnet, ikke målt</x:v>
      </x:c>
      <x:c r="J311" t="str">
        <x:v>01012015_31122015.csv</x:v>
      </x:c>
    </x:row>
    <x:row r="312" ht="22" customHeight="1">
      <x:c r="A312" t="str">
        <x:v>41eaab1f3b1f</x:v>
      </x:c>
      <x:c r="B312" t="n">
        <x:v>2015</x:v>
      </x:c>
      <x:c r="C312" t="str">
        <x:v>Småhus</x:v>
      </x:c>
      <x:c r="D312" t="str">
        <x:v>D</x:v>
      </x:c>
      <x:c r="E312" t="n">
        <x:v>1997</x:v>
      </x:c>
      <x:c r="F312" t="n">
        <x:v>212.63</x:v>
      </x:c>
      <x:c r="G312" t="str">
        <x:v>Simple</x:v>
      </x:c>
      <x:c r="H312" t="str">
        <x:v>Tre</x:v>
      </x:c>
      <x:c r="I312" t="str">
        <x:v>Årlig beregnet, ikke målt</x:v>
      </x:c>
      <x:c r="J312" t="str">
        <x:v>01012015_31122015.csv</x:v>
      </x:c>
    </x:row>
    <x:row r="313" ht="22" customHeight="1">
      <x:c r="A313" t="str">
        <x:v>a8495208279c</x:v>
      </x:c>
      <x:c r="B313" t="n">
        <x:v>2015</x:v>
      </x:c>
      <x:c r="C313" t="str">
        <x:v>Småhus</x:v>
      </x:c>
      <x:c r="D313" t="str">
        <x:v>E</x:v>
      </x:c>
      <x:c r="E313" t="n">
        <x:v>1985</x:v>
      </x:c>
      <x:c r="F313" t="n">
        <x:v>242.29</x:v>
      </x:c>
      <x:c r="G313" t="str">
        <x:v>Simple</x:v>
      </x:c>
      <x:c r="H313" t="str">
        <x:v>Tre</x:v>
      </x:c>
      <x:c r="I313" t="str">
        <x:v>Årlig beregnet, ikke målt</x:v>
      </x:c>
      <x:c r="J313" t="str">
        <x:v>01012015_31122015.csv</x:v>
      </x:c>
    </x:row>
    <x:row r="314" ht="22" customHeight="1">
      <x:c r="A314" t="str">
        <x:v>be8c722aa619</x:v>
      </x:c>
      <x:c r="B314" t="n">
        <x:v>2015</x:v>
      </x:c>
      <x:c r="C314" t="str">
        <x:v>Småhus</x:v>
      </x:c>
      <x:c r="D314" t="str">
        <x:v>E</x:v>
      </x:c>
      <x:c r="E314" t="n">
        <x:v>1982</x:v>
      </x:c>
      <x:c r="F314" t="n">
        <x:v>226.06</x:v>
      </x:c>
      <x:c r="G314" t="str">
        <x:v>Simple</x:v>
      </x:c>
      <x:c r="H314" t="str">
        <x:v>Tre</x:v>
      </x:c>
      <x:c r="I314" t="str">
        <x:v>Årlig beregnet, ikke målt</x:v>
      </x:c>
      <x:c r="J314" t="str">
        <x:v>01012015_31122015.csv</x:v>
      </x:c>
    </x:row>
    <x:row r="315" ht="22" customHeight="1">
      <x:c r="A315" t="str">
        <x:v>e3eb643cee3b</x:v>
      </x:c>
      <x:c r="B315" t="n">
        <x:v>2015</x:v>
      </x:c>
      <x:c r="C315" t="str">
        <x:v>Småhus</x:v>
      </x:c>
      <x:c r="D315" t="str">
        <x:v>E</x:v>
      </x:c>
      <x:c r="E315" t="n">
        <x:v>1976</x:v>
      </x:c>
      <x:c r="F315" t="n">
        <x:v>222.17</x:v>
      </x:c>
      <x:c r="G315" t="str">
        <x:v>Simple</x:v>
      </x:c>
      <x:c r="H315" t="str">
        <x:v>Tre</x:v>
      </x:c>
      <x:c r="I315" t="str">
        <x:v>Årlig beregnet, ikke målt</x:v>
      </x:c>
      <x:c r="J315" t="str">
        <x:v>01012015_31122015.csv</x:v>
      </x:c>
    </x:row>
    <x:row r="316" ht="22" customHeight="1">
      <x:c r="A316" t="str">
        <x:v>44357ff12eb9</x:v>
      </x:c>
      <x:c r="B316" t="n">
        <x:v>2015</x:v>
      </x:c>
      <x:c r="C316" t="str">
        <x:v>Småhus</x:v>
      </x:c>
      <x:c r="D316" t="str">
        <x:v>E</x:v>
      </x:c>
      <x:c r="E316" t="n">
        <x:v>2000</x:v>
      </x:c>
      <x:c r="F316" t="n">
        <x:v>238.9</x:v>
      </x:c>
      <x:c r="G316" t="str">
        <x:v>Simple</x:v>
      </x:c>
      <x:c r="H316" t="str">
        <x:v>Tre</x:v>
      </x:c>
      <x:c r="I316" t="str">
        <x:v>Årlig beregnet, ikke målt</x:v>
      </x:c>
      <x:c r="J316" t="str">
        <x:v>01012015_31122015.csv</x:v>
      </x:c>
    </x:row>
    <x:row r="317" ht="22" customHeight="1">
      <x:c r="A317" t="str">
        <x:v>eec093d6ec36</x:v>
      </x:c>
      <x:c r="B317" t="n">
        <x:v>2015</x:v>
      </x:c>
      <x:c r="C317" t="str">
        <x:v>Småhus</x:v>
      </x:c>
      <x:c r="D317" t="str">
        <x:v>E</x:v>
      </x:c>
      <x:c r="E317" t="n">
        <x:v>1987</x:v>
      </x:c>
      <x:c r="F317" t="n">
        <x:v>191.61</x:v>
      </x:c>
      <x:c r="G317" t="str">
        <x:v>Simple</x:v>
      </x:c>
      <x:c r="H317" t="str">
        <x:v>Tre</x:v>
      </x:c>
      <x:c r="I317" t="str">
        <x:v>Årlig beregnet, ikke målt</x:v>
      </x:c>
      <x:c r="J317" t="str">
        <x:v>01012015_31122015.csv</x:v>
      </x:c>
    </x:row>
    <x:row r="318" ht="22" customHeight="1">
      <x:c r="A318" t="str">
        <x:v>9b10acd472c5</x:v>
      </x:c>
      <x:c r="B318" t="n">
        <x:v>2015</x:v>
      </x:c>
      <x:c r="C318" t="str">
        <x:v>Småhus</x:v>
      </x:c>
      <x:c r="D318" t="str">
        <x:v>F</x:v>
      </x:c>
      <x:c r="E318" t="n">
        <x:v>1976</x:v>
      </x:c>
      <x:c r="F318" t="n">
        <x:v>275.51</x:v>
      </x:c>
      <x:c r="G318" t="str">
        <x:v>Simple</x:v>
      </x:c>
      <x:c r="H318" t="str">
        <x:v>Tre</x:v>
      </x:c>
      <x:c r="I318" t="str">
        <x:v>Årlig beregnet, ikke målt</x:v>
      </x:c>
      <x:c r="J318" t="str">
        <x:v>01012015_31122015.csv</x:v>
      </x:c>
    </x:row>
    <x:row r="319" ht="22" customHeight="1">
      <x:c r="A319" t="str">
        <x:v>928c89055b72</x:v>
      </x:c>
      <x:c r="B319" t="n">
        <x:v>2015</x:v>
      </x:c>
      <x:c r="C319" t="str">
        <x:v>Småhus</x:v>
      </x:c>
      <x:c r="D319" t="str">
        <x:v>F</x:v>
      </x:c>
      <x:c r="E319" t="n">
        <x:v>1972</x:v>
      </x:c>
      <x:c r="F319" t="n">
        <x:v>361.34</x:v>
      </x:c>
      <x:c r="G319" t="str">
        <x:v>Simple</x:v>
      </x:c>
      <x:c r="H319" t="str">
        <x:v>Tre</x:v>
      </x:c>
      <x:c r="I319" t="str">
        <x:v>Årlig beregnet, ikke målt</x:v>
      </x:c>
      <x:c r="J319" t="str">
        <x:v>01012015_31122015.csv</x:v>
      </x:c>
    </x:row>
    <x:row r="320" ht="22" customHeight="1">
      <x:c r="A320" t="str">
        <x:v>43abfa8a759d</x:v>
      </x:c>
      <x:c r="B320" t="n">
        <x:v>2015</x:v>
      </x:c>
      <x:c r="C320" t="str">
        <x:v>Småhus</x:v>
      </x:c>
      <x:c r="D320" t="str">
        <x:v>F</x:v>
      </x:c>
      <x:c r="E320" t="n">
        <x:v>1930</x:v>
      </x:c>
      <x:c r="F320" t="n">
        <x:v>260.75</x:v>
      </x:c>
      <x:c r="G320" t="str">
        <x:v>Simple</x:v>
      </x:c>
      <x:c r="H320" t="str">
        <x:v>Tre</x:v>
      </x:c>
      <x:c r="I320" t="str">
        <x:v>Årlig beregnet, ikke målt</x:v>
      </x:c>
      <x:c r="J320" t="str">
        <x:v>01012015_31122015.csv</x:v>
      </x:c>
    </x:row>
    <x:row r="321" ht="22" customHeight="1">
      <x:c r="A321" t="str">
        <x:v>42ab8e7143e5</x:v>
      </x:c>
      <x:c r="B321" t="n">
        <x:v>2015</x:v>
      </x:c>
      <x:c r="C321" t="str">
        <x:v>Småhus</x:v>
      </x:c>
      <x:c r="D321" t="str">
        <x:v>F</x:v>
      </x:c>
      <x:c r="E321" t="n">
        <x:v>1987</x:v>
      </x:c>
      <x:c r="F321" t="n">
        <x:v>243.34</x:v>
      </x:c>
      <x:c r="G321" t="str">
        <x:v>Simple</x:v>
      </x:c>
      <x:c r="H321" t="str">
        <x:v>Tre</x:v>
      </x:c>
      <x:c r="I321" t="str">
        <x:v>Årlig beregnet, ikke målt</x:v>
      </x:c>
      <x:c r="J321" t="str">
        <x:v>01012015_31122015.csv</x:v>
      </x:c>
    </x:row>
    <x:row r="322" ht="22" customHeight="1">
      <x:c r="A322" t="str">
        <x:v>09baf5140627</x:v>
      </x:c>
      <x:c r="B322" t="n">
        <x:v>2015</x:v>
      </x:c>
      <x:c r="C322" t="str">
        <x:v>Småhus</x:v>
      </x:c>
      <x:c r="D322" t="str">
        <x:v>F</x:v>
      </x:c>
      <x:c r="E322" t="n">
        <x:v>1975</x:v>
      </x:c>
      <x:c r="F322" t="n">
        <x:v>270.09</x:v>
      </x:c>
      <x:c r="G322" t="str">
        <x:v>Simple</x:v>
      </x:c>
      <x:c r="H322" t="str">
        <x:v>Tre</x:v>
      </x:c>
      <x:c r="I322" t="str">
        <x:v>Årlig beregnet, ikke målt</x:v>
      </x:c>
      <x:c r="J322" t="str">
        <x:v>01012015_31122015.csv</x:v>
      </x:c>
    </x:row>
    <x:row r="323" ht="22" customHeight="1">
      <x:c r="A323" t="str">
        <x:v>26da0af65be5</x:v>
      </x:c>
      <x:c r="B323" t="n">
        <x:v>2015</x:v>
      </x:c>
      <x:c r="C323" t="str">
        <x:v>Småhus</x:v>
      </x:c>
      <x:c r="D323" t="str">
        <x:v>G</x:v>
      </x:c>
      <x:c r="E323" t="n">
        <x:v>1874</x:v>
      </x:c>
      <x:c r="F323" t="n">
        <x:v>571.21</x:v>
      </x:c>
      <x:c r="G323" t="str">
        <x:v>Simple</x:v>
      </x:c>
      <x:c r="H323" t="str">
        <x:v>Tre</x:v>
      </x:c>
      <x:c r="I323" t="str">
        <x:v>Årlig beregnet, ikke målt</x:v>
      </x:c>
      <x:c r="J323" t="str">
        <x:v>01012015_31122015.csv</x:v>
      </x:c>
    </x:row>
    <x:row r="324" ht="22" customHeight="1">
      <x:c r="A324" t="str">
        <x:v>a389faf64d9f</x:v>
      </x:c>
      <x:c r="B324" t="n">
        <x:v>2015</x:v>
      </x:c>
      <x:c r="C324" t="str">
        <x:v>Småhus</x:v>
      </x:c>
      <x:c r="D324" t="str">
        <x:v>G</x:v>
      </x:c>
      <x:c r="E324" t="n">
        <x:v>1967</x:v>
      </x:c>
      <x:c r="F324" t="n">
        <x:v>503.27</x:v>
      </x:c>
      <x:c r="G324" t="str">
        <x:v>Simple</x:v>
      </x:c>
      <x:c r="H324" t="str">
        <x:v>Tre</x:v>
      </x:c>
      <x:c r="I324" t="str">
        <x:v>Årlig beregnet, ikke målt</x:v>
      </x:c>
      <x:c r="J324" t="str">
        <x:v>01012015_31122015.csv</x:v>
      </x:c>
    </x:row>
    <x:row r="325" ht="22" customHeight="1">
      <x:c r="A325" t="str">
        <x:v>56966d971b7a</x:v>
      </x:c>
      <x:c r="B325" t="n">
        <x:v>2015</x:v>
      </x:c>
      <x:c r="C325" t="str">
        <x:v>Småhus</x:v>
      </x:c>
      <x:c r="D325" t="str">
        <x:v>G</x:v>
      </x:c>
      <x:c r="E325" t="n">
        <x:v>1957</x:v>
      </x:c>
      <x:c r="F325" t="n">
        <x:v>337.49</x:v>
      </x:c>
      <x:c r="G325" t="str">
        <x:v>Simple</x:v>
      </x:c>
      <x:c r="H325" t="str">
        <x:v>Tre</x:v>
      </x:c>
      <x:c r="I325" t="str">
        <x:v>Årlig beregnet, ikke målt</x:v>
      </x:c>
      <x:c r="J325" t="str">
        <x:v>01012015_31122015.csv</x:v>
      </x:c>
    </x:row>
    <x:row r="326" ht="22" customHeight="1">
      <x:c r="A326" t="str">
        <x:v>6cd67da98780</x:v>
      </x:c>
      <x:c r="B326" t="n">
        <x:v>2015</x:v>
      </x:c>
      <x:c r="C326" t="str">
        <x:v>Småhus</x:v>
      </x:c>
      <x:c r="D326" t="str">
        <x:v>G</x:v>
      </x:c>
      <x:c r="E326" t="n">
        <x:v>1965</x:v>
      </x:c>
      <x:c r="F326" t="n">
        <x:v>355.16</x:v>
      </x:c>
      <x:c r="G326" t="str">
        <x:v>Simple</x:v>
      </x:c>
      <x:c r="H326" t="str">
        <x:v>Tre</x:v>
      </x:c>
      <x:c r="I326" t="str">
        <x:v>Årlig beregnet, ikke målt</x:v>
      </x:c>
      <x:c r="J326" t="str">
        <x:v>01012015_31122015.csv</x:v>
      </x:c>
    </x:row>
    <x:row r="327" ht="22" customHeight="1">
      <x:c r="A327" t="str">
        <x:v>d2aa06a3c432</x:v>
      </x:c>
      <x:c r="B327" t="n">
        <x:v>2015</x:v>
      </x:c>
      <x:c r="C327" t="str">
        <x:v>Småhus</x:v>
      </x:c>
      <x:c r="D327" t="str">
        <x:v>G</x:v>
      </x:c>
      <x:c r="E327" t="n">
        <x:v>1916</x:v>
      </x:c>
      <x:c r="F327" t="n">
        <x:v>397.9</x:v>
      </x:c>
      <x:c r="G327" t="str">
        <x:v>Simple</x:v>
      </x:c>
      <x:c r="H327" t="str">
        <x:v>Tre</x:v>
      </x:c>
      <x:c r="I327" t="str">
        <x:v>Årlig beregnet, ikke målt</x:v>
      </x:c>
      <x:c r="J327" t="str">
        <x:v>01012015_31122015.csv</x:v>
      </x:c>
    </x:row>
    <x:row r="328" ht="22" customHeight="1">
      <x:c r="A328" t="str">
        <x:v>2df1d1a738ad</x:v>
      </x:c>
      <x:c r="B328" t="n">
        <x:v>2015</x:v>
      </x:c>
      <x:c r="C328" t="str">
        <x:v>Sykehjem</x:v>
      </x:c>
      <x:c r="D328" t="str">
        <x:v>A</x:v>
      </x:c>
      <x:c r="E328" t="n">
        <x:v>2015</x:v>
      </x:c>
      <x:c r="F328" t="n">
        <x:v>143.1</x:v>
      </x:c>
      <x:c r="G328" t="str">
        <x:v>Simple</x:v>
      </x:c>
      <x:c r="H328" t="str"/>
      <x:c r="I328" t="str">
        <x:v>Årlig beregnet, ikke målt</x:v>
      </x:c>
      <x:c r="J328" t="str">
        <x:v>01012015_31122015.csv</x:v>
      </x:c>
    </x:row>
    <x:row r="329" ht="22" customHeight="1">
      <x:c r="A329" t="str">
        <x:v>b042b84544d6</x:v>
      </x:c>
      <x:c r="B329" t="n">
        <x:v>2015</x:v>
      </x:c>
      <x:c r="C329" t="str">
        <x:v>Sykehjem</x:v>
      </x:c>
      <x:c r="D329" t="str">
        <x:v>A</x:v>
      </x:c>
      <x:c r="E329" t="n">
        <x:v>2014</x:v>
      </x:c>
      <x:c r="F329" t="n">
        <x:v>132.8</x:v>
      </x:c>
      <x:c r="G329" t="str">
        <x:v>Simple</x:v>
      </x:c>
      <x:c r="H329" t="str"/>
      <x:c r="I329" t="str">
        <x:v>Årlig beregnet, ikke målt</x:v>
      </x:c>
      <x:c r="J329" t="str">
        <x:v>01012015_31122015.csv</x:v>
      </x:c>
    </x:row>
    <x:row r="330" ht="22" customHeight="1">
      <x:c r="A330" t="str">
        <x:v>46c5d0cce50a</x:v>
      </x:c>
      <x:c r="B330" t="n">
        <x:v>2015</x:v>
      </x:c>
      <x:c r="C330" t="str">
        <x:v>Sykehjem</x:v>
      </x:c>
      <x:c r="D330" t="str">
        <x:v>A</x:v>
      </x:c>
      <x:c r="E330" t="n">
        <x:v>2015</x:v>
      </x:c>
      <x:c r="F330" t="n">
        <x:v>131.1</x:v>
      </x:c>
      <x:c r="G330" t="str">
        <x:v>Simple</x:v>
      </x:c>
      <x:c r="H330" t="str"/>
      <x:c r="I330" t="str">
        <x:v>Årlig beregnet, ikke målt</x:v>
      </x:c>
      <x:c r="J330" t="str">
        <x:v>01012015_31122015.csv</x:v>
      </x:c>
    </x:row>
    <x:row r="331" ht="22" customHeight="1">
      <x:c r="A331" t="str">
        <x:v>39bf9fe0724b</x:v>
      </x:c>
      <x:c r="B331" t="n">
        <x:v>2015</x:v>
      </x:c>
      <x:c r="C331" t="str">
        <x:v>Sykehjem</x:v>
      </x:c>
      <x:c r="D331" t="str">
        <x:v>A</x:v>
      </x:c>
      <x:c r="E331" t="n">
        <x:v>2000</x:v>
      </x:c>
      <x:c r="F331" t="n">
        <x:v>129</x:v>
      </x:c>
      <x:c r="G331" t="str">
        <x:v>Simple</x:v>
      </x:c>
      <x:c r="H331" t="str"/>
      <x:c r="I331" t="str">
        <x:v>Årlig beregnet, ikke målt</x:v>
      </x:c>
      <x:c r="J331" t="str">
        <x:v>01012015_31122015.csv</x:v>
      </x:c>
    </x:row>
    <x:row r="332" ht="22" customHeight="1">
      <x:c r="A332" t="str">
        <x:v>9ce74f34ac57</x:v>
      </x:c>
      <x:c r="B332" t="n">
        <x:v>2015</x:v>
      </x:c>
      <x:c r="C332" t="str">
        <x:v>Sykehjem</x:v>
      </x:c>
      <x:c r="D332" t="str">
        <x:v>A</x:v>
      </x:c>
      <x:c r="E332" t="n">
        <x:v>2000</x:v>
      </x:c>
      <x:c r="F332" t="n">
        <x:v>129</x:v>
      </x:c>
      <x:c r="G332" t="str">
        <x:v>Simple</x:v>
      </x:c>
      <x:c r="H332" t="str"/>
      <x:c r="I332" t="str">
        <x:v>Årlig beregnet, ikke målt</x:v>
      </x:c>
      <x:c r="J332" t="str">
        <x:v>01012015_31122015.csv</x:v>
      </x:c>
    </x:row>
    <x:row r="333" ht="22" customHeight="1">
      <x:c r="A333" t="str">
        <x:v>fecbf6fe1631</x:v>
      </x:c>
      <x:c r="B333" t="n">
        <x:v>2015</x:v>
      </x:c>
      <x:c r="C333" t="str">
        <x:v>Sykehjem</x:v>
      </x:c>
      <x:c r="D333" t="str">
        <x:v>B</x:v>
      </x:c>
      <x:c r="E333" t="n">
        <x:v>1984</x:v>
      </x:c>
      <x:c r="F333" t="n">
        <x:v>189</x:v>
      </x:c>
      <x:c r="G333" t="str">
        <x:v>Advanced</x:v>
      </x:c>
      <x:c r="H333" t="str"/>
      <x:c r="I333" t="str">
        <x:v>Årlig beregnet, ikke målt</x:v>
      </x:c>
      <x:c r="J333" t="str">
        <x:v>01012015_31122015.csv</x:v>
      </x:c>
    </x:row>
    <x:row r="334" ht="22" customHeight="1">
      <x:c r="A334" t="str">
        <x:v>c668c66e723c</x:v>
      </x:c>
      <x:c r="B334" t="n">
        <x:v>2015</x:v>
      </x:c>
      <x:c r="C334" t="str">
        <x:v>Sykehjem</x:v>
      </x:c>
      <x:c r="D334" t="str">
        <x:v>B</x:v>
      </x:c>
      <x:c r="E334" t="n">
        <x:v>1979</x:v>
      </x:c>
      <x:c r="F334" t="n">
        <x:v>163</x:v>
      </x:c>
      <x:c r="G334" t="str">
        <x:v>Simple</x:v>
      </x:c>
      <x:c r="H334" t="str"/>
      <x:c r="I334" t="str">
        <x:v>Årlig beregnet, ikke målt</x:v>
      </x:c>
      <x:c r="J334" t="str">
        <x:v>01012015_31122015.csv</x:v>
      </x:c>
    </x:row>
    <x:row r="335" ht="22" customHeight="1">
      <x:c r="A335" t="str">
        <x:v>5121f9d11981</x:v>
      </x:c>
      <x:c r="B335" t="n">
        <x:v>2015</x:v>
      </x:c>
      <x:c r="C335" t="str">
        <x:v>Sykehjem</x:v>
      </x:c>
      <x:c r="D335" t="str">
        <x:v>B</x:v>
      </x:c>
      <x:c r="E335" t="n">
        <x:v>2013</x:v>
      </x:c>
      <x:c r="F335" t="n">
        <x:v>162.9</x:v>
      </x:c>
      <x:c r="G335" t="str">
        <x:v>Advanced</x:v>
      </x:c>
      <x:c r="H335" t="str"/>
      <x:c r="I335" t="str">
        <x:v>Årlig beregnet, ikke målt</x:v>
      </x:c>
      <x:c r="J335" t="str">
        <x:v>01012015_31122015.csv</x:v>
      </x:c>
    </x:row>
    <x:row r="336" ht="22" customHeight="1">
      <x:c r="A336" t="str">
        <x:v>62312fcb73d6</x:v>
      </x:c>
      <x:c r="B336" t="n">
        <x:v>2015</x:v>
      </x:c>
      <x:c r="C336" t="str">
        <x:v>Sykehjem</x:v>
      </x:c>
      <x:c r="D336" t="str">
        <x:v>B</x:v>
      </x:c>
      <x:c r="E336" t="n">
        <x:v>2015</x:v>
      </x:c>
      <x:c r="F336" t="n">
        <x:v>168.5</x:v>
      </x:c>
      <x:c r="G336" t="str">
        <x:v>Simple</x:v>
      </x:c>
      <x:c r="H336" t="str"/>
      <x:c r="I336" t="str">
        <x:v>Årlig beregnet, ikke målt</x:v>
      </x:c>
      <x:c r="J336" t="str">
        <x:v>01012015_31122015.csv</x:v>
      </x:c>
    </x:row>
    <x:row r="337" ht="22" customHeight="1">
      <x:c r="A337" t="str">
        <x:v>df1da9207264</x:v>
      </x:c>
      <x:c r="B337" t="n">
        <x:v>2015</x:v>
      </x:c>
      <x:c r="C337" t="str">
        <x:v>Sykehjem</x:v>
      </x:c>
      <x:c r="D337" t="str">
        <x:v>B</x:v>
      </x:c>
      <x:c r="E337" t="n">
        <x:v>2015</x:v>
      </x:c>
      <x:c r="F337" t="n">
        <x:v>172.1</x:v>
      </x:c>
      <x:c r="G337" t="str">
        <x:v>Advanced</x:v>
      </x:c>
      <x:c r="H337" t="str"/>
      <x:c r="I337" t="str">
        <x:v>Årlig beregnet, ikke målt</x:v>
      </x:c>
      <x:c r="J337" t="str">
        <x:v>01012015_31122015.csv</x:v>
      </x:c>
    </x:row>
    <x:row r="338" ht="22" customHeight="1">
      <x:c r="A338" t="str">
        <x:v>dbab9fd6c532</x:v>
      </x:c>
      <x:c r="B338" t="n">
        <x:v>2015</x:v>
      </x:c>
      <x:c r="C338" t="str">
        <x:v>Sykehjem</x:v>
      </x:c>
      <x:c r="D338" t="str">
        <x:v>C</x:v>
      </x:c>
      <x:c r="E338" t="n">
        <x:v>2003</x:v>
      </x:c>
      <x:c r="F338" t="n">
        <x:v>212</x:v>
      </x:c>
      <x:c r="G338" t="str">
        <x:v>Simple</x:v>
      </x:c>
      <x:c r="H338" t="str"/>
      <x:c r="I338" t="str">
        <x:v>Årlig beregnet, ikke målt</x:v>
      </x:c>
      <x:c r="J338" t="str">
        <x:v>01012015_31122015.csv</x:v>
      </x:c>
    </x:row>
    <x:row r="339" ht="22" customHeight="1">
      <x:c r="A339" t="str">
        <x:v>a473001854df</x:v>
      </x:c>
      <x:c r="B339" t="n">
        <x:v>2015</x:v>
      </x:c>
      <x:c r="C339" t="str">
        <x:v>Sykehjem</x:v>
      </x:c>
      <x:c r="D339" t="str">
        <x:v>C</x:v>
      </x:c>
      <x:c r="E339" t="n">
        <x:v>2003</x:v>
      </x:c>
      <x:c r="F339" t="n">
        <x:v>201.6</x:v>
      </x:c>
      <x:c r="G339" t="str">
        <x:v>Simple</x:v>
      </x:c>
      <x:c r="H339" t="str"/>
      <x:c r="I339" t="str">
        <x:v>Årlig beregnet, ikke målt</x:v>
      </x:c>
      <x:c r="J339" t="str">
        <x:v>01012015_31122015.csv</x:v>
      </x:c>
    </x:row>
    <x:row r="340" ht="22" customHeight="1">
      <x:c r="A340" t="str">
        <x:v>909bd5ece501</x:v>
      </x:c>
      <x:c r="B340" t="n">
        <x:v>2015</x:v>
      </x:c>
      <x:c r="C340" t="str">
        <x:v>Sykehjem</x:v>
      </x:c>
      <x:c r="D340" t="str">
        <x:v>C</x:v>
      </x:c>
      <x:c r="E340" t="n">
        <x:v>2009</x:v>
      </x:c>
      <x:c r="F340" t="n">
        <x:v>231.1</x:v>
      </x:c>
      <x:c r="G340" t="str">
        <x:v>Advanced</x:v>
      </x:c>
      <x:c r="H340" t="str"/>
      <x:c r="I340" t="str">
        <x:v>Årlig beregnet, ikke målt</x:v>
      </x:c>
      <x:c r="J340" t="str">
        <x:v>01012015_31122015.csv</x:v>
      </x:c>
    </x:row>
    <x:row r="341" ht="22" customHeight="1">
      <x:c r="A341" t="str">
        <x:v>d2191e79a1a0</x:v>
      </x:c>
      <x:c r="B341" t="n">
        <x:v>2015</x:v>
      </x:c>
      <x:c r="C341" t="str">
        <x:v>Sykehjem</x:v>
      </x:c>
      <x:c r="D341" t="str">
        <x:v>C</x:v>
      </x:c>
      <x:c r="E341" t="n">
        <x:v>2004</x:v>
      </x:c>
      <x:c r="F341" t="n">
        <x:v>205.4</x:v>
      </x:c>
      <x:c r="G341" t="str">
        <x:v>Simple</x:v>
      </x:c>
      <x:c r="H341" t="str"/>
      <x:c r="I341" t="str">
        <x:v>Årlig beregnet, ikke målt</x:v>
      </x:c>
      <x:c r="J341" t="str">
        <x:v>01012015_31122015.csv</x:v>
      </x:c>
    </x:row>
    <x:row r="342" ht="22" customHeight="1">
      <x:c r="A342" t="str">
        <x:v>3878ea33b7f3</x:v>
      </x:c>
      <x:c r="B342" t="n">
        <x:v>2015</x:v>
      </x:c>
      <x:c r="C342" t="str">
        <x:v>Sykehjem</x:v>
      </x:c>
      <x:c r="D342" t="str">
        <x:v>C</x:v>
      </x:c>
      <x:c r="E342" t="n">
        <x:v>1975</x:v>
      </x:c>
      <x:c r="F342" t="n">
        <x:v>207</x:v>
      </x:c>
      <x:c r="G342" t="str">
        <x:v>Advanced</x:v>
      </x:c>
      <x:c r="H342" t="str"/>
      <x:c r="I342" t="str">
        <x:v>Årlig beregnet, ikke målt</x:v>
      </x:c>
      <x:c r="J342" t="str">
        <x:v>01012015_31122015.csv</x:v>
      </x:c>
    </x:row>
    <x:row r="343" ht="22" customHeight="1">
      <x:c r="A343" t="str">
        <x:v>de52f8e941d8</x:v>
      </x:c>
      <x:c r="B343" t="n">
        <x:v>2015</x:v>
      </x:c>
      <x:c r="C343" t="str">
        <x:v>Sykehjem</x:v>
      </x:c>
      <x:c r="D343" t="str">
        <x:v>D</x:v>
      </x:c>
      <x:c r="E343" t="n">
        <x:v>1972</x:v>
      </x:c>
      <x:c r="F343" t="n">
        <x:v>265</x:v>
      </x:c>
      <x:c r="G343" t="str">
        <x:v>Simple</x:v>
      </x:c>
      <x:c r="H343" t="str"/>
      <x:c r="I343" t="str">
        <x:v>Årlig beregnet, ikke målt</x:v>
      </x:c>
      <x:c r="J343" t="str">
        <x:v>01012015_31122015.csv</x:v>
      </x:c>
    </x:row>
    <x:row r="344" ht="22" customHeight="1">
      <x:c r="A344" t="str">
        <x:v>d5650b9e1383</x:v>
      </x:c>
      <x:c r="B344" t="n">
        <x:v>2015</x:v>
      </x:c>
      <x:c r="C344" t="str">
        <x:v>Sykehjem</x:v>
      </x:c>
      <x:c r="D344" t="str">
        <x:v>D</x:v>
      </x:c>
      <x:c r="E344" t="n">
        <x:v>2003</x:v>
      </x:c>
      <x:c r="F344" t="n">
        <x:v>241.5</x:v>
      </x:c>
      <x:c r="G344" t="str">
        <x:v>Simple</x:v>
      </x:c>
      <x:c r="H344" t="str"/>
      <x:c r="I344" t="str">
        <x:v>Årlig beregnet, ikke målt</x:v>
      </x:c>
      <x:c r="J344" t="str">
        <x:v>01012015_31122015.csv</x:v>
      </x:c>
    </x:row>
    <x:row r="345" ht="22" customHeight="1">
      <x:c r="A345" t="str">
        <x:v>b4d42903a982</x:v>
      </x:c>
      <x:c r="B345" t="n">
        <x:v>2015</x:v>
      </x:c>
      <x:c r="C345" t="str">
        <x:v>Sykehjem</x:v>
      </x:c>
      <x:c r="D345" t="str">
        <x:v>D</x:v>
      </x:c>
      <x:c r="E345" t="n">
        <x:v>1988</x:v>
      </x:c>
      <x:c r="F345" t="n">
        <x:v>269.2</x:v>
      </x:c>
      <x:c r="G345" t="str">
        <x:v>Simple</x:v>
      </x:c>
      <x:c r="H345" t="str"/>
      <x:c r="I345" t="str">
        <x:v>Årlig beregnet, ikke målt</x:v>
      </x:c>
      <x:c r="J345" t="str">
        <x:v>01012015_31122015.csv</x:v>
      </x:c>
    </x:row>
    <x:row r="346" ht="22" customHeight="1">
      <x:c r="A346" t="str">
        <x:v>57b1c7c168c5</x:v>
      </x:c>
      <x:c r="B346" t="n">
        <x:v>2015</x:v>
      </x:c>
      <x:c r="C346" t="str">
        <x:v>Sykehjem</x:v>
      </x:c>
      <x:c r="D346" t="str">
        <x:v>D</x:v>
      </x:c>
      <x:c r="E346" t="n">
        <x:v>1978</x:v>
      </x:c>
      <x:c r="F346" t="n">
        <x:v>266.5</x:v>
      </x:c>
      <x:c r="G346" t="str">
        <x:v>Advanced</x:v>
      </x:c>
      <x:c r="H346" t="str"/>
      <x:c r="I346" t="str">
        <x:v>Årlig beregnet, ikke målt</x:v>
      </x:c>
      <x:c r="J346" t="str">
        <x:v>01012015_31122015.csv</x:v>
      </x:c>
    </x:row>
    <x:row r="347" ht="22" customHeight="1">
      <x:c r="A347" t="str">
        <x:v>dd6bfb7c724b</x:v>
      </x:c>
      <x:c r="B347" t="n">
        <x:v>2015</x:v>
      </x:c>
      <x:c r="C347" t="str">
        <x:v>Sykehjem</x:v>
      </x:c>
      <x:c r="D347" t="str">
        <x:v>D</x:v>
      </x:c>
      <x:c r="E347" t="n">
        <x:v>2009</x:v>
      </x:c>
      <x:c r="F347" t="n">
        <x:v>262.8</x:v>
      </x:c>
      <x:c r="G347" t="str">
        <x:v>Advanced</x:v>
      </x:c>
      <x:c r="H347" t="str"/>
      <x:c r="I347" t="str">
        <x:v>Årlig beregnet, ikke målt</x:v>
      </x:c>
      <x:c r="J347" t="str">
        <x:v>01012015_31122015.csv</x:v>
      </x:c>
    </x:row>
    <x:row r="348" ht="22" customHeight="1">
      <x:c r="A348" t="str">
        <x:v>dc0acc51406a</x:v>
      </x:c>
      <x:c r="B348" t="n">
        <x:v>2015</x:v>
      </x:c>
      <x:c r="C348" t="str">
        <x:v>Sykehjem</x:v>
      </x:c>
      <x:c r="D348" t="str">
        <x:v>E</x:v>
      </x:c>
      <x:c r="E348" t="n">
        <x:v>1962</x:v>
      </x:c>
      <x:c r="F348" t="n">
        <x:v>323.9</x:v>
      </x:c>
      <x:c r="G348" t="str">
        <x:v>Simple</x:v>
      </x:c>
      <x:c r="H348" t="str"/>
      <x:c r="I348" t="str">
        <x:v>Årlig beregnet, ikke målt</x:v>
      </x:c>
      <x:c r="J348" t="str">
        <x:v>01012015_31122015.csv</x:v>
      </x:c>
    </x:row>
    <x:row r="349" ht="22" customHeight="1">
      <x:c r="A349" t="str">
        <x:v>4f15140b2e6a</x:v>
      </x:c>
      <x:c r="B349" t="n">
        <x:v>2015</x:v>
      </x:c>
      <x:c r="C349" t="str">
        <x:v>Sykehjem</x:v>
      </x:c>
      <x:c r="D349" t="str">
        <x:v>E</x:v>
      </x:c>
      <x:c r="E349" t="n">
        <x:v>1996</x:v>
      </x:c>
      <x:c r="F349" t="n">
        <x:v>340.6</x:v>
      </x:c>
      <x:c r="G349" t="str">
        <x:v>Simple</x:v>
      </x:c>
      <x:c r="H349" t="str"/>
      <x:c r="I349" t="str">
        <x:v>Årlig beregnet, ikke målt</x:v>
      </x:c>
      <x:c r="J349" t="str">
        <x:v>01012015_31122015.csv</x:v>
      </x:c>
    </x:row>
    <x:row r="350" ht="22" customHeight="1">
      <x:c r="A350" t="str">
        <x:v>5d4435c635be</x:v>
      </x:c>
      <x:c r="B350" t="n">
        <x:v>2015</x:v>
      </x:c>
      <x:c r="C350" t="str">
        <x:v>Sykehjem</x:v>
      </x:c>
      <x:c r="D350" t="str">
        <x:v>E</x:v>
      </x:c>
      <x:c r="E350" t="n">
        <x:v>1999</x:v>
      </x:c>
      <x:c r="F350" t="n">
        <x:v>303.5</x:v>
      </x:c>
      <x:c r="G350" t="str">
        <x:v>Simple</x:v>
      </x:c>
      <x:c r="H350" t="str"/>
      <x:c r="I350" t="str">
        <x:v>Årlig beregnet, ikke målt</x:v>
      </x:c>
      <x:c r="J350" t="str">
        <x:v>01012015_31122015.csv</x:v>
      </x:c>
    </x:row>
    <x:row r="351" ht="22" customHeight="1">
      <x:c r="A351" t="str">
        <x:v>6437826594a8</x:v>
      </x:c>
      <x:c r="B351" t="n">
        <x:v>2015</x:v>
      </x:c>
      <x:c r="C351" t="str">
        <x:v>Sykehjem</x:v>
      </x:c>
      <x:c r="D351" t="str">
        <x:v>E</x:v>
      </x:c>
      <x:c r="E351" t="n">
        <x:v>2000</x:v>
      </x:c>
      <x:c r="F351" t="n">
        <x:v>323.9</x:v>
      </x:c>
      <x:c r="G351" t="str">
        <x:v>Simple</x:v>
      </x:c>
      <x:c r="H351" t="str"/>
      <x:c r="I351" t="str">
        <x:v>Årlig beregnet, ikke målt</x:v>
      </x:c>
      <x:c r="J351" t="str">
        <x:v>01012015_31122015.csv</x:v>
      </x:c>
    </x:row>
    <x:row r="352" ht="22" customHeight="1">
      <x:c r="A352" t="str">
        <x:v>747cd3e43369</x:v>
      </x:c>
      <x:c r="B352" t="n">
        <x:v>2015</x:v>
      </x:c>
      <x:c r="C352" t="str">
        <x:v>Sykehjem</x:v>
      </x:c>
      <x:c r="D352" t="str">
        <x:v>E</x:v>
      </x:c>
      <x:c r="E352" t="n">
        <x:v>2010</x:v>
      </x:c>
      <x:c r="F352" t="n">
        <x:v>329.2</x:v>
      </x:c>
      <x:c r="G352" t="str">
        <x:v>Simple</x:v>
      </x:c>
      <x:c r="H352" t="str"/>
      <x:c r="I352" t="str">
        <x:v>Årlig beregnet, ikke målt</x:v>
      </x:c>
      <x:c r="J352" t="str">
        <x:v>01012015_31122015.csv</x:v>
      </x:c>
    </x:row>
    <x:row r="353" ht="22" customHeight="1">
      <x:c r="A353" t="str">
        <x:v>9b2dc2971595</x:v>
      </x:c>
      <x:c r="B353" t="n">
        <x:v>2015</x:v>
      </x:c>
      <x:c r="C353" t="str">
        <x:v>Sykehjem</x:v>
      </x:c>
      <x:c r="D353" t="str">
        <x:v>F</x:v>
      </x:c>
      <x:c r="E353" t="n">
        <x:v>2001</x:v>
      </x:c>
      <x:c r="F353" t="n">
        <x:v>412.63</x:v>
      </x:c>
      <x:c r="G353" t="str">
        <x:v>Simple</x:v>
      </x:c>
      <x:c r="H353" t="str">
        <x:v>Betong</x:v>
      </x:c>
      <x:c r="I353" t="str">
        <x:v>Årlig beregnet, ikke målt</x:v>
      </x:c>
      <x:c r="J353" t="str">
        <x:v>01012015_31122015.csv</x:v>
      </x:c>
    </x:row>
    <x:row r="354" ht="22" customHeight="1">
      <x:c r="A354" t="str">
        <x:v>dd08d3e8ac4f</x:v>
      </x:c>
      <x:c r="B354" t="n">
        <x:v>2015</x:v>
      </x:c>
      <x:c r="C354" t="str">
        <x:v>Sykehjem</x:v>
      </x:c>
      <x:c r="D354" t="str">
        <x:v>F</x:v>
      </x:c>
      <x:c r="E354" t="n">
        <x:v>2001</x:v>
      </x:c>
      <x:c r="F354" t="n">
        <x:v>399.95</x:v>
      </x:c>
      <x:c r="G354" t="str">
        <x:v>Simple</x:v>
      </x:c>
      <x:c r="H354" t="str">
        <x:v>Tre</x:v>
      </x:c>
      <x:c r="I354" t="str">
        <x:v>Årlig beregnet, ikke målt</x:v>
      </x:c>
      <x:c r="J354" t="str">
        <x:v>01012015_31122015.csv</x:v>
      </x:c>
    </x:row>
    <x:row r="355" ht="22" customHeight="1">
      <x:c r="A355" t="str">
        <x:v>c189444de4eb</x:v>
      </x:c>
      <x:c r="B355" t="n">
        <x:v>2015</x:v>
      </x:c>
      <x:c r="C355" t="str">
        <x:v>Sykehjem</x:v>
      </x:c>
      <x:c r="D355" t="str">
        <x:v>F</x:v>
      </x:c>
      <x:c r="E355" t="n">
        <x:v>2000</x:v>
      </x:c>
      <x:c r="F355" t="n">
        <x:v>406.9</x:v>
      </x:c>
      <x:c r="G355" t="str">
        <x:v>Simple</x:v>
      </x:c>
      <x:c r="H355" t="str"/>
      <x:c r="I355" t="str">
        <x:v>Årlig beregnet, ikke målt</x:v>
      </x:c>
      <x:c r="J355" t="str">
        <x:v>01012015_31122015.csv</x:v>
      </x:c>
    </x:row>
    <x:row r="356" ht="22" customHeight="1">
      <x:c r="A356" t="str">
        <x:v>e6968816bc5f</x:v>
      </x:c>
      <x:c r="B356" t="n">
        <x:v>2015</x:v>
      </x:c>
      <x:c r="C356" t="str">
        <x:v>Sykehjem</x:v>
      </x:c>
      <x:c r="D356" t="str">
        <x:v>F</x:v>
      </x:c>
      <x:c r="E356" t="n">
        <x:v>1960</x:v>
      </x:c>
      <x:c r="F356" t="n">
        <x:v>401.1</x:v>
      </x:c>
      <x:c r="G356" t="str">
        <x:v>Simple</x:v>
      </x:c>
      <x:c r="H356" t="str"/>
      <x:c r="I356" t="str">
        <x:v>Årlig beregnet, ikke målt</x:v>
      </x:c>
      <x:c r="J356" t="str">
        <x:v>01012015_31122015.csv</x:v>
      </x:c>
    </x:row>
    <x:row r="357" ht="22" customHeight="1">
      <x:c r="A357" t="str">
        <x:v>350bc0a1564c</x:v>
      </x:c>
      <x:c r="B357" t="n">
        <x:v>2015</x:v>
      </x:c>
      <x:c r="C357" t="str">
        <x:v>Sykehjem</x:v>
      </x:c>
      <x:c r="D357" t="str">
        <x:v>F</x:v>
      </x:c>
      <x:c r="E357" t="n">
        <x:v>2003</x:v>
      </x:c>
      <x:c r="F357" t="n">
        <x:v>418.38</x:v>
      </x:c>
      <x:c r="G357" t="str">
        <x:v>Simple</x:v>
      </x:c>
      <x:c r="H357" t="str">
        <x:v>Betong</x:v>
      </x:c>
      <x:c r="I357" t="str">
        <x:v>Årlig beregnet, ikke målt</x:v>
      </x:c>
      <x:c r="J357" t="str">
        <x:v>01012015_31122015.csv</x:v>
      </x:c>
    </x:row>
    <x:row r="358" ht="22" customHeight="1">
      <x:c r="A358" t="str">
        <x:v>ae6b30c95ff7</x:v>
      </x:c>
      <x:c r="B358" t="n">
        <x:v>2015</x:v>
      </x:c>
      <x:c r="C358" t="str">
        <x:v>Sykehjem</x:v>
      </x:c>
      <x:c r="D358" t="str">
        <x:v>G</x:v>
      </x:c>
      <x:c r="E358" t="n">
        <x:v>1969</x:v>
      </x:c>
      <x:c r="F358" t="n">
        <x:v>452.6</x:v>
      </x:c>
      <x:c r="G358" t="str">
        <x:v>Simple</x:v>
      </x:c>
      <x:c r="H358" t="str"/>
      <x:c r="I358" t="str">
        <x:v>Årlig beregnet, ikke målt</x:v>
      </x:c>
      <x:c r="J358" t="str">
        <x:v>01012015_31122015.csv</x:v>
      </x:c>
    </x:row>
    <x:row r="359" ht="22" customHeight="1">
      <x:c r="A359" t="str">
        <x:v>aa3fe96f76d3</x:v>
      </x:c>
      <x:c r="B359" t="n">
        <x:v>2015</x:v>
      </x:c>
      <x:c r="C359" t="str">
        <x:v>Sykehjem</x:v>
      </x:c>
      <x:c r="D359" t="str">
        <x:v>G</x:v>
      </x:c>
      <x:c r="E359" t="n">
        <x:v>1998</x:v>
      </x:c>
      <x:c r="F359" t="n">
        <x:v>488.3</x:v>
      </x:c>
      <x:c r="G359" t="str">
        <x:v>Simple</x:v>
      </x:c>
      <x:c r="H359" t="str"/>
      <x:c r="I359" t="str">
        <x:v>Årlig beregnet, ikke målt</x:v>
      </x:c>
      <x:c r="J359" t="str">
        <x:v>01012015_31122015.csv</x:v>
      </x:c>
    </x:row>
    <x:row r="360" ht="22" customHeight="1">
      <x:c r="A360" t="str">
        <x:v>89bd0be71374</x:v>
      </x:c>
      <x:c r="B360" t="n">
        <x:v>2015</x:v>
      </x:c>
      <x:c r="C360" t="str">
        <x:v>Sykehjem</x:v>
      </x:c>
      <x:c r="D360" t="str">
        <x:v>G</x:v>
      </x:c>
      <x:c r="E360" t="n">
        <x:v>1990</x:v>
      </x:c>
      <x:c r="F360" t="n">
        <x:v>500.7</x:v>
      </x:c>
      <x:c r="G360" t="str">
        <x:v>Simple</x:v>
      </x:c>
      <x:c r="H360" t="str"/>
      <x:c r="I360" t="str">
        <x:v>Årlig beregnet, ikke målt</x:v>
      </x:c>
      <x:c r="J360" t="str">
        <x:v>01012015_31122015.csv</x:v>
      </x:c>
    </x:row>
    <x:row r="361" ht="22" customHeight="1">
      <x:c r="A361" t="str">
        <x:v>6d64d7ceb6aa</x:v>
      </x:c>
      <x:c r="B361" t="n">
        <x:v>2015</x:v>
      </x:c>
      <x:c r="C361" t="str">
        <x:v>Sykehjem</x:v>
      </x:c>
      <x:c r="D361" t="str">
        <x:v>G</x:v>
      </x:c>
      <x:c r="E361" t="n">
        <x:v>1950</x:v>
      </x:c>
      <x:c r="F361" t="n">
        <x:v>494</x:v>
      </x:c>
      <x:c r="G361" t="str">
        <x:v>Simple</x:v>
      </x:c>
      <x:c r="H361" t="str"/>
      <x:c r="I361" t="str">
        <x:v>Årlig beregnet, ikke målt</x:v>
      </x:c>
      <x:c r="J361" t="str">
        <x:v>01012015_31122015.csv</x:v>
      </x:c>
    </x:row>
    <x:row r="362" ht="22" customHeight="1">
      <x:c r="A362" t="str">
        <x:v>5c95de45c0ae</x:v>
      </x:c>
      <x:c r="B362" t="n">
        <x:v>2015</x:v>
      </x:c>
      <x:c r="C362" t="str">
        <x:v>Sykehjem</x:v>
      </x:c>
      <x:c r="D362" t="str">
        <x:v>G</x:v>
      </x:c>
      <x:c r="E362" t="n">
        <x:v>1977</x:v>
      </x:c>
      <x:c r="F362" t="n">
        <x:v>584.44</x:v>
      </x:c>
      <x:c r="G362" t="str">
        <x:v>Simple</x:v>
      </x:c>
      <x:c r="H362" t="str">
        <x:v>Tre</x:v>
      </x:c>
      <x:c r="I362" t="str">
        <x:v>Årlig beregnet, ikke målt</x:v>
      </x:c>
      <x:c r="J362" t="str">
        <x:v>01012015_31122015.csv</x:v>
      </x:c>
    </x:row>
    <x:row r="363" ht="22" customHeight="1">
      <x:c r="A363" t="str">
        <x:v>1f8ce41d64f3</x:v>
      </x:c>
      <x:c r="B363" t="n">
        <x:v>2015</x:v>
      </x:c>
      <x:c r="C363" t="str">
        <x:v>Sykehus</x:v>
      </x:c>
      <x:c r="D363" t="str">
        <x:v>B</x:v>
      </x:c>
      <x:c r="E363" t="n">
        <x:v>2015</x:v>
      </x:c>
      <x:c r="F363" t="n">
        <x:v>205.5</x:v>
      </x:c>
      <x:c r="G363" t="str">
        <x:v>Simple</x:v>
      </x:c>
      <x:c r="H363" t="str"/>
      <x:c r="I363" t="str">
        <x:v>Årlig beregnet, ikke målt</x:v>
      </x:c>
      <x:c r="J363" t="str">
        <x:v>01012015_31122015.csv</x:v>
      </x:c>
    </x:row>
    <x:row r="364" ht="22" customHeight="1">
      <x:c r="A364" t="str">
        <x:v>4d388fa9b246</x:v>
      </x:c>
      <x:c r="B364" t="n">
        <x:v>2015</x:v>
      </x:c>
      <x:c r="C364" t="str">
        <x:v>Sykehus</x:v>
      </x:c>
      <x:c r="D364" t="str">
        <x:v>C</x:v>
      </x:c>
      <x:c r="E364" t="n">
        <x:v>2015</x:v>
      </x:c>
      <x:c r="F364" t="n">
        <x:v>237</x:v>
      </x:c>
      <x:c r="G364" t="str">
        <x:v>Simple</x:v>
      </x:c>
      <x:c r="H364" t="str"/>
      <x:c r="I364" t="str">
        <x:v>Årlig beregnet, ikke målt</x:v>
      </x:c>
      <x:c r="J364" t="str">
        <x:v>01012015_31122015.csv</x:v>
      </x:c>
    </x:row>
    <x:row r="365" ht="22" customHeight="1">
      <x:c r="A365" t="str">
        <x:v>e6634adff09c</x:v>
      </x:c>
      <x:c r="B365" t="n">
        <x:v>2015</x:v>
      </x:c>
      <x:c r="C365" t="str">
        <x:v>Sykehus</x:v>
      </x:c>
      <x:c r="D365" t="str">
        <x:v>C</x:v>
      </x:c>
      <x:c r="E365" t="n">
        <x:v>2015</x:v>
      </x:c>
      <x:c r="F365" t="n">
        <x:v>239.3</x:v>
      </x:c>
      <x:c r="G365" t="str">
        <x:v>Simple</x:v>
      </x:c>
      <x:c r="H365" t="str"/>
      <x:c r="I365" t="str">
        <x:v>Årlig beregnet, ikke målt</x:v>
      </x:c>
      <x:c r="J365" t="str">
        <x:v>01012015_31122015.csv</x:v>
      </x:c>
    </x:row>
    <x:row r="366" ht="22" customHeight="1">
      <x:c r="A366" t="str">
        <x:v>ff46e02add66</x:v>
      </x:c>
      <x:c r="B366" t="n">
        <x:v>2015</x:v>
      </x:c>
      <x:c r="C366" t="str">
        <x:v>Sykehus</x:v>
      </x:c>
      <x:c r="D366" t="str">
        <x:v>D</x:v>
      </x:c>
      <x:c r="E366" t="n">
        <x:v>1998</x:v>
      </x:c>
      <x:c r="F366" t="n">
        <x:v>340.1</x:v>
      </x:c>
      <x:c r="G366" t="str">
        <x:v>Simple</x:v>
      </x:c>
      <x:c r="H366" t="str"/>
      <x:c r="I366" t="str">
        <x:v>Årlig beregnet, ikke målt</x:v>
      </x:c>
      <x:c r="J366" t="str">
        <x:v>01012015_31122015.csv</x:v>
      </x:c>
    </x:row>
    <x:row r="367" ht="22" customHeight="1">
      <x:c r="A367" t="str">
        <x:v>3cb222fee3ce</x:v>
      </x:c>
      <x:c r="B367" t="n">
        <x:v>2015</x:v>
      </x:c>
      <x:c r="C367" t="str">
        <x:v>Sykehus</x:v>
      </x:c>
      <x:c r="D367" t="str">
        <x:v>D</x:v>
      </x:c>
      <x:c r="E367" t="n">
        <x:v>1999</x:v>
      </x:c>
      <x:c r="F367" t="n">
        <x:v>345.5</x:v>
      </x:c>
      <x:c r="G367" t="str">
        <x:v>Simple</x:v>
      </x:c>
      <x:c r="H367" t="str"/>
      <x:c r="I367" t="str">
        <x:v>Årlig beregnet, ikke målt</x:v>
      </x:c>
      <x:c r="J367" t="str">
        <x:v>01012015_31122015.csv</x:v>
      </x:c>
    </x:row>
    <x:row r="368" ht="22" customHeight="1">
      <x:c r="A368" t="str">
        <x:v>b3966df74dc1</x:v>
      </x:c>
      <x:c r="B368" t="n">
        <x:v>2015</x:v>
      </x:c>
      <x:c r="C368" t="str">
        <x:v>Sykehus</x:v>
      </x:c>
      <x:c r="D368" t="str">
        <x:v>D</x:v>
      </x:c>
      <x:c r="E368" t="n">
        <x:v>2005</x:v>
      </x:c>
      <x:c r="F368" t="n">
        <x:v>336.5</x:v>
      </x:c>
      <x:c r="G368" t="str">
        <x:v>Simple</x:v>
      </x:c>
      <x:c r="H368" t="str"/>
      <x:c r="I368" t="str">
        <x:v>Årlig beregnet, ikke målt</x:v>
      </x:c>
      <x:c r="J368" t="str">
        <x:v>01012015_31122015.csv</x:v>
      </x:c>
    </x:row>
    <x:row r="369" ht="22" customHeight="1">
      <x:c r="A369" t="str">
        <x:v>1668e337b312</x:v>
      </x:c>
      <x:c r="B369" t="n">
        <x:v>2015</x:v>
      </x:c>
      <x:c r="C369" t="str">
        <x:v>Sykehus</x:v>
      </x:c>
      <x:c r="D369" t="str">
        <x:v>D</x:v>
      </x:c>
      <x:c r="E369" t="n">
        <x:v>1987</x:v>
      </x:c>
      <x:c r="F369" t="n">
        <x:v>328.4</x:v>
      </x:c>
      <x:c r="G369" t="str">
        <x:v>Simple</x:v>
      </x:c>
      <x:c r="H369" t="str"/>
      <x:c r="I369" t="str">
        <x:v>Årlig beregnet, ikke målt</x:v>
      </x:c>
      <x:c r="J369" t="str">
        <x:v>01012015_31122015.csv</x:v>
      </x:c>
    </x:row>
    <x:row r="370" ht="22" customHeight="1">
      <x:c r="A370" t="str">
        <x:v>d818b8dcac8e</x:v>
      </x:c>
      <x:c r="B370" t="n">
        <x:v>2015</x:v>
      </x:c>
      <x:c r="C370" t="str">
        <x:v>Sykehus</x:v>
      </x:c>
      <x:c r="D370" t="str">
        <x:v>D</x:v>
      </x:c>
      <x:c r="E370" t="n">
        <x:v>2005</x:v>
      </x:c>
      <x:c r="F370" t="n">
        <x:v>338.5</x:v>
      </x:c>
      <x:c r="G370" t="str">
        <x:v>Simple</x:v>
      </x:c>
      <x:c r="H370" t="str"/>
      <x:c r="I370" t="str">
        <x:v>Årlig beregnet, ikke målt</x:v>
      </x:c>
      <x:c r="J370" t="str">
        <x:v>01012015_31122015.csv</x:v>
      </x:c>
    </x:row>
    <x:row r="371" ht="22" customHeight="1">
      <x:c r="A371" t="str">
        <x:v>9bf2edc9707b</x:v>
      </x:c>
      <x:c r="B371" t="n">
        <x:v>2015</x:v>
      </x:c>
      <x:c r="C371" t="str">
        <x:v>Sykehus</x:v>
      </x:c>
      <x:c r="D371" t="str">
        <x:v>E</x:v>
      </x:c>
      <x:c r="E371" t="n">
        <x:v>2004</x:v>
      </x:c>
      <x:c r="F371" t="n">
        <x:v>366.3</x:v>
      </x:c>
      <x:c r="G371" t="str">
        <x:v>Simple</x:v>
      </x:c>
      <x:c r="H371" t="str"/>
      <x:c r="I371" t="str">
        <x:v>Årlig beregnet, ikke målt</x:v>
      </x:c>
      <x:c r="J371" t="str">
        <x:v>01012015_31122015.csv</x:v>
      </x:c>
    </x:row>
    <x:row r="372" ht="22" customHeight="1">
      <x:c r="A372" t="str">
        <x:v>758280feab4f</x:v>
      </x:c>
      <x:c r="B372" t="n">
        <x:v>2015</x:v>
      </x:c>
      <x:c r="C372" t="str">
        <x:v>Sykehus</x:v>
      </x:c>
      <x:c r="D372" t="str">
        <x:v>F</x:v>
      </x:c>
      <x:c r="E372" t="n">
        <x:v>1962</x:v>
      </x:c>
      <x:c r="F372" t="n">
        <x:v>449.4</x:v>
      </x:c>
      <x:c r="G372" t="str">
        <x:v>Simple</x:v>
      </x:c>
      <x:c r="H372" t="str"/>
      <x:c r="I372" t="str">
        <x:v>Årlig beregnet, ikke målt</x:v>
      </x:c>
      <x:c r="J372" t="str">
        <x:v>01012015_31122015.csv</x:v>
      </x:c>
    </x:row>
    <x:row r="373" ht="22" customHeight="1">
      <x:c r="A373" t="str">
        <x:v>7e53b98f1132</x:v>
      </x:c>
      <x:c r="B373" t="n">
        <x:v>2015</x:v>
      </x:c>
      <x:c r="C373" t="str">
        <x:v>Sykehus</x:v>
      </x:c>
      <x:c r="D373" t="str">
        <x:v>F</x:v>
      </x:c>
      <x:c r="E373" t="n">
        <x:v>1920</x:v>
      </x:c>
      <x:c r="F373" t="n">
        <x:v>453.1</x:v>
      </x:c>
      <x:c r="G373" t="str">
        <x:v>Simple</x:v>
      </x:c>
      <x:c r="H373" t="str"/>
      <x:c r="I373" t="str">
        <x:v>Årlig beregnet, ikke målt</x:v>
      </x:c>
      <x:c r="J373" t="str">
        <x:v>01012015_31122015.csv</x:v>
      </x:c>
    </x:row>
    <x:row r="374" ht="22" customHeight="1">
      <x:c r="A374" t="str">
        <x:v>9324cecfe4d7</x:v>
      </x:c>
      <x:c r="B374" t="n">
        <x:v>2015</x:v>
      </x:c>
      <x:c r="C374" t="str">
        <x:v>Sykehus</x:v>
      </x:c>
      <x:c r="D374" t="str">
        <x:v>F</x:v>
      </x:c>
      <x:c r="E374" t="n">
        <x:v>1963</x:v>
      </x:c>
      <x:c r="F374" t="n">
        <x:v>449.4</x:v>
      </x:c>
      <x:c r="G374" t="str">
        <x:v>Simple</x:v>
      </x:c>
      <x:c r="H374" t="str"/>
      <x:c r="I374" t="str">
        <x:v>Årlig beregnet, ikke målt</x:v>
      </x:c>
      <x:c r="J374" t="str">
        <x:v>01012015_31122015.csv</x:v>
      </x:c>
    </x:row>
    <x:row r="375" ht="22" customHeight="1">
      <x:c r="A375" t="str">
        <x:v>abe008233775</x:v>
      </x:c>
      <x:c r="B375" t="n">
        <x:v>2015</x:v>
      </x:c>
      <x:c r="C375" t="str">
        <x:v>Sykehus</x:v>
      </x:c>
      <x:c r="D375" t="str">
        <x:v>F</x:v>
      </x:c>
      <x:c r="E375" t="n">
        <x:v>1978</x:v>
      </x:c>
      <x:c r="F375" t="n">
        <x:v>428</x:v>
      </x:c>
      <x:c r="G375" t="str">
        <x:v>Simple</x:v>
      </x:c>
      <x:c r="H375" t="str"/>
      <x:c r="I375" t="str">
        <x:v>Årlig beregnet, ikke målt</x:v>
      </x:c>
      <x:c r="J375" t="str">
        <x:v>01012015_31122015.csv</x:v>
      </x:c>
    </x:row>
    <x:row r="376" ht="22" customHeight="1">
      <x:c r="A376" t="str">
        <x:v>8d6c7f4dd3c4</x:v>
      </x:c>
      <x:c r="B376" t="n">
        <x:v>2015</x:v>
      </x:c>
      <x:c r="C376" t="str">
        <x:v>Universitets- Og Høgskolebygg</x:v>
      </x:c>
      <x:c r="D376" t="str">
        <x:v>A</x:v>
      </x:c>
      <x:c r="E376" t="n">
        <x:v>2000</x:v>
      </x:c>
      <x:c r="F376" t="n">
        <x:v>79.4</x:v>
      </x:c>
      <x:c r="G376" t="str">
        <x:v>Simple</x:v>
      </x:c>
      <x:c r="H376" t="str"/>
      <x:c r="I376" t="str">
        <x:v>Årlig beregnet, ikke målt</x:v>
      </x:c>
      <x:c r="J376" t="str">
        <x:v>01012015_31122015.csv</x:v>
      </x:c>
    </x:row>
    <x:row r="377" ht="22" customHeight="1">
      <x:c r="A377" t="str">
        <x:v>8d91a01f1bcd</x:v>
      </x:c>
      <x:c r="B377" t="n">
        <x:v>2015</x:v>
      </x:c>
      <x:c r="C377" t="str">
        <x:v>Universitets- Og Høgskolebygg</x:v>
      </x:c>
      <x:c r="D377" t="str">
        <x:v>A</x:v>
      </x:c>
      <x:c r="E377" t="n">
        <x:v>2014</x:v>
      </x:c>
      <x:c r="F377" t="n">
        <x:v>72.8</x:v>
      </x:c>
      <x:c r="G377" t="str">
        <x:v>Simple</x:v>
      </x:c>
      <x:c r="H377" t="str"/>
      <x:c r="I377" t="str">
        <x:v>Årlig beregnet, ikke målt</x:v>
      </x:c>
      <x:c r="J377" t="str">
        <x:v>01012015_31122015.csv</x:v>
      </x:c>
    </x:row>
    <x:row r="378" ht="22" customHeight="1">
      <x:c r="A378" t="str">
        <x:v>309225f1c3b4</x:v>
      </x:c>
      <x:c r="B378" t="n">
        <x:v>2015</x:v>
      </x:c>
      <x:c r="C378" t="str">
        <x:v>Universitets- Og Høgskolebygg</x:v>
      </x:c>
      <x:c r="D378" t="str">
        <x:v>C</x:v>
      </x:c>
      <x:c r="E378" t="n">
        <x:v>2012</x:v>
      </x:c>
      <x:c r="F378" t="n">
        <x:v>159.5</x:v>
      </x:c>
      <x:c r="G378" t="str">
        <x:v>Simple</x:v>
      </x:c>
      <x:c r="H378" t="str"/>
      <x:c r="I378" t="str">
        <x:v>Årlig beregnet, ikke målt</x:v>
      </x:c>
      <x:c r="J378" t="str">
        <x:v>01012015_31122015.csv</x:v>
      </x:c>
    </x:row>
    <x:row r="379" ht="22" customHeight="1">
      <x:c r="A379" t="str">
        <x:v>48a7402972e0</x:v>
      </x:c>
      <x:c r="B379" t="n">
        <x:v>2015</x:v>
      </x:c>
      <x:c r="C379" t="str">
        <x:v>Universitets- Og Høgskolebygg</x:v>
      </x:c>
      <x:c r="D379" t="str">
        <x:v>C</x:v>
      </x:c>
      <x:c r="E379" t="n">
        <x:v>2000</x:v>
      </x:c>
      <x:c r="F379" t="n">
        <x:v>126.4</x:v>
      </x:c>
      <x:c r="G379" t="str">
        <x:v>Simple</x:v>
      </x:c>
      <x:c r="H379" t="str"/>
      <x:c r="I379" t="str">
        <x:v>Årlig beregnet, ikke målt</x:v>
      </x:c>
      <x:c r="J379" t="str">
        <x:v>01012015_31122015.csv</x:v>
      </x:c>
    </x:row>
    <x:row r="380" ht="22" customHeight="1">
      <x:c r="A380" t="str">
        <x:v>0667b42a74b6</x:v>
      </x:c>
      <x:c r="B380" t="n">
        <x:v>2015</x:v>
      </x:c>
      <x:c r="C380" t="str">
        <x:v>Universitets- Og Høgskolebygg</x:v>
      </x:c>
      <x:c r="D380" t="str">
        <x:v>C</x:v>
      </x:c>
      <x:c r="E380" t="n">
        <x:v>2000</x:v>
      </x:c>
      <x:c r="F380" t="n">
        <x:v>157.4</x:v>
      </x:c>
      <x:c r="G380" t="str">
        <x:v>Simple</x:v>
      </x:c>
      <x:c r="H380" t="str"/>
      <x:c r="I380" t="str">
        <x:v>Årlig beregnet, ikke målt</x:v>
      </x:c>
      <x:c r="J380" t="str">
        <x:v>01012015_31122015.csv</x:v>
      </x:c>
    </x:row>
    <x:row r="381" ht="22" customHeight="1">
      <x:c r="A381" t="str">
        <x:v>44bc31e125c5</x:v>
      </x:c>
      <x:c r="B381" t="n">
        <x:v>2015</x:v>
      </x:c>
      <x:c r="C381" t="str">
        <x:v>Universitets- Og Høgskolebygg</x:v>
      </x:c>
      <x:c r="D381" t="str">
        <x:v>C</x:v>
      </x:c>
      <x:c r="E381" t="n">
        <x:v>2011</x:v>
      </x:c>
      <x:c r="F381" t="n">
        <x:v>137.2</x:v>
      </x:c>
      <x:c r="G381" t="str">
        <x:v>Advanced</x:v>
      </x:c>
      <x:c r="H381" t="str"/>
      <x:c r="I381" t="str">
        <x:v>Årlig beregnet, ikke målt</x:v>
      </x:c>
      <x:c r="J381" t="str">
        <x:v>01012015_31122015.csv</x:v>
      </x:c>
    </x:row>
    <x:row r="382" ht="22" customHeight="1">
      <x:c r="A382" t="str">
        <x:v>e5dee2fd729c</x:v>
      </x:c>
      <x:c r="B382" t="n">
        <x:v>2015</x:v>
      </x:c>
      <x:c r="C382" t="str">
        <x:v>Universitets- Og Høgskolebygg</x:v>
      </x:c>
      <x:c r="D382" t="str">
        <x:v>D</x:v>
      </x:c>
      <x:c r="E382" t="n">
        <x:v>2012</x:v>
      </x:c>
      <x:c r="F382" t="n">
        <x:v>163</x:v>
      </x:c>
      <x:c r="G382" t="str">
        <x:v>Simple</x:v>
      </x:c>
      <x:c r="H382" t="str"/>
      <x:c r="I382" t="str">
        <x:v>Årlig beregnet, ikke målt</x:v>
      </x:c>
      <x:c r="J382" t="str">
        <x:v>01012015_31122015.csv</x:v>
      </x:c>
    </x:row>
    <x:row r="383" ht="22" customHeight="1">
      <x:c r="A383" t="str">
        <x:v>a880c4cc6711</x:v>
      </x:c>
      <x:c r="B383" t="n">
        <x:v>2015</x:v>
      </x:c>
      <x:c r="C383" t="str">
        <x:v>Universitets- Og Høgskolebygg</x:v>
      </x:c>
      <x:c r="D383" t="str">
        <x:v>F</x:v>
      </x:c>
      <x:c r="E383" t="n">
        <x:v>1955</x:v>
      </x:c>
      <x:c r="F383" t="n">
        <x:v>248</x:v>
      </x:c>
      <x:c r="G383" t="str">
        <x:v>Simple</x:v>
      </x:c>
      <x:c r="H383" t="str"/>
      <x:c r="I383" t="str">
        <x:v>Årlig beregnet, ikke målt</x:v>
      </x:c>
      <x:c r="J383" t="str">
        <x:v>01012015_31122015.csv</x:v>
      </x:c>
    </x:row>
    <x:row r="384" ht="22" customHeight="1">
      <x:c r="A384" t="str">
        <x:v>436ff81457ac</x:v>
      </x:c>
      <x:c r="B384" t="n">
        <x:v>2015</x:v>
      </x:c>
      <x:c r="C384" t="str">
        <x:v>Universitets- Og Høgskolebygg</x:v>
      </x:c>
      <x:c r="D384" t="str">
        <x:v>F</x:v>
      </x:c>
      <x:c r="E384" t="n">
        <x:v>1955</x:v>
      </x:c>
      <x:c r="F384" t="n">
        <x:v>284.5</x:v>
      </x:c>
      <x:c r="G384" t="str">
        <x:v>Simple</x:v>
      </x:c>
      <x:c r="H384" t="str"/>
      <x:c r="I384" t="str">
        <x:v>Årlig beregnet, ikke målt</x:v>
      </x:c>
      <x:c r="J384" t="str">
        <x:v>01012015_31122015.csv</x:v>
      </x:c>
    </x:row>
    <x:row r="385" ht="22" customHeight="1">
      <x:c r="A385" t="str">
        <x:v>5d3fe3618781</x:v>
      </x:c>
      <x:c r="B385" t="n">
        <x:v>2016</x:v>
      </x:c>
      <x:c r="C385" t="str">
        <x:v>Barnehager</x:v>
      </x:c>
      <x:c r="D385" t="str">
        <x:v>A</x:v>
      </x:c>
      <x:c r="E385" t="n">
        <x:v>2000</x:v>
      </x:c>
      <x:c r="F385" t="n">
        <x:v>72.8</x:v>
      </x:c>
      <x:c r="G385" t="str">
        <x:v>Simple</x:v>
      </x:c>
      <x:c r="H385" t="str"/>
      <x:c r="I385" t="str">
        <x:v>Årlig beregnet, ikke målt</x:v>
      </x:c>
      <x:c r="J385" t="str">
        <x:v>01012016_31122016enova.csv</x:v>
      </x:c>
    </x:row>
    <x:row r="386" ht="22" customHeight="1">
      <x:c r="A386" t="str">
        <x:v>dba550e1c4e3</x:v>
      </x:c>
      <x:c r="B386" t="n">
        <x:v>2016</x:v>
      </x:c>
      <x:c r="C386" t="str">
        <x:v>Barnehager</x:v>
      </x:c>
      <x:c r="D386" t="str">
        <x:v>A</x:v>
      </x:c>
      <x:c r="E386" t="n">
        <x:v>2015</x:v>
      </x:c>
      <x:c r="F386" t="n">
        <x:v>60.5</x:v>
      </x:c>
      <x:c r="G386" t="str">
        <x:v>Simple</x:v>
      </x:c>
      <x:c r="H386" t="str"/>
      <x:c r="I386" t="str">
        <x:v>Årlig beregnet, ikke målt</x:v>
      </x:c>
      <x:c r="J386" t="str">
        <x:v>01012016_31122016enova.csv</x:v>
      </x:c>
    </x:row>
    <x:row r="387" ht="22" customHeight="1">
      <x:c r="A387" t="str">
        <x:v>fd4fbcd9064a</x:v>
      </x:c>
      <x:c r="B387" t="n">
        <x:v>2016</x:v>
      </x:c>
      <x:c r="C387" t="str">
        <x:v>Barnehager</x:v>
      </x:c>
      <x:c r="D387" t="str">
        <x:v>A</x:v>
      </x:c>
      <x:c r="E387" t="n">
        <x:v>2013</x:v>
      </x:c>
      <x:c r="F387" t="n">
        <x:v>83.6</x:v>
      </x:c>
      <x:c r="G387" t="str">
        <x:v>Simple</x:v>
      </x:c>
      <x:c r="H387" t="str"/>
      <x:c r="I387" t="str">
        <x:v>Årlig beregnet, ikke målt</x:v>
      </x:c>
      <x:c r="J387" t="str">
        <x:v>01012016_31122016enova.csv</x:v>
      </x:c>
    </x:row>
    <x:row r="388" ht="22" customHeight="1">
      <x:c r="A388" t="str">
        <x:v>ec0b59a9efd1</x:v>
      </x:c>
      <x:c r="B388" t="n">
        <x:v>2016</x:v>
      </x:c>
      <x:c r="C388" t="str">
        <x:v>Barnehager</x:v>
      </x:c>
      <x:c r="D388" t="str">
        <x:v>A</x:v>
      </x:c>
      <x:c r="E388" t="n">
        <x:v>2000</x:v>
      </x:c>
      <x:c r="F388" t="n">
        <x:v>78.4</x:v>
      </x:c>
      <x:c r="G388" t="str">
        <x:v>Simple</x:v>
      </x:c>
      <x:c r="H388" t="str"/>
      <x:c r="I388" t="str">
        <x:v>Årlig beregnet, ikke målt</x:v>
      </x:c>
      <x:c r="J388" t="str">
        <x:v>01012016_31122016enova.csv</x:v>
      </x:c>
    </x:row>
    <x:row r="389" ht="22" customHeight="1">
      <x:c r="A389" t="str">
        <x:v>8679dce322e0</x:v>
      </x:c>
      <x:c r="B389" t="n">
        <x:v>2016</x:v>
      </x:c>
      <x:c r="C389" t="str">
        <x:v>Barnehager</x:v>
      </x:c>
      <x:c r="D389" t="str">
        <x:v>A</x:v>
      </x:c>
      <x:c r="E389" t="n">
        <x:v>2016</x:v>
      </x:c>
      <x:c r="F389" t="n">
        <x:v>79.9</x:v>
      </x:c>
      <x:c r="G389" t="str">
        <x:v>Advanced</x:v>
      </x:c>
      <x:c r="H389" t="str"/>
      <x:c r="I389" t="str">
        <x:v>Årlig beregnet, ikke målt</x:v>
      </x:c>
      <x:c r="J389" t="str">
        <x:v>01012016_31122016enova.csv</x:v>
      </x:c>
    </x:row>
    <x:row r="390" ht="22" customHeight="1">
      <x:c r="A390" t="str">
        <x:v>b7fd5d3d3c79</x:v>
      </x:c>
      <x:c r="B390" t="n">
        <x:v>2016</x:v>
      </x:c>
      <x:c r="C390" t="str">
        <x:v>Barnehager</x:v>
      </x:c>
      <x:c r="D390" t="str">
        <x:v>B</x:v>
      </x:c>
      <x:c r="E390" t="n">
        <x:v>2011</x:v>
      </x:c>
      <x:c r="F390" t="n">
        <x:v>100.7</x:v>
      </x:c>
      <x:c r="G390" t="str">
        <x:v>Simple</x:v>
      </x:c>
      <x:c r="H390" t="str"/>
      <x:c r="I390" t="str">
        <x:v>Årlig beregnet, ikke målt</x:v>
      </x:c>
      <x:c r="J390" t="str">
        <x:v>01012016_31122016enova.csv</x:v>
      </x:c>
    </x:row>
    <x:row r="391" ht="22" customHeight="1">
      <x:c r="A391" t="str">
        <x:v>019e12480ba0</x:v>
      </x:c>
      <x:c r="B391" t="n">
        <x:v>2016</x:v>
      </x:c>
      <x:c r="C391" t="str">
        <x:v>Barnehager</x:v>
      </x:c>
      <x:c r="D391" t="str">
        <x:v>B</x:v>
      </x:c>
      <x:c r="E391" t="n">
        <x:v>2003</x:v>
      </x:c>
      <x:c r="F391" t="n">
        <x:v>97.3</x:v>
      </x:c>
      <x:c r="G391" t="str">
        <x:v>Simple</x:v>
      </x:c>
      <x:c r="H391" t="str"/>
      <x:c r="I391" t="str">
        <x:v>Årlig beregnet, ikke målt</x:v>
      </x:c>
      <x:c r="J391" t="str">
        <x:v>01012016_31122016enova.csv</x:v>
      </x:c>
    </x:row>
    <x:row r="392" ht="22" customHeight="1">
      <x:c r="A392" t="str">
        <x:v>574ee975173b</x:v>
      </x:c>
      <x:c r="B392" t="n">
        <x:v>2016</x:v>
      </x:c>
      <x:c r="C392" t="str">
        <x:v>Barnehager</x:v>
      </x:c>
      <x:c r="D392" t="str">
        <x:v>B</x:v>
      </x:c>
      <x:c r="E392" t="n">
        <x:v>2008</x:v>
      </x:c>
      <x:c r="F392" t="n">
        <x:v>96.8</x:v>
      </x:c>
      <x:c r="G392" t="str">
        <x:v>Simple</x:v>
      </x:c>
      <x:c r="H392" t="str"/>
      <x:c r="I392" t="str">
        <x:v>Årlig beregnet, ikke målt</x:v>
      </x:c>
      <x:c r="J392" t="str">
        <x:v>01012016_31122016enova.csv</x:v>
      </x:c>
    </x:row>
    <x:row r="393" ht="22" customHeight="1">
      <x:c r="A393" t="str">
        <x:v>7b4a56d17153</x:v>
      </x:c>
      <x:c r="B393" t="n">
        <x:v>2016</x:v>
      </x:c>
      <x:c r="C393" t="str">
        <x:v>Barnehager</x:v>
      </x:c>
      <x:c r="D393" t="str">
        <x:v>B</x:v>
      </x:c>
      <x:c r="E393" t="n">
        <x:v>2004</x:v>
      </x:c>
      <x:c r="F393" t="n">
        <x:v>108.9</x:v>
      </x:c>
      <x:c r="G393" t="str">
        <x:v>Simple</x:v>
      </x:c>
      <x:c r="H393" t="str"/>
      <x:c r="I393" t="str">
        <x:v>Årlig beregnet, ikke målt</x:v>
      </x:c>
      <x:c r="J393" t="str">
        <x:v>01012016_31122016enova.csv</x:v>
      </x:c>
    </x:row>
    <x:row r="394" ht="22" customHeight="1">
      <x:c r="A394" t="str">
        <x:v>8d8b4828be45</x:v>
      </x:c>
      <x:c r="B394" t="n">
        <x:v>2016</x:v>
      </x:c>
      <x:c r="C394" t="str">
        <x:v>Barnehager</x:v>
      </x:c>
      <x:c r="D394" t="str">
        <x:v>B</x:v>
      </x:c>
      <x:c r="E394" t="n">
        <x:v>2016</x:v>
      </x:c>
      <x:c r="F394" t="n">
        <x:v>103</x:v>
      </x:c>
      <x:c r="G394" t="str">
        <x:v>Simple</x:v>
      </x:c>
      <x:c r="H394" t="str"/>
      <x:c r="I394" t="str">
        <x:v>Årlig beregnet, ikke målt</x:v>
      </x:c>
      <x:c r="J394" t="str">
        <x:v>01012016_31122016enova.csv</x:v>
      </x:c>
    </x:row>
    <x:row r="395" ht="22" customHeight="1">
      <x:c r="A395" t="str">
        <x:v>dc94bf85e84b</x:v>
      </x:c>
      <x:c r="B395" t="n">
        <x:v>2016</x:v>
      </x:c>
      <x:c r="C395" t="str">
        <x:v>Barnehager</x:v>
      </x:c>
      <x:c r="D395" t="str">
        <x:v>C</x:v>
      </x:c>
      <x:c r="E395" t="n">
        <x:v>2009</x:v>
      </x:c>
      <x:c r="F395" t="n">
        <x:v>118.3</x:v>
      </x:c>
      <x:c r="G395" t="str">
        <x:v>Simple</x:v>
      </x:c>
      <x:c r="H395" t="str"/>
      <x:c r="I395" t="str">
        <x:v>Årlig beregnet, ikke målt</x:v>
      </x:c>
      <x:c r="J395" t="str">
        <x:v>01012016_31122016enova.csv</x:v>
      </x:c>
    </x:row>
    <x:row r="396" ht="22" customHeight="1">
      <x:c r="A396" t="str">
        <x:v>96a8e623188e</x:v>
      </x:c>
      <x:c r="B396" t="n">
        <x:v>2016</x:v>
      </x:c>
      <x:c r="C396" t="str">
        <x:v>Barnehager</x:v>
      </x:c>
      <x:c r="D396" t="str">
        <x:v>C</x:v>
      </x:c>
      <x:c r="E396" t="n">
        <x:v>2010</x:v>
      </x:c>
      <x:c r="F396" t="n">
        <x:v>144.7</x:v>
      </x:c>
      <x:c r="G396" t="str">
        <x:v>Simple</x:v>
      </x:c>
      <x:c r="H396" t="str"/>
      <x:c r="I396" t="str">
        <x:v>Årlig beregnet, ikke målt</x:v>
      </x:c>
      <x:c r="J396" t="str">
        <x:v>01012016_31122016enova.csv</x:v>
      </x:c>
    </x:row>
    <x:row r="397" ht="22" customHeight="1">
      <x:c r="A397" t="str">
        <x:v>7a0eed8f6aac</x:v>
      </x:c>
      <x:c r="B397" t="n">
        <x:v>2016</x:v>
      </x:c>
      <x:c r="C397" t="str">
        <x:v>Barnehager</x:v>
      </x:c>
      <x:c r="D397" t="str">
        <x:v>C</x:v>
      </x:c>
      <x:c r="E397" t="n">
        <x:v>2005</x:v>
      </x:c>
      <x:c r="F397" t="n">
        <x:v>130.2</x:v>
      </x:c>
      <x:c r="G397" t="str">
        <x:v>Simple</x:v>
      </x:c>
      <x:c r="H397" t="str"/>
      <x:c r="I397" t="str">
        <x:v>Årlig beregnet, ikke målt</x:v>
      </x:c>
      <x:c r="J397" t="str">
        <x:v>01012016_31122016enova.csv</x:v>
      </x:c>
    </x:row>
    <x:row r="398" ht="22" customHeight="1">
      <x:c r="A398" t="str">
        <x:v>3848fdbbe085</x:v>
      </x:c>
      <x:c r="B398" t="n">
        <x:v>2016</x:v>
      </x:c>
      <x:c r="C398" t="str">
        <x:v>Barnehager</x:v>
      </x:c>
      <x:c r="D398" t="str">
        <x:v>C</x:v>
      </x:c>
      <x:c r="E398" t="n">
        <x:v>1980</x:v>
      </x:c>
      <x:c r="F398" t="n">
        <x:v>138.2</x:v>
      </x:c>
      <x:c r="G398" t="str">
        <x:v>Simple</x:v>
      </x:c>
      <x:c r="H398" t="str"/>
      <x:c r="I398" t="str">
        <x:v>Årlig beregnet, ikke målt</x:v>
      </x:c>
      <x:c r="J398" t="str">
        <x:v>01012016_31122016enova.csv</x:v>
      </x:c>
    </x:row>
    <x:row r="399" ht="22" customHeight="1">
      <x:c r="A399" t="str">
        <x:v>5ef11311612a</x:v>
      </x:c>
      <x:c r="B399" t="n">
        <x:v>2016</x:v>
      </x:c>
      <x:c r="C399" t="str">
        <x:v>Barnehager</x:v>
      </x:c>
      <x:c r="D399" t="str">
        <x:v>C</x:v>
      </x:c>
      <x:c r="E399" t="n">
        <x:v>2002</x:v>
      </x:c>
      <x:c r="F399" t="n">
        <x:v>137.6</x:v>
      </x:c>
      <x:c r="G399" t="str">
        <x:v>Simple</x:v>
      </x:c>
      <x:c r="H399" t="str"/>
      <x:c r="I399" t="str">
        <x:v>Årlig beregnet, ikke målt</x:v>
      </x:c>
      <x:c r="J399" t="str">
        <x:v>01012016_31122016enova.csv</x:v>
      </x:c>
    </x:row>
    <x:row r="400" ht="22" customHeight="1">
      <x:c r="A400" t="str">
        <x:v>50dffd0ea38b</x:v>
      </x:c>
      <x:c r="B400" t="n">
        <x:v>2016</x:v>
      </x:c>
      <x:c r="C400" t="str">
        <x:v>Barnehager</x:v>
      </x:c>
      <x:c r="D400" t="str">
        <x:v>D</x:v>
      </x:c>
      <x:c r="E400" t="n">
        <x:v>2005</x:v>
      </x:c>
      <x:c r="F400" t="n">
        <x:v>157.7</x:v>
      </x:c>
      <x:c r="G400" t="str">
        <x:v>Simple</x:v>
      </x:c>
      <x:c r="H400" t="str"/>
      <x:c r="I400" t="str">
        <x:v>Årlig beregnet, ikke målt</x:v>
      </x:c>
      <x:c r="J400" t="str">
        <x:v>01012016_31122016enova.csv</x:v>
      </x:c>
    </x:row>
    <x:row r="401" ht="22" customHeight="1">
      <x:c r="A401" t="str">
        <x:v>4075ba42bc0b</x:v>
      </x:c>
      <x:c r="B401" t="n">
        <x:v>2016</x:v>
      </x:c>
      <x:c r="C401" t="str">
        <x:v>Barnehager</x:v>
      </x:c>
      <x:c r="D401" t="str">
        <x:v>D</x:v>
      </x:c>
      <x:c r="E401" t="n">
        <x:v>1997</x:v>
      </x:c>
      <x:c r="F401" t="n">
        <x:v>148.7</x:v>
      </x:c>
      <x:c r="G401" t="str">
        <x:v>Simple</x:v>
      </x:c>
      <x:c r="H401" t="str"/>
      <x:c r="I401" t="str">
        <x:v>Årlig beregnet, ikke målt</x:v>
      </x:c>
      <x:c r="J401" t="str">
        <x:v>01012016_31122016enova.csv</x:v>
      </x:c>
    </x:row>
    <x:row r="402" ht="22" customHeight="1">
      <x:c r="A402" t="str">
        <x:v>9ca1aea00aec</x:v>
      </x:c>
      <x:c r="B402" t="n">
        <x:v>2016</x:v>
      </x:c>
      <x:c r="C402" t="str">
        <x:v>Barnehager</x:v>
      </x:c>
      <x:c r="D402" t="str">
        <x:v>D</x:v>
      </x:c>
      <x:c r="E402" t="n">
        <x:v>1991</x:v>
      </x:c>
      <x:c r="F402" t="n">
        <x:v>162</x:v>
      </x:c>
      <x:c r="G402" t="str">
        <x:v>Simple</x:v>
      </x:c>
      <x:c r="H402" t="str"/>
      <x:c r="I402" t="str">
        <x:v>Årlig beregnet, ikke målt</x:v>
      </x:c>
      <x:c r="J402" t="str">
        <x:v>01012016_31122016enova.csv</x:v>
      </x:c>
    </x:row>
    <x:row r="403" ht="22" customHeight="1">
      <x:c r="A403" t="str">
        <x:v>e4adc19781d0</x:v>
      </x:c>
      <x:c r="B403" t="n">
        <x:v>2016</x:v>
      </x:c>
      <x:c r="C403" t="str">
        <x:v>Barnehager</x:v>
      </x:c>
      <x:c r="D403" t="str">
        <x:v>D</x:v>
      </x:c>
      <x:c r="E403" t="n">
        <x:v>1993</x:v>
      </x:c>
      <x:c r="F403" t="n">
        <x:v>173</x:v>
      </x:c>
      <x:c r="G403" t="str">
        <x:v>Simple</x:v>
      </x:c>
      <x:c r="H403" t="str"/>
      <x:c r="I403" t="str">
        <x:v>Årlig beregnet, ikke målt</x:v>
      </x:c>
      <x:c r="J403" t="str">
        <x:v>01012016_31122016enova.csv</x:v>
      </x:c>
    </x:row>
    <x:row r="404" ht="22" customHeight="1">
      <x:c r="A404" t="str">
        <x:v>bda98bcd9530</x:v>
      </x:c>
      <x:c r="B404" t="n">
        <x:v>2016</x:v>
      </x:c>
      <x:c r="C404" t="str">
        <x:v>Barnehager</x:v>
      </x:c>
      <x:c r="D404" t="str">
        <x:v>D</x:v>
      </x:c>
      <x:c r="E404" t="n">
        <x:v>2003</x:v>
      </x:c>
      <x:c r="F404" t="n">
        <x:v>149.5</x:v>
      </x:c>
      <x:c r="G404" t="str">
        <x:v>Simple</x:v>
      </x:c>
      <x:c r="H404" t="str"/>
      <x:c r="I404" t="str">
        <x:v>Årlig beregnet, ikke målt</x:v>
      </x:c>
      <x:c r="J404" t="str">
        <x:v>01012016_31122016enova.csv</x:v>
      </x:c>
    </x:row>
    <x:row r="405" ht="22" customHeight="1">
      <x:c r="A405" t="str">
        <x:v>5f1a0665496a</x:v>
      </x:c>
      <x:c r="B405" t="n">
        <x:v>2016</x:v>
      </x:c>
      <x:c r="C405" t="str">
        <x:v>Barnehager</x:v>
      </x:c>
      <x:c r="D405" t="str">
        <x:v>E</x:v>
      </x:c>
      <x:c r="E405" t="n">
        <x:v>1970</x:v>
      </x:c>
      <x:c r="F405" t="n">
        <x:v>218.1</x:v>
      </x:c>
      <x:c r="G405" t="str">
        <x:v>Simple</x:v>
      </x:c>
      <x:c r="H405" t="str"/>
      <x:c r="I405" t="str">
        <x:v>Årlig beregnet, ikke målt</x:v>
      </x:c>
      <x:c r="J405" t="str">
        <x:v>01012016_31122016enova.csv</x:v>
      </x:c>
    </x:row>
    <x:row r="406" ht="22" customHeight="1">
      <x:c r="A406" t="str">
        <x:v>dde1accea55a</x:v>
      </x:c>
      <x:c r="B406" t="n">
        <x:v>2016</x:v>
      </x:c>
      <x:c r="C406" t="str">
        <x:v>Barnehager</x:v>
      </x:c>
      <x:c r="D406" t="str">
        <x:v>E</x:v>
      </x:c>
      <x:c r="E406" t="n">
        <x:v>1997</x:v>
      </x:c>
      <x:c r="F406" t="n">
        <x:v>189.8</x:v>
      </x:c>
      <x:c r="G406" t="str">
        <x:v>Simple</x:v>
      </x:c>
      <x:c r="H406" t="str"/>
      <x:c r="I406" t="str">
        <x:v>Årlig beregnet, ikke målt</x:v>
      </x:c>
      <x:c r="J406" t="str">
        <x:v>01012016_31122016enova.csv</x:v>
      </x:c>
    </x:row>
    <x:row r="407" ht="22" customHeight="1">
      <x:c r="A407" t="str">
        <x:v>c789b8b0ce04</x:v>
      </x:c>
      <x:c r="B407" t="n">
        <x:v>2016</x:v>
      </x:c>
      <x:c r="C407" t="str">
        <x:v>Barnehager</x:v>
      </x:c>
      <x:c r="D407" t="str">
        <x:v>E</x:v>
      </x:c>
      <x:c r="E407" t="n">
        <x:v>1972</x:v>
      </x:c>
      <x:c r="F407" t="n">
        <x:v>218.3</x:v>
      </x:c>
      <x:c r="G407" t="str">
        <x:v>Simple</x:v>
      </x:c>
      <x:c r="H407" t="str"/>
      <x:c r="I407" t="str">
        <x:v>Årlig beregnet, ikke målt</x:v>
      </x:c>
      <x:c r="J407" t="str">
        <x:v>01012016_31122016enova.csv</x:v>
      </x:c>
    </x:row>
    <x:row r="408" ht="22" customHeight="1">
      <x:c r="A408" t="str">
        <x:v>c73a69c4e5ca</x:v>
      </x:c>
      <x:c r="B408" t="n">
        <x:v>2016</x:v>
      </x:c>
      <x:c r="C408" t="str">
        <x:v>Barnehager</x:v>
      </x:c>
      <x:c r="D408" t="str">
        <x:v>E</x:v>
      </x:c>
      <x:c r="E408" t="n">
        <x:v>1990</x:v>
      </x:c>
      <x:c r="F408" t="n">
        <x:v>186.5</x:v>
      </x:c>
      <x:c r="G408" t="str">
        <x:v>Simple</x:v>
      </x:c>
      <x:c r="H408" t="str"/>
      <x:c r="I408" t="str">
        <x:v>Årlig beregnet, ikke målt</x:v>
      </x:c>
      <x:c r="J408" t="str">
        <x:v>01012016_31122016enova.csv</x:v>
      </x:c>
    </x:row>
    <x:row r="409" ht="22" customHeight="1">
      <x:c r="A409" t="str">
        <x:v>69855fa66219</x:v>
      </x:c>
      <x:c r="B409" t="n">
        <x:v>2016</x:v>
      </x:c>
      <x:c r="C409" t="str">
        <x:v>Barnehager</x:v>
      </x:c>
      <x:c r="D409" t="str">
        <x:v>E</x:v>
      </x:c>
      <x:c r="E409" t="n">
        <x:v>1990</x:v>
      </x:c>
      <x:c r="F409" t="n">
        <x:v>182</x:v>
      </x:c>
      <x:c r="G409" t="str">
        <x:v>Simple</x:v>
      </x:c>
      <x:c r="H409" t="str"/>
      <x:c r="I409" t="str">
        <x:v>Årlig beregnet, ikke målt</x:v>
      </x:c>
      <x:c r="J409" t="str">
        <x:v>01012016_31122016enova.csv</x:v>
      </x:c>
    </x:row>
    <x:row r="410" ht="22" customHeight="1">
      <x:c r="A410" t="str">
        <x:v>87cd4411b141</x:v>
      </x:c>
      <x:c r="B410" t="n">
        <x:v>2016</x:v>
      </x:c>
      <x:c r="C410" t="str">
        <x:v>Barnehager</x:v>
      </x:c>
      <x:c r="D410" t="str">
        <x:v>F</x:v>
      </x:c>
      <x:c r="E410" t="n">
        <x:v>1990</x:v>
      </x:c>
      <x:c r="F410" t="n">
        <x:v>237.1</x:v>
      </x:c>
      <x:c r="G410" t="str">
        <x:v>Simple</x:v>
      </x:c>
      <x:c r="H410" t="str"/>
      <x:c r="I410" t="str">
        <x:v>Årlig beregnet, ikke målt</x:v>
      </x:c>
      <x:c r="J410" t="str">
        <x:v>01012016_31122016enova.csv</x:v>
      </x:c>
    </x:row>
    <x:row r="411" ht="22" customHeight="1">
      <x:c r="A411" t="str">
        <x:v>c23610392e85</x:v>
      </x:c>
      <x:c r="B411" t="n">
        <x:v>2016</x:v>
      </x:c>
      <x:c r="C411" t="str">
        <x:v>Barnehager</x:v>
      </x:c>
      <x:c r="D411" t="str">
        <x:v>F</x:v>
      </x:c>
      <x:c r="E411" t="n">
        <x:v>1985</x:v>
      </x:c>
      <x:c r="F411" t="n">
        <x:v>250.1</x:v>
      </x:c>
      <x:c r="G411" t="str">
        <x:v>Simple</x:v>
      </x:c>
      <x:c r="H411" t="str"/>
      <x:c r="I411" t="str">
        <x:v>Årlig beregnet, ikke målt</x:v>
      </x:c>
      <x:c r="J411" t="str">
        <x:v>01012016_31122016enova.csv</x:v>
      </x:c>
    </x:row>
    <x:row r="412" ht="22" customHeight="1">
      <x:c r="A412" t="str">
        <x:v>fc237a9ca3fa</x:v>
      </x:c>
      <x:c r="B412" t="n">
        <x:v>2016</x:v>
      </x:c>
      <x:c r="C412" t="str">
        <x:v>Barnehager</x:v>
      </x:c>
      <x:c r="D412" t="str">
        <x:v>F</x:v>
      </x:c>
      <x:c r="E412" t="n">
        <x:v>1981</x:v>
      </x:c>
      <x:c r="F412" t="n">
        <x:v>245.7</x:v>
      </x:c>
      <x:c r="G412" t="str">
        <x:v>Simple</x:v>
      </x:c>
      <x:c r="H412" t="str"/>
      <x:c r="I412" t="str">
        <x:v>Årlig beregnet, ikke målt</x:v>
      </x:c>
      <x:c r="J412" t="str">
        <x:v>01012016_31122016enova.csv</x:v>
      </x:c>
    </x:row>
    <x:row r="413" ht="22" customHeight="1">
      <x:c r="A413" t="str">
        <x:v>d3352da49666</x:v>
      </x:c>
      <x:c r="B413" t="n">
        <x:v>2016</x:v>
      </x:c>
      <x:c r="C413" t="str">
        <x:v>Barnehager</x:v>
      </x:c>
      <x:c r="D413" t="str">
        <x:v>F</x:v>
      </x:c>
      <x:c r="E413" t="n">
        <x:v>1991</x:v>
      </x:c>
      <x:c r="F413" t="n">
        <x:v>242.7</x:v>
      </x:c>
      <x:c r="G413" t="str">
        <x:v>Simple</x:v>
      </x:c>
      <x:c r="H413" t="str"/>
      <x:c r="I413" t="str">
        <x:v>Årlig beregnet, ikke målt</x:v>
      </x:c>
      <x:c r="J413" t="str">
        <x:v>01012016_31122016enova.csv</x:v>
      </x:c>
    </x:row>
    <x:row r="414" ht="22" customHeight="1">
      <x:c r="A414" t="str">
        <x:v>28119ad4d5fe</x:v>
      </x:c>
      <x:c r="B414" t="n">
        <x:v>2016</x:v>
      </x:c>
      <x:c r="C414" t="str">
        <x:v>Barnehager</x:v>
      </x:c>
      <x:c r="D414" t="str">
        <x:v>F</x:v>
      </x:c>
      <x:c r="E414" t="n">
        <x:v>1990</x:v>
      </x:c>
      <x:c r="F414" t="n">
        <x:v>245.6</x:v>
      </x:c>
      <x:c r="G414" t="str">
        <x:v>Simple</x:v>
      </x:c>
      <x:c r="H414" t="str"/>
      <x:c r="I414" t="str">
        <x:v>Årlig beregnet, ikke målt</x:v>
      </x:c>
      <x:c r="J414" t="str">
        <x:v>01012016_31122016enova.csv</x:v>
      </x:c>
    </x:row>
    <x:row r="415" ht="22" customHeight="1">
      <x:c r="A415" t="str">
        <x:v>987e87c81c54</x:v>
      </x:c>
      <x:c r="B415" t="n">
        <x:v>2016</x:v>
      </x:c>
      <x:c r="C415" t="str">
        <x:v>Barnehager</x:v>
      </x:c>
      <x:c r="D415" t="str">
        <x:v>G</x:v>
      </x:c>
      <x:c r="E415" t="n">
        <x:v>1986</x:v>
      </x:c>
      <x:c r="F415" t="n">
        <x:v>284.3</x:v>
      </x:c>
      <x:c r="G415" t="str">
        <x:v>Simple</x:v>
      </x:c>
      <x:c r="H415" t="str"/>
      <x:c r="I415" t="str">
        <x:v>Årlig beregnet, ikke målt</x:v>
      </x:c>
      <x:c r="J415" t="str">
        <x:v>01012016_31122016enova.csv</x:v>
      </x:c>
    </x:row>
    <x:row r="416" ht="22" customHeight="1">
      <x:c r="A416" t="str">
        <x:v>20e0a7ca1255</x:v>
      </x:c>
      <x:c r="B416" t="n">
        <x:v>2016</x:v>
      </x:c>
      <x:c r="C416" t="str">
        <x:v>Barnehager</x:v>
      </x:c>
      <x:c r="D416" t="str">
        <x:v>G</x:v>
      </x:c>
      <x:c r="E416" t="n">
        <x:v>1980</x:v>
      </x:c>
      <x:c r="F416" t="n">
        <x:v>306.3</x:v>
      </x:c>
      <x:c r="G416" t="str">
        <x:v>Simple</x:v>
      </x:c>
      <x:c r="H416" t="str"/>
      <x:c r="I416" t="str">
        <x:v>Årlig beregnet, ikke målt</x:v>
      </x:c>
      <x:c r="J416" t="str">
        <x:v>01012016_31122016enova.csv</x:v>
      </x:c>
    </x:row>
    <x:row r="417" ht="22" customHeight="1">
      <x:c r="A417" t="str">
        <x:v>f3b6a9541bf1</x:v>
      </x:c>
      <x:c r="B417" t="n">
        <x:v>2016</x:v>
      </x:c>
      <x:c r="C417" t="str">
        <x:v>Barnehager</x:v>
      </x:c>
      <x:c r="D417" t="str">
        <x:v>G</x:v>
      </x:c>
      <x:c r="E417" t="n">
        <x:v>1973</x:v>
      </x:c>
      <x:c r="F417" t="n">
        <x:v>280.9</x:v>
      </x:c>
      <x:c r="G417" t="str">
        <x:v>Simple</x:v>
      </x:c>
      <x:c r="H417" t="str"/>
      <x:c r="I417" t="str">
        <x:v>Årlig beregnet, ikke målt</x:v>
      </x:c>
      <x:c r="J417" t="str">
        <x:v>01012016_31122016enova.csv</x:v>
      </x:c>
    </x:row>
    <x:row r="418" ht="22" customHeight="1">
      <x:c r="A418" t="str">
        <x:v>0ef4847c0db5</x:v>
      </x:c>
      <x:c r="B418" t="n">
        <x:v>2016</x:v>
      </x:c>
      <x:c r="C418" t="str">
        <x:v>Barnehager</x:v>
      </x:c>
      <x:c r="D418" t="str">
        <x:v>G</x:v>
      </x:c>
      <x:c r="E418" t="n">
        <x:v>1979</x:v>
      </x:c>
      <x:c r="F418" t="n">
        <x:v>281.12</x:v>
      </x:c>
      <x:c r="G418" t="str">
        <x:v>Simple</x:v>
      </x:c>
      <x:c r="H418" t="str">
        <x:v>Tre</x:v>
      </x:c>
      <x:c r="I418" t="str">
        <x:v>Årlig beregnet, ikke målt</x:v>
      </x:c>
      <x:c r="J418" t="str">
        <x:v>01012016_31122016enova.csv</x:v>
      </x:c>
    </x:row>
    <x:row r="419" ht="22" customHeight="1">
      <x:c r="A419" t="str">
        <x:v>c25dad3a7cd9</x:v>
      </x:c>
      <x:c r="B419" t="n">
        <x:v>2016</x:v>
      </x:c>
      <x:c r="C419" t="str">
        <x:v>Boligblokker</x:v>
      </x:c>
      <x:c r="D419" t="str">
        <x:v>A</x:v>
      </x:c>
      <x:c r="E419" t="n">
        <x:v>2015</x:v>
      </x:c>
      <x:c r="F419" t="n">
        <x:v>90.9</x:v>
      </x:c>
      <x:c r="G419" t="str">
        <x:v>Simple</x:v>
      </x:c>
      <x:c r="H419" t="str"/>
      <x:c r="I419" t="str">
        <x:v>Årlig beregnet, ikke målt</x:v>
      </x:c>
      <x:c r="J419" t="str">
        <x:v>01012016_31122016enova.csv</x:v>
      </x:c>
    </x:row>
    <x:row r="420" ht="22" customHeight="1">
      <x:c r="A420" t="str">
        <x:v>3d637cd8cf95</x:v>
      </x:c>
      <x:c r="B420" t="n">
        <x:v>2016</x:v>
      </x:c>
      <x:c r="C420" t="str">
        <x:v>Boligblokker</x:v>
      </x:c>
      <x:c r="D420" t="str">
        <x:v>A</x:v>
      </x:c>
      <x:c r="E420" t="n">
        <x:v>1967</x:v>
      </x:c>
      <x:c r="F420" t="n">
        <x:v>90</x:v>
      </x:c>
      <x:c r="G420" t="str">
        <x:v>Advanced</x:v>
      </x:c>
      <x:c r="H420" t="str"/>
      <x:c r="I420" t="str">
        <x:v>Årlig beregnet, ikke målt</x:v>
      </x:c>
      <x:c r="J420" t="str">
        <x:v>01012016_31122016enova.csv</x:v>
      </x:c>
    </x:row>
    <x:row r="421" ht="22" customHeight="1">
      <x:c r="A421" t="str">
        <x:v>88ad68a6dc13</x:v>
      </x:c>
      <x:c r="B421" t="n">
        <x:v>2016</x:v>
      </x:c>
      <x:c r="C421" t="str">
        <x:v>Boligblokker</x:v>
      </x:c>
      <x:c r="D421" t="str">
        <x:v>A</x:v>
      </x:c>
      <x:c r="E421" t="n">
        <x:v>1967</x:v>
      </x:c>
      <x:c r="F421" t="n">
        <x:v>89</x:v>
      </x:c>
      <x:c r="G421" t="str">
        <x:v>Advanced</x:v>
      </x:c>
      <x:c r="H421" t="str"/>
      <x:c r="I421" t="str">
        <x:v>Årlig beregnet, ikke målt</x:v>
      </x:c>
      <x:c r="J421" t="str">
        <x:v>01012016_31122016enova.csv</x:v>
      </x:c>
    </x:row>
    <x:row r="422" ht="22" customHeight="1">
      <x:c r="A422" t="str">
        <x:v>6baab5a43d0c</x:v>
      </x:c>
      <x:c r="B422" t="n">
        <x:v>2016</x:v>
      </x:c>
      <x:c r="C422" t="str">
        <x:v>Boligblokker</x:v>
      </x:c>
      <x:c r="D422" t="str">
        <x:v>A</x:v>
      </x:c>
      <x:c r="E422" t="n">
        <x:v>2013</x:v>
      </x:c>
      <x:c r="F422" t="n">
        <x:v>76</x:v>
      </x:c>
      <x:c r="G422" t="str">
        <x:v>Simple</x:v>
      </x:c>
      <x:c r="H422" t="str"/>
      <x:c r="I422" t="str">
        <x:v>Årlig beregnet, ikke målt</x:v>
      </x:c>
      <x:c r="J422" t="str">
        <x:v>01012016_31122016enova.csv</x:v>
      </x:c>
    </x:row>
    <x:row r="423" ht="22" customHeight="1">
      <x:c r="A423" t="str">
        <x:v>723da0dc2e9d</x:v>
      </x:c>
      <x:c r="B423" t="n">
        <x:v>2016</x:v>
      </x:c>
      <x:c r="C423" t="str">
        <x:v>Boligblokker</x:v>
      </x:c>
      <x:c r="D423" t="str">
        <x:v>A</x:v>
      </x:c>
      <x:c r="E423" t="n">
        <x:v>2016</x:v>
      </x:c>
      <x:c r="F423" t="n">
        <x:v>57.7</x:v>
      </x:c>
      <x:c r="G423" t="str">
        <x:v>Simple</x:v>
      </x:c>
      <x:c r="H423" t="str"/>
      <x:c r="I423" t="str">
        <x:v>Årlig beregnet, ikke målt</x:v>
      </x:c>
      <x:c r="J423" t="str">
        <x:v>01012016_31122016enova.csv</x:v>
      </x:c>
    </x:row>
    <x:row r="424" ht="22" customHeight="1">
      <x:c r="A424" t="str">
        <x:v>52c24b5f55f0</x:v>
      </x:c>
      <x:c r="B424" t="n">
        <x:v>2016</x:v>
      </x:c>
      <x:c r="C424" t="str">
        <x:v>Boligblokker</x:v>
      </x:c>
      <x:c r="D424" t="str">
        <x:v>B</x:v>
      </x:c>
      <x:c r="E424" t="n">
        <x:v>2016</x:v>
      </x:c>
      <x:c r="F424" t="n">
        <x:v>92.6</x:v>
      </x:c>
      <x:c r="G424" t="str">
        <x:v>Simple</x:v>
      </x:c>
      <x:c r="H424" t="str"/>
      <x:c r="I424" t="str">
        <x:v>Årlig beregnet, ikke målt</x:v>
      </x:c>
      <x:c r="J424" t="str">
        <x:v>01012016_31122016enova.csv</x:v>
      </x:c>
    </x:row>
    <x:row r="425" ht="22" customHeight="1">
      <x:c r="A425" t="str">
        <x:v>adca0669afce</x:v>
      </x:c>
      <x:c r="B425" t="n">
        <x:v>2016</x:v>
      </x:c>
      <x:c r="C425" t="str">
        <x:v>Boligblokker</x:v>
      </x:c>
      <x:c r="D425" t="str">
        <x:v>B</x:v>
      </x:c>
      <x:c r="E425" t="n">
        <x:v>2016</x:v>
      </x:c>
      <x:c r="F425" t="n">
        <x:v>97.04</x:v>
      </x:c>
      <x:c r="G425" t="str">
        <x:v>Schema</x:v>
      </x:c>
      <x:c r="H425" t="str">
        <x:v>Betong</x:v>
      </x:c>
      <x:c r="I425" t="str">
        <x:v>Årlig beregnet, ikke målt</x:v>
      </x:c>
      <x:c r="J425" t="str">
        <x:v>01012016_31122016enova.csv</x:v>
      </x:c>
    </x:row>
    <x:row r="426" ht="22" customHeight="1">
      <x:c r="A426" t="str">
        <x:v>917ebb4ebfa5</x:v>
      </x:c>
      <x:c r="B426" t="n">
        <x:v>2016</x:v>
      </x:c>
      <x:c r="C426" t="str">
        <x:v>Boligblokker</x:v>
      </x:c>
      <x:c r="D426" t="str">
        <x:v>B</x:v>
      </x:c>
      <x:c r="E426" t="n">
        <x:v>2016</x:v>
      </x:c>
      <x:c r="F426" t="n">
        <x:v>96.13</x:v>
      </x:c>
      <x:c r="G426" t="str">
        <x:v>Simple</x:v>
      </x:c>
      <x:c r="H426" t="str">
        <x:v>Betong</x:v>
      </x:c>
      <x:c r="I426" t="str">
        <x:v>Årlig beregnet, ikke målt</x:v>
      </x:c>
      <x:c r="J426" t="str">
        <x:v>01012016_31122016enova.csv</x:v>
      </x:c>
    </x:row>
    <x:row r="427" ht="22" customHeight="1">
      <x:c r="A427" t="str">
        <x:v>d6ab6dd5aa7c</x:v>
      </x:c>
      <x:c r="B427" t="n">
        <x:v>2016</x:v>
      </x:c>
      <x:c r="C427" t="str">
        <x:v>Boligblokker</x:v>
      </x:c>
      <x:c r="D427" t="str">
        <x:v>B</x:v>
      </x:c>
      <x:c r="E427" t="n">
        <x:v>2016</x:v>
      </x:c>
      <x:c r="F427" t="n">
        <x:v>98.5</x:v>
      </x:c>
      <x:c r="G427" t="str">
        <x:v>Simple</x:v>
      </x:c>
      <x:c r="H427" t="str"/>
      <x:c r="I427" t="str">
        <x:v>Årlig beregnet, ikke målt</x:v>
      </x:c>
      <x:c r="J427" t="str">
        <x:v>01012016_31122016enova.csv</x:v>
      </x:c>
    </x:row>
    <x:row r="428" ht="22" customHeight="1">
      <x:c r="A428" t="str">
        <x:v>cae0593102ab</x:v>
      </x:c>
      <x:c r="B428" t="n">
        <x:v>2016</x:v>
      </x:c>
      <x:c r="C428" t="str">
        <x:v>Boligblokker</x:v>
      </x:c>
      <x:c r="D428" t="str">
        <x:v>B</x:v>
      </x:c>
      <x:c r="E428" t="n">
        <x:v>2015</x:v>
      </x:c>
      <x:c r="F428" t="n">
        <x:v>101.5</x:v>
      </x:c>
      <x:c r="G428" t="str">
        <x:v>Simple</x:v>
      </x:c>
      <x:c r="H428" t="str"/>
      <x:c r="I428" t="str">
        <x:v>Årlig beregnet, ikke målt</x:v>
      </x:c>
      <x:c r="J428" t="str">
        <x:v>01012016_31122016enova.csv</x:v>
      </x:c>
    </x:row>
    <x:row r="429" ht="22" customHeight="1">
      <x:c r="A429" t="str">
        <x:v>2ed3e20c896c</x:v>
      </x:c>
      <x:c r="B429" t="n">
        <x:v>2016</x:v>
      </x:c>
      <x:c r="C429" t="str">
        <x:v>Boligblokker</x:v>
      </x:c>
      <x:c r="D429" t="str">
        <x:v>C</x:v>
      </x:c>
      <x:c r="E429" t="n">
        <x:v>2004</x:v>
      </x:c>
      <x:c r="F429" t="n">
        <x:v>133.36</x:v>
      </x:c>
      <x:c r="G429" t="str">
        <x:v>Simple</x:v>
      </x:c>
      <x:c r="H429" t="str">
        <x:v>Mur/tegl</x:v>
      </x:c>
      <x:c r="I429" t="str">
        <x:v>Årlig beregnet, ikke målt</x:v>
      </x:c>
      <x:c r="J429" t="str">
        <x:v>01012016_31122016enova.csv</x:v>
      </x:c>
    </x:row>
    <x:row r="430" ht="22" customHeight="1">
      <x:c r="A430" t="str">
        <x:v>8dbd1b106ae8</x:v>
      </x:c>
      <x:c r="B430" t="n">
        <x:v>2016</x:v>
      </x:c>
      <x:c r="C430" t="str">
        <x:v>Boligblokker</x:v>
      </x:c>
      <x:c r="D430" t="str">
        <x:v>C</x:v>
      </x:c>
      <x:c r="E430" t="n">
        <x:v>2016</x:v>
      </x:c>
      <x:c r="F430" t="n">
        <x:v>106.7</x:v>
      </x:c>
      <x:c r="G430" t="str">
        <x:v>Simple</x:v>
      </x:c>
      <x:c r="H430" t="str"/>
      <x:c r="I430" t="str">
        <x:v>Årlig beregnet, ikke målt</x:v>
      </x:c>
      <x:c r="J430" t="str">
        <x:v>01012016_31122016enova.csv</x:v>
      </x:c>
    </x:row>
    <x:row r="431" ht="22" customHeight="1">
      <x:c r="A431" t="str">
        <x:v>16c5b471c4af</x:v>
      </x:c>
      <x:c r="B431" t="n">
        <x:v>2016</x:v>
      </x:c>
      <x:c r="C431" t="str">
        <x:v>Boligblokker</x:v>
      </x:c>
      <x:c r="D431" t="str">
        <x:v>C</x:v>
      </x:c>
      <x:c r="E431" t="n">
        <x:v>2012</x:v>
      </x:c>
      <x:c r="F431" t="n">
        <x:v>110.59</x:v>
      </x:c>
      <x:c r="G431" t="str">
        <x:v>Simple</x:v>
      </x:c>
      <x:c r="H431" t="str">
        <x:v>Betong</x:v>
      </x:c>
      <x:c r="I431" t="str">
        <x:v>Årlig beregnet, ikke målt</x:v>
      </x:c>
      <x:c r="J431" t="str">
        <x:v>01012016_31122016enova.csv</x:v>
      </x:c>
    </x:row>
    <x:row r="432" ht="22" customHeight="1">
      <x:c r="A432" t="str">
        <x:v>7d67614a6978</x:v>
      </x:c>
      <x:c r="B432" t="n">
        <x:v>2016</x:v>
      </x:c>
      <x:c r="C432" t="str">
        <x:v>Boligblokker</x:v>
      </x:c>
      <x:c r="D432" t="str">
        <x:v>C</x:v>
      </x:c>
      <x:c r="E432" t="n">
        <x:v>2015</x:v>
      </x:c>
      <x:c r="F432" t="n">
        <x:v>126.63</x:v>
      </x:c>
      <x:c r="G432" t="str">
        <x:v>Simple</x:v>
      </x:c>
      <x:c r="H432" t="str">
        <x:v>Tre</x:v>
      </x:c>
      <x:c r="I432" t="str">
        <x:v>Årlig beregnet, ikke målt</x:v>
      </x:c>
      <x:c r="J432" t="str">
        <x:v>01012016_31122016enova.csv</x:v>
      </x:c>
    </x:row>
    <x:row r="433" ht="22" customHeight="1">
      <x:c r="A433" t="str">
        <x:v>18b80a783ecc</x:v>
      </x:c>
      <x:c r="B433" t="n">
        <x:v>2016</x:v>
      </x:c>
      <x:c r="C433" t="str">
        <x:v>Boligblokker</x:v>
      </x:c>
      <x:c r="D433" t="str">
        <x:v>C</x:v>
      </x:c>
      <x:c r="E433" t="n">
        <x:v>2013</x:v>
      </x:c>
      <x:c r="F433" t="n">
        <x:v>126</x:v>
      </x:c>
      <x:c r="G433" t="str">
        <x:v>Simple</x:v>
      </x:c>
      <x:c r="H433" t="str"/>
      <x:c r="I433" t="str">
        <x:v>Årlig beregnet, ikke målt</x:v>
      </x:c>
      <x:c r="J433" t="str">
        <x:v>01012016_31122016enova.csv</x:v>
      </x:c>
    </x:row>
    <x:row r="434" ht="22" customHeight="1">
      <x:c r="A434" t="str">
        <x:v>cf18a1ec8f6b</x:v>
      </x:c>
      <x:c r="B434" t="n">
        <x:v>2016</x:v>
      </x:c>
      <x:c r="C434" t="str">
        <x:v>Boligblokker</x:v>
      </x:c>
      <x:c r="D434" t="str">
        <x:v>D</x:v>
      </x:c>
      <x:c r="E434" t="n">
        <x:v>2005</x:v>
      </x:c>
      <x:c r="F434" t="n">
        <x:v>157.41</x:v>
      </x:c>
      <x:c r="G434" t="str">
        <x:v>Simple</x:v>
      </x:c>
      <x:c r="H434" t="str">
        <x:v>Betong</x:v>
      </x:c>
      <x:c r="I434" t="str">
        <x:v>Årlig beregnet, ikke målt</x:v>
      </x:c>
      <x:c r="J434" t="str">
        <x:v>01012016_31122016enova.csv</x:v>
      </x:c>
    </x:row>
    <x:row r="435" ht="22" customHeight="1">
      <x:c r="A435" t="str">
        <x:v>658fe637abf1</x:v>
      </x:c>
      <x:c r="B435" t="n">
        <x:v>2016</x:v>
      </x:c>
      <x:c r="C435" t="str">
        <x:v>Boligblokker</x:v>
      </x:c>
      <x:c r="D435" t="str">
        <x:v>D</x:v>
      </x:c>
      <x:c r="E435" t="n">
        <x:v>1998</x:v>
      </x:c>
      <x:c r="F435" t="n">
        <x:v>130.77</x:v>
      </x:c>
      <x:c r="G435" t="str">
        <x:v>Simple</x:v>
      </x:c>
      <x:c r="H435" t="str">
        <x:v>Betong</x:v>
      </x:c>
      <x:c r="I435" t="str">
        <x:v>Årlig beregnet, ikke målt</x:v>
      </x:c>
      <x:c r="J435" t="str">
        <x:v>01012016_31122016enova.csv</x:v>
      </x:c>
    </x:row>
    <x:row r="436" ht="22" customHeight="1">
      <x:c r="A436" t="str">
        <x:v>37846efff7f6</x:v>
      </x:c>
      <x:c r="B436" t="n">
        <x:v>2016</x:v>
      </x:c>
      <x:c r="C436" t="str">
        <x:v>Boligblokker</x:v>
      </x:c>
      <x:c r="D436" t="str">
        <x:v>D</x:v>
      </x:c>
      <x:c r="E436" t="n">
        <x:v>2009</x:v>
      </x:c>
      <x:c r="F436" t="n">
        <x:v>159.81</x:v>
      </x:c>
      <x:c r="G436" t="str">
        <x:v>Simple</x:v>
      </x:c>
      <x:c r="H436" t="str">
        <x:v>Tre</x:v>
      </x:c>
      <x:c r="I436" t="str">
        <x:v>Årlig beregnet, ikke målt</x:v>
      </x:c>
      <x:c r="J436" t="str">
        <x:v>01012016_31122016enova.csv</x:v>
      </x:c>
    </x:row>
    <x:row r="437" ht="22" customHeight="1">
      <x:c r="A437" t="str">
        <x:v>b79a160cf8fd</x:v>
      </x:c>
      <x:c r="B437" t="n">
        <x:v>2016</x:v>
      </x:c>
      <x:c r="C437" t="str">
        <x:v>Boligblokker</x:v>
      </x:c>
      <x:c r="D437" t="str">
        <x:v>D</x:v>
      </x:c>
      <x:c r="E437" t="n">
        <x:v>2016</x:v>
      </x:c>
      <x:c r="F437" t="n">
        <x:v>138.63</x:v>
      </x:c>
      <x:c r="G437" t="str">
        <x:v>Simple</x:v>
      </x:c>
      <x:c r="H437" t="str">
        <x:v>Betong</x:v>
      </x:c>
      <x:c r="I437" t="str">
        <x:v>Årlig beregnet, ikke målt</x:v>
      </x:c>
      <x:c r="J437" t="str">
        <x:v>01012016_31122016enova.csv</x:v>
      </x:c>
    </x:row>
    <x:row r="438" ht="22" customHeight="1">
      <x:c r="A438" t="str">
        <x:v>806468a46ace</x:v>
      </x:c>
      <x:c r="B438" t="n">
        <x:v>2016</x:v>
      </x:c>
      <x:c r="C438" t="str">
        <x:v>Boligblokker</x:v>
      </x:c>
      <x:c r="D438" t="str">
        <x:v>D</x:v>
      </x:c>
      <x:c r="E438" t="n">
        <x:v>1963</x:v>
      </x:c>
      <x:c r="F438" t="n">
        <x:v>199.1</x:v>
      </x:c>
      <x:c r="G438" t="str">
        <x:v>Advanced</x:v>
      </x:c>
      <x:c r="H438" t="str"/>
      <x:c r="I438" t="str">
        <x:v>Årlig beregnet, ikke målt</x:v>
      </x:c>
      <x:c r="J438" t="str">
        <x:v>01012016_31122016enova.csv</x:v>
      </x:c>
    </x:row>
    <x:row r="439" ht="22" customHeight="1">
      <x:c r="A439" t="str">
        <x:v>5d0a4237fde8</x:v>
      </x:c>
      <x:c r="B439" t="n">
        <x:v>2016</x:v>
      </x:c>
      <x:c r="C439" t="str">
        <x:v>Boligblokker</x:v>
      </x:c>
      <x:c r="D439" t="str">
        <x:v>E</x:v>
      </x:c>
      <x:c r="E439" t="n">
        <x:v>1999</x:v>
      </x:c>
      <x:c r="F439" t="n">
        <x:v>178.07</x:v>
      </x:c>
      <x:c r="G439" t="str">
        <x:v>Simple</x:v>
      </x:c>
      <x:c r="H439" t="str">
        <x:v>Tre</x:v>
      </x:c>
      <x:c r="I439" t="str">
        <x:v>Årlig beregnet, ikke målt</x:v>
      </x:c>
      <x:c r="J439" t="str">
        <x:v>01012016_31122016enova.csv</x:v>
      </x:c>
    </x:row>
    <x:row r="440" ht="22" customHeight="1">
      <x:c r="A440" t="str">
        <x:v>f5258955f081</x:v>
      </x:c>
      <x:c r="B440" t="n">
        <x:v>2016</x:v>
      </x:c>
      <x:c r="C440" t="str">
        <x:v>Boligblokker</x:v>
      </x:c>
      <x:c r="D440" t="str">
        <x:v>E</x:v>
      </x:c>
      <x:c r="E440" t="n">
        <x:v>1955</x:v>
      </x:c>
      <x:c r="F440" t="n">
        <x:v>172</x:v>
      </x:c>
      <x:c r="G440" t="str">
        <x:v>Advanced</x:v>
      </x:c>
      <x:c r="H440" t="str"/>
      <x:c r="I440" t="str">
        <x:v>Årlig beregnet, ikke målt</x:v>
      </x:c>
      <x:c r="J440" t="str">
        <x:v>01012016_31122016enova.csv</x:v>
      </x:c>
    </x:row>
    <x:row r="441" ht="22" customHeight="1">
      <x:c r="A441" t="str">
        <x:v>a8ff853c740c</x:v>
      </x:c>
      <x:c r="B441" t="n">
        <x:v>2016</x:v>
      </x:c>
      <x:c r="C441" t="str">
        <x:v>Boligblokker</x:v>
      </x:c>
      <x:c r="D441" t="str">
        <x:v>E</x:v>
      </x:c>
      <x:c r="E441" t="n">
        <x:v>1975</x:v>
      </x:c>
      <x:c r="F441" t="n">
        <x:v>173.19</x:v>
      </x:c>
      <x:c r="G441" t="str">
        <x:v>Simple</x:v>
      </x:c>
      <x:c r="H441" t="str">
        <x:v>Betong</x:v>
      </x:c>
      <x:c r="I441" t="str">
        <x:v>Årlig beregnet, ikke målt</x:v>
      </x:c>
      <x:c r="J441" t="str">
        <x:v>01012016_31122016enova.csv</x:v>
      </x:c>
    </x:row>
    <x:row r="442" ht="22" customHeight="1">
      <x:c r="A442" t="str">
        <x:v>b8c7ecefe695</x:v>
      </x:c>
      <x:c r="B442" t="n">
        <x:v>2016</x:v>
      </x:c>
      <x:c r="C442" t="str">
        <x:v>Boligblokker</x:v>
      </x:c>
      <x:c r="D442" t="str">
        <x:v>E</x:v>
      </x:c>
      <x:c r="E442" t="n">
        <x:v>2006</x:v>
      </x:c>
      <x:c r="F442" t="n">
        <x:v>187.35</x:v>
      </x:c>
      <x:c r="G442" t="str">
        <x:v>Simple</x:v>
      </x:c>
      <x:c r="H442" t="str">
        <x:v>Tre</x:v>
      </x:c>
      <x:c r="I442" t="str">
        <x:v>Årlig beregnet, ikke målt</x:v>
      </x:c>
      <x:c r="J442" t="str">
        <x:v>01012016_31122016enova.csv</x:v>
      </x:c>
    </x:row>
    <x:row r="443" ht="22" customHeight="1">
      <x:c r="A443" t="str">
        <x:v>ffe1bcf50dd5</x:v>
      </x:c>
      <x:c r="B443" t="n">
        <x:v>2016</x:v>
      </x:c>
      <x:c r="C443" t="str">
        <x:v>Boligblokker</x:v>
      </x:c>
      <x:c r="D443" t="str">
        <x:v>E</x:v>
      </x:c>
      <x:c r="E443" t="n">
        <x:v>1970</x:v>
      </x:c>
      <x:c r="F443" t="n">
        <x:v>210.06</x:v>
      </x:c>
      <x:c r="G443" t="str">
        <x:v>Simple</x:v>
      </x:c>
      <x:c r="H443" t="str">
        <x:v>Betong</x:v>
      </x:c>
      <x:c r="I443" t="str">
        <x:v>Årlig beregnet, ikke målt</x:v>
      </x:c>
      <x:c r="J443" t="str">
        <x:v>01012016_31122016enova.csv</x:v>
      </x:c>
    </x:row>
    <x:row r="444" ht="22" customHeight="1">
      <x:c r="A444" t="str">
        <x:v>1ea72b18220a</x:v>
      </x:c>
      <x:c r="B444" t="n">
        <x:v>2016</x:v>
      </x:c>
      <x:c r="C444" t="str">
        <x:v>Boligblokker</x:v>
      </x:c>
      <x:c r="D444" t="str">
        <x:v>F</x:v>
      </x:c>
      <x:c r="E444" t="n">
        <x:v>1953</x:v>
      </x:c>
      <x:c r="F444" t="n">
        <x:v>222.72</x:v>
      </x:c>
      <x:c r="G444" t="str">
        <x:v>Simple</x:v>
      </x:c>
      <x:c r="H444" t="str">
        <x:v>Mur/tegl</x:v>
      </x:c>
      <x:c r="I444" t="str">
        <x:v>Årlig beregnet, ikke målt</x:v>
      </x:c>
      <x:c r="J444" t="str">
        <x:v>01012016_31122016enova.csv</x:v>
      </x:c>
    </x:row>
    <x:row r="445" ht="22" customHeight="1">
      <x:c r="A445" t="str">
        <x:v>4319a8e833b1</x:v>
      </x:c>
      <x:c r="B445" t="n">
        <x:v>2016</x:v>
      </x:c>
      <x:c r="C445" t="str">
        <x:v>Boligblokker</x:v>
      </x:c>
      <x:c r="D445" t="str">
        <x:v>F</x:v>
      </x:c>
      <x:c r="E445" t="n">
        <x:v>1936</x:v>
      </x:c>
      <x:c r="F445" t="n">
        <x:v>261.19</x:v>
      </x:c>
      <x:c r="G445" t="str">
        <x:v>Simple</x:v>
      </x:c>
      <x:c r="H445" t="str">
        <x:v>Mur/tegl</x:v>
      </x:c>
      <x:c r="I445" t="str">
        <x:v>Årlig beregnet, ikke målt</x:v>
      </x:c>
      <x:c r="J445" t="str">
        <x:v>01012016_31122016enova.csv</x:v>
      </x:c>
    </x:row>
    <x:row r="446" ht="22" customHeight="1">
      <x:c r="A446" t="str">
        <x:v>ba255814603f</x:v>
      </x:c>
      <x:c r="B446" t="n">
        <x:v>2016</x:v>
      </x:c>
      <x:c r="C446" t="str">
        <x:v>Boligblokker</x:v>
      </x:c>
      <x:c r="D446" t="str">
        <x:v>F</x:v>
      </x:c>
      <x:c r="E446" t="n">
        <x:v>1974</x:v>
      </x:c>
      <x:c r="F446" t="n">
        <x:v>215.32</x:v>
      </x:c>
      <x:c r="G446" t="str">
        <x:v>Simple</x:v>
      </x:c>
      <x:c r="H446" t="str">
        <x:v>Betong</x:v>
      </x:c>
      <x:c r="I446" t="str">
        <x:v>Årlig beregnet, ikke målt</x:v>
      </x:c>
      <x:c r="J446" t="str">
        <x:v>01012016_31122016enova.csv</x:v>
      </x:c>
    </x:row>
    <x:row r="447" ht="22" customHeight="1">
      <x:c r="A447" t="str">
        <x:v>065c33659fc1</x:v>
      </x:c>
      <x:c r="B447" t="n">
        <x:v>2016</x:v>
      </x:c>
      <x:c r="C447" t="str">
        <x:v>Boligblokker</x:v>
      </x:c>
      <x:c r="D447" t="str">
        <x:v>F</x:v>
      </x:c>
      <x:c r="E447" t="n">
        <x:v>1996</x:v>
      </x:c>
      <x:c r="F447" t="n">
        <x:v>210.26</x:v>
      </x:c>
      <x:c r="G447" t="str">
        <x:v>Simple</x:v>
      </x:c>
      <x:c r="H447" t="str">
        <x:v>Betong</x:v>
      </x:c>
      <x:c r="I447" t="str">
        <x:v>Årlig beregnet, ikke målt</x:v>
      </x:c>
      <x:c r="J447" t="str">
        <x:v>01012016_31122016enova.csv</x:v>
      </x:c>
    </x:row>
    <x:row r="448" ht="22" customHeight="1">
      <x:c r="A448" t="str">
        <x:v>95c237333765</x:v>
      </x:c>
      <x:c r="B448" t="n">
        <x:v>2016</x:v>
      </x:c>
      <x:c r="C448" t="str">
        <x:v>Boligblokker</x:v>
      </x:c>
      <x:c r="D448" t="str">
        <x:v>F</x:v>
      </x:c>
      <x:c r="E448" t="n">
        <x:v>1966</x:v>
      </x:c>
      <x:c r="F448" t="n">
        <x:v>203.65</x:v>
      </x:c>
      <x:c r="G448" t="str">
        <x:v>Simple</x:v>
      </x:c>
      <x:c r="H448" t="str">
        <x:v>Betong</x:v>
      </x:c>
      <x:c r="I448" t="str">
        <x:v>Årlig beregnet, ikke målt</x:v>
      </x:c>
      <x:c r="J448" t="str">
        <x:v>01012016_31122016enova.csv</x:v>
      </x:c>
    </x:row>
    <x:row r="449" ht="22" customHeight="1">
      <x:c r="A449" t="str">
        <x:v>bbda7f0f2d2e</x:v>
      </x:c>
      <x:c r="B449" t="n">
        <x:v>2016</x:v>
      </x:c>
      <x:c r="C449" t="str">
        <x:v>Boligblokker</x:v>
      </x:c>
      <x:c r="D449" t="str">
        <x:v>G</x:v>
      </x:c>
      <x:c r="E449" t="n">
        <x:v>1946</x:v>
      </x:c>
      <x:c r="F449" t="n">
        <x:v>278.23</x:v>
      </x:c>
      <x:c r="G449" t="str">
        <x:v>Simple</x:v>
      </x:c>
      <x:c r="H449" t="str">
        <x:v>Betong</x:v>
      </x:c>
      <x:c r="I449" t="str">
        <x:v>Årlig beregnet, ikke målt</x:v>
      </x:c>
      <x:c r="J449" t="str">
        <x:v>01012016_31122016enova.csv</x:v>
      </x:c>
    </x:row>
    <x:row r="450" ht="22" customHeight="1">
      <x:c r="A450" t="str">
        <x:v>bf21e735ddb2</x:v>
      </x:c>
      <x:c r="B450" t="n">
        <x:v>2016</x:v>
      </x:c>
      <x:c r="C450" t="str">
        <x:v>Boligblokker</x:v>
      </x:c>
      <x:c r="D450" t="str">
        <x:v>G</x:v>
      </x:c>
      <x:c r="E450" t="n">
        <x:v>1896</x:v>
      </x:c>
      <x:c r="F450" t="n">
        <x:v>297.05</x:v>
      </x:c>
      <x:c r="G450" t="str">
        <x:v>Simple</x:v>
      </x:c>
      <x:c r="H450" t="str">
        <x:v>Mur/tegl</x:v>
      </x:c>
      <x:c r="I450" t="str">
        <x:v>Årlig beregnet, ikke målt</x:v>
      </x:c>
      <x:c r="J450" t="str">
        <x:v>01012016_31122016enova.csv</x:v>
      </x:c>
    </x:row>
    <x:row r="451" ht="22" customHeight="1">
      <x:c r="A451" t="str">
        <x:v>3a372b7737e9</x:v>
      </x:c>
      <x:c r="B451" t="n">
        <x:v>2016</x:v>
      </x:c>
      <x:c r="C451" t="str">
        <x:v>Boligblokker</x:v>
      </x:c>
      <x:c r="D451" t="str">
        <x:v>G</x:v>
      </x:c>
      <x:c r="E451" t="n">
        <x:v>1958</x:v>
      </x:c>
      <x:c r="F451" t="n">
        <x:v>316.39</x:v>
      </x:c>
      <x:c r="G451" t="str">
        <x:v>Simple</x:v>
      </x:c>
      <x:c r="H451" t="str">
        <x:v>Betong</x:v>
      </x:c>
      <x:c r="I451" t="str">
        <x:v>Årlig beregnet, ikke målt</x:v>
      </x:c>
      <x:c r="J451" t="str">
        <x:v>01012016_31122016enova.csv</x:v>
      </x:c>
    </x:row>
    <x:row r="452" ht="22" customHeight="1">
      <x:c r="A452" t="str">
        <x:v>e28123aa2aee</x:v>
      </x:c>
      <x:c r="B452" t="n">
        <x:v>2016</x:v>
      </x:c>
      <x:c r="C452" t="str">
        <x:v>Boligblokker</x:v>
      </x:c>
      <x:c r="D452" t="str">
        <x:v>G</x:v>
      </x:c>
      <x:c r="E452" t="n">
        <x:v>1894</x:v>
      </x:c>
      <x:c r="F452" t="n">
        <x:v>465.45</x:v>
      </x:c>
      <x:c r="G452" t="str">
        <x:v>Simple</x:v>
      </x:c>
      <x:c r="H452" t="str">
        <x:v>Mur/tegl</x:v>
      </x:c>
      <x:c r="I452" t="str">
        <x:v>Årlig beregnet, ikke målt</x:v>
      </x:c>
      <x:c r="J452" t="str">
        <x:v>01012016_31122016enova.csv</x:v>
      </x:c>
    </x:row>
    <x:row r="453" ht="22" customHeight="1">
      <x:c r="A453" t="str">
        <x:v>e499372e98c9</x:v>
      </x:c>
      <x:c r="B453" t="n">
        <x:v>2016</x:v>
      </x:c>
      <x:c r="C453" t="str">
        <x:v>Boligblokker</x:v>
      </x:c>
      <x:c r="D453" t="str">
        <x:v>G</x:v>
      </x:c>
      <x:c r="E453" t="n">
        <x:v>1900</x:v>
      </x:c>
      <x:c r="F453" t="n">
        <x:v>341.82</x:v>
      </x:c>
      <x:c r="G453" t="str">
        <x:v>Simple</x:v>
      </x:c>
      <x:c r="H453" t="str">
        <x:v>Betong</x:v>
      </x:c>
      <x:c r="I453" t="str">
        <x:v>Årlig beregnet, ikke målt</x:v>
      </x:c>
      <x:c r="J453" t="str">
        <x:v>01012016_31122016enova.csv</x:v>
      </x:c>
    </x:row>
    <x:row r="454" ht="22" customHeight="1">
      <x:c r="A454" t="str">
        <x:v>0b85f93f83f3</x:v>
      </x:c>
      <x:c r="B454" t="n">
        <x:v>2016</x:v>
      </x:c>
      <x:c r="C454" t="str">
        <x:v>Forretningsbygg</x:v>
      </x:c>
      <x:c r="D454" t="str">
        <x:v>A</x:v>
      </x:c>
      <x:c r="E454" t="n">
        <x:v>2015</x:v>
      </x:c>
      <x:c r="F454" t="n">
        <x:v>102.2</x:v>
      </x:c>
      <x:c r="G454" t="str">
        <x:v>Simple</x:v>
      </x:c>
      <x:c r="H454" t="str"/>
      <x:c r="I454" t="str">
        <x:v>Årlig beregnet, ikke målt</x:v>
      </x:c>
      <x:c r="J454" t="str">
        <x:v>01012016_31122016enova.csv</x:v>
      </x:c>
    </x:row>
    <x:row r="455" ht="22" customHeight="1">
      <x:c r="A455" t="str">
        <x:v>f441cae344d3</x:v>
      </x:c>
      <x:c r="B455" t="n">
        <x:v>2016</x:v>
      </x:c>
      <x:c r="C455" t="str">
        <x:v>Forretningsbygg</x:v>
      </x:c>
      <x:c r="D455" t="str">
        <x:v>A</x:v>
      </x:c>
      <x:c r="E455" t="n">
        <x:v>2014</x:v>
      </x:c>
      <x:c r="F455" t="n">
        <x:v>111</x:v>
      </x:c>
      <x:c r="G455" t="str">
        <x:v>Advanced</x:v>
      </x:c>
      <x:c r="H455" t="str"/>
      <x:c r="I455" t="str">
        <x:v>Årlig beregnet, ikke målt</x:v>
      </x:c>
      <x:c r="J455" t="str">
        <x:v>01012016_31122016enova.csv</x:v>
      </x:c>
    </x:row>
    <x:row r="456" ht="22" customHeight="1">
      <x:c r="A456" t="str">
        <x:v>2818b9b54822</x:v>
      </x:c>
      <x:c r="B456" t="n">
        <x:v>2016</x:v>
      </x:c>
      <x:c r="C456" t="str">
        <x:v>Forretningsbygg</x:v>
      </x:c>
      <x:c r="D456" t="str">
        <x:v>A</x:v>
      </x:c>
      <x:c r="E456" t="n">
        <x:v>2014</x:v>
      </x:c>
      <x:c r="F456" t="n">
        <x:v>114.83</x:v>
      </x:c>
      <x:c r="G456" t="str">
        <x:v>Simple</x:v>
      </x:c>
      <x:c r="H456" t="str">
        <x:v>Betong</x:v>
      </x:c>
      <x:c r="I456" t="str">
        <x:v>Årlig beregnet, ikke målt</x:v>
      </x:c>
      <x:c r="J456" t="str">
        <x:v>01012016_31122016enova.csv</x:v>
      </x:c>
    </x:row>
    <x:row r="457" ht="22" customHeight="1">
      <x:c r="A457" t="str">
        <x:v>50007b884252</x:v>
      </x:c>
      <x:c r="B457" t="n">
        <x:v>2016</x:v>
      </x:c>
      <x:c r="C457" t="str">
        <x:v>Forretningsbygg</x:v>
      </x:c>
      <x:c r="D457" t="str">
        <x:v>A</x:v>
      </x:c>
      <x:c r="E457" t="n">
        <x:v>2015</x:v>
      </x:c>
      <x:c r="F457" t="n">
        <x:v>80.9</x:v>
      </x:c>
      <x:c r="G457" t="str">
        <x:v>Simple</x:v>
      </x:c>
      <x:c r="H457" t="str"/>
      <x:c r="I457" t="str">
        <x:v>Årlig beregnet, ikke målt</x:v>
      </x:c>
      <x:c r="J457" t="str">
        <x:v>01012016_31122016enova.csv</x:v>
      </x:c>
    </x:row>
    <x:row r="458" ht="22" customHeight="1">
      <x:c r="A458" t="str">
        <x:v>260c28ccb644</x:v>
      </x:c>
      <x:c r="B458" t="n">
        <x:v>2016</x:v>
      </x:c>
      <x:c r="C458" t="str">
        <x:v>Forretningsbygg</x:v>
      </x:c>
      <x:c r="D458" t="str">
        <x:v>B</x:v>
      </x:c>
      <x:c r="E458" t="n">
        <x:v>1974</x:v>
      </x:c>
      <x:c r="F458" t="n">
        <x:v>159.6</x:v>
      </x:c>
      <x:c r="G458" t="str">
        <x:v>Simple</x:v>
      </x:c>
      <x:c r="H458" t="str"/>
      <x:c r="I458" t="str">
        <x:v>Årlig beregnet, ikke målt</x:v>
      </x:c>
      <x:c r="J458" t="str">
        <x:v>01012016_31122016enova.csv</x:v>
      </x:c>
    </x:row>
    <x:row r="459" ht="22" customHeight="1">
      <x:c r="A459" t="str">
        <x:v>ce86510d8d05</x:v>
      </x:c>
      <x:c r="B459" t="n">
        <x:v>2016</x:v>
      </x:c>
      <x:c r="C459" t="str">
        <x:v>Forretningsbygg</x:v>
      </x:c>
      <x:c r="D459" t="str">
        <x:v>B</x:v>
      </x:c>
      <x:c r="E459" t="n">
        <x:v>2016</x:v>
      </x:c>
      <x:c r="F459" t="n">
        <x:v>125.5</x:v>
      </x:c>
      <x:c r="G459" t="str">
        <x:v>Advanced</x:v>
      </x:c>
      <x:c r="H459" t="str"/>
      <x:c r="I459" t="str">
        <x:v>Årlig beregnet, ikke målt</x:v>
      </x:c>
      <x:c r="J459" t="str">
        <x:v>01012016_31122016enova.csv</x:v>
      </x:c>
    </x:row>
    <x:row r="460" ht="22" customHeight="1">
      <x:c r="A460" t="str">
        <x:v>c4ed5d2b9770</x:v>
      </x:c>
      <x:c r="B460" t="n">
        <x:v>2016</x:v>
      </x:c>
      <x:c r="C460" t="str">
        <x:v>Forretningsbygg</x:v>
      </x:c>
      <x:c r="D460" t="str">
        <x:v>B</x:v>
      </x:c>
      <x:c r="E460" t="n">
        <x:v>2015</x:v>
      </x:c>
      <x:c r="F460" t="n">
        <x:v>133.5</x:v>
      </x:c>
      <x:c r="G460" t="str">
        <x:v>Simple</x:v>
      </x:c>
      <x:c r="H460" t="str"/>
      <x:c r="I460" t="str">
        <x:v>Årlig beregnet, ikke målt</x:v>
      </x:c>
      <x:c r="J460" t="str">
        <x:v>01012016_31122016enova.csv</x:v>
      </x:c>
    </x:row>
    <x:row r="461" ht="22" customHeight="1">
      <x:c r="A461" t="str">
        <x:v>1e072e8dd4cb</x:v>
      </x:c>
      <x:c r="B461" t="n">
        <x:v>2016</x:v>
      </x:c>
      <x:c r="C461" t="str">
        <x:v>Forretningsbygg</x:v>
      </x:c>
      <x:c r="D461" t="str">
        <x:v>B</x:v>
      </x:c>
      <x:c r="E461" t="n">
        <x:v>2011</x:v>
      </x:c>
      <x:c r="F461" t="n">
        <x:v>148.7</x:v>
      </x:c>
      <x:c r="G461" t="str">
        <x:v>Simple</x:v>
      </x:c>
      <x:c r="H461" t="str"/>
      <x:c r="I461" t="str">
        <x:v>Årlig beregnet, ikke målt</x:v>
      </x:c>
      <x:c r="J461" t="str">
        <x:v>01012016_31122016enova.csv</x:v>
      </x:c>
    </x:row>
    <x:row r="462" ht="22" customHeight="1">
      <x:c r="A462" t="str">
        <x:v>2316902d9504</x:v>
      </x:c>
      <x:c r="B462" t="n">
        <x:v>2016</x:v>
      </x:c>
      <x:c r="C462" t="str">
        <x:v>Forretningsbygg</x:v>
      </x:c>
      <x:c r="D462" t="str">
        <x:v>B</x:v>
      </x:c>
      <x:c r="E462" t="n">
        <x:v>2012</x:v>
      </x:c>
      <x:c r="F462" t="n">
        <x:v>141</x:v>
      </x:c>
      <x:c r="G462" t="str">
        <x:v>Simple</x:v>
      </x:c>
      <x:c r="H462" t="str"/>
      <x:c r="I462" t="str">
        <x:v>Årlig beregnet, ikke målt</x:v>
      </x:c>
      <x:c r="J462" t="str">
        <x:v>01012016_31122016enova.csv</x:v>
      </x:c>
    </x:row>
    <x:row r="463" ht="22" customHeight="1">
      <x:c r="A463" t="str">
        <x:v>a4ce740d009a</x:v>
      </x:c>
      <x:c r="B463" t="n">
        <x:v>2016</x:v>
      </x:c>
      <x:c r="C463" t="str">
        <x:v>Forretningsbygg</x:v>
      </x:c>
      <x:c r="D463" t="str">
        <x:v>C</x:v>
      </x:c>
      <x:c r="E463" t="n">
        <x:v>2015</x:v>
      </x:c>
      <x:c r="F463" t="n">
        <x:v>186.4</x:v>
      </x:c>
      <x:c r="G463" t="str">
        <x:v>Simple</x:v>
      </x:c>
      <x:c r="H463" t="str"/>
      <x:c r="I463" t="str">
        <x:v>Årlig beregnet, ikke målt</x:v>
      </x:c>
      <x:c r="J463" t="str">
        <x:v>01012016_31122016enova.csv</x:v>
      </x:c>
    </x:row>
    <x:row r="464" ht="22" customHeight="1">
      <x:c r="A464" t="str">
        <x:v>5b55db4ed862</x:v>
      </x:c>
      <x:c r="B464" t="n">
        <x:v>2016</x:v>
      </x:c>
      <x:c r="C464" t="str">
        <x:v>Forretningsbygg</x:v>
      </x:c>
      <x:c r="D464" t="str">
        <x:v>C</x:v>
      </x:c>
      <x:c r="E464" t="n">
        <x:v>2007</x:v>
      </x:c>
      <x:c r="F464" t="n">
        <x:v>187.7</x:v>
      </x:c>
      <x:c r="G464" t="str">
        <x:v>Simple</x:v>
      </x:c>
      <x:c r="H464" t="str"/>
      <x:c r="I464" t="str">
        <x:v>Årlig beregnet, ikke målt</x:v>
      </x:c>
      <x:c r="J464" t="str">
        <x:v>01012016_31122016enova.csv</x:v>
      </x:c>
    </x:row>
    <x:row r="465" ht="22" customHeight="1">
      <x:c r="A465" t="str">
        <x:v>c4f8952a7ff6</x:v>
      </x:c>
      <x:c r="B465" t="n">
        <x:v>2016</x:v>
      </x:c>
      <x:c r="C465" t="str">
        <x:v>Forretningsbygg</x:v>
      </x:c>
      <x:c r="D465" t="str">
        <x:v>C</x:v>
      </x:c>
      <x:c r="E465" t="n">
        <x:v>1997</x:v>
      </x:c>
      <x:c r="F465" t="n">
        <x:v>183</x:v>
      </x:c>
      <x:c r="G465" t="str">
        <x:v>Advanced</x:v>
      </x:c>
      <x:c r="H465" t="str"/>
      <x:c r="I465" t="str">
        <x:v>Årlig beregnet, ikke målt</x:v>
      </x:c>
      <x:c r="J465" t="str">
        <x:v>01012016_31122016enova.csv</x:v>
      </x:c>
    </x:row>
    <x:row r="466" ht="22" customHeight="1">
      <x:c r="A466" t="str">
        <x:v>957199f8afff</x:v>
      </x:c>
      <x:c r="B466" t="n">
        <x:v>2016</x:v>
      </x:c>
      <x:c r="C466" t="str">
        <x:v>Forretningsbygg</x:v>
      </x:c>
      <x:c r="D466" t="str">
        <x:v>C</x:v>
      </x:c>
      <x:c r="E466" t="n">
        <x:v>2013</x:v>
      </x:c>
      <x:c r="F466" t="n">
        <x:v>168.6</x:v>
      </x:c>
      <x:c r="G466" t="str">
        <x:v>Simple</x:v>
      </x:c>
      <x:c r="H466" t="str"/>
      <x:c r="I466" t="str">
        <x:v>Årlig beregnet, ikke målt</x:v>
      </x:c>
      <x:c r="J466" t="str">
        <x:v>01012016_31122016enova.csv</x:v>
      </x:c>
    </x:row>
    <x:row r="467" ht="22" customHeight="1">
      <x:c r="A467" t="str">
        <x:v>7f7f2cb59a8c</x:v>
      </x:c>
      <x:c r="B467" t="n">
        <x:v>2016</x:v>
      </x:c>
      <x:c r="C467" t="str">
        <x:v>Forretningsbygg</x:v>
      </x:c>
      <x:c r="D467" t="str">
        <x:v>C</x:v>
      </x:c>
      <x:c r="E467" t="n">
        <x:v>2013</x:v>
      </x:c>
      <x:c r="F467" t="n">
        <x:v>190</x:v>
      </x:c>
      <x:c r="G467" t="str">
        <x:v>Simple</x:v>
      </x:c>
      <x:c r="H467" t="str"/>
      <x:c r="I467" t="str">
        <x:v>Årlig beregnet, ikke målt</x:v>
      </x:c>
      <x:c r="J467" t="str">
        <x:v>01012016_31122016enova.csv</x:v>
      </x:c>
    </x:row>
    <x:row r="468" ht="22" customHeight="1">
      <x:c r="A468" t="str">
        <x:v>fc385631446b</x:v>
      </x:c>
      <x:c r="B468" t="n">
        <x:v>2016</x:v>
      </x:c>
      <x:c r="C468" t="str">
        <x:v>Forretningsbygg</x:v>
      </x:c>
      <x:c r="D468" t="str">
        <x:v>D</x:v>
      </x:c>
      <x:c r="E468" t="n">
        <x:v>1990</x:v>
      </x:c>
      <x:c r="F468" t="n">
        <x:v>240.8</x:v>
      </x:c>
      <x:c r="G468" t="str">
        <x:v>Advanced</x:v>
      </x:c>
      <x:c r="H468" t="str"/>
      <x:c r="I468" t="str">
        <x:v>Årlig beregnet, ikke målt</x:v>
      </x:c>
      <x:c r="J468" t="str">
        <x:v>01012016_31122016enova.csv</x:v>
      </x:c>
    </x:row>
    <x:row r="469" ht="22" customHeight="1">
      <x:c r="A469" t="str">
        <x:v>4aaa4530a070</x:v>
      </x:c>
      <x:c r="B469" t="n">
        <x:v>2016</x:v>
      </x:c>
      <x:c r="C469" t="str">
        <x:v>Forretningsbygg</x:v>
      </x:c>
      <x:c r="D469" t="str">
        <x:v>D</x:v>
      </x:c>
      <x:c r="E469" t="n">
        <x:v>2001</x:v>
      </x:c>
      <x:c r="F469" t="n">
        <x:v>236.5</x:v>
      </x:c>
      <x:c r="G469" t="str">
        <x:v>Simple</x:v>
      </x:c>
      <x:c r="H469" t="str"/>
      <x:c r="I469" t="str">
        <x:v>Årlig beregnet, ikke målt</x:v>
      </x:c>
      <x:c r="J469" t="str">
        <x:v>01012016_31122016enova.csv</x:v>
      </x:c>
    </x:row>
    <x:row r="470" ht="22" customHeight="1">
      <x:c r="A470" t="str">
        <x:v>ce476e14ba0f</x:v>
      </x:c>
      <x:c r="B470" t="n">
        <x:v>2016</x:v>
      </x:c>
      <x:c r="C470" t="str">
        <x:v>Forretningsbygg</x:v>
      </x:c>
      <x:c r="D470" t="str">
        <x:v>D</x:v>
      </x:c>
      <x:c r="E470" t="n">
        <x:v>1930</x:v>
      </x:c>
      <x:c r="F470" t="n">
        <x:v>212.5</x:v>
      </x:c>
      <x:c r="G470" t="str">
        <x:v>Simple</x:v>
      </x:c>
      <x:c r="H470" t="str"/>
      <x:c r="I470" t="str">
        <x:v>Årlig beregnet, ikke målt</x:v>
      </x:c>
      <x:c r="J470" t="str">
        <x:v>01012016_31122016enova.csv</x:v>
      </x:c>
    </x:row>
    <x:row r="471" ht="22" customHeight="1">
      <x:c r="A471" t="str">
        <x:v>d28860cd2550</x:v>
      </x:c>
      <x:c r="B471" t="n">
        <x:v>2016</x:v>
      </x:c>
      <x:c r="C471" t="str">
        <x:v>Forretningsbygg</x:v>
      </x:c>
      <x:c r="D471" t="str">
        <x:v>D</x:v>
      </x:c>
      <x:c r="E471" t="n">
        <x:v>1947</x:v>
      </x:c>
      <x:c r="F471" t="n">
        <x:v>251.8</x:v>
      </x:c>
      <x:c r="G471" t="str">
        <x:v>Advanced</x:v>
      </x:c>
      <x:c r="H471" t="str"/>
      <x:c r="I471" t="str">
        <x:v>Årlig beregnet, ikke målt</x:v>
      </x:c>
      <x:c r="J471" t="str">
        <x:v>01012016_31122016enova.csv</x:v>
      </x:c>
    </x:row>
    <x:row r="472" ht="22" customHeight="1">
      <x:c r="A472" t="str">
        <x:v>bc1b4a0c0ebf</x:v>
      </x:c>
      <x:c r="B472" t="n">
        <x:v>2016</x:v>
      </x:c>
      <x:c r="C472" t="str">
        <x:v>Forretningsbygg</x:v>
      </x:c>
      <x:c r="D472" t="str">
        <x:v>D</x:v>
      </x:c>
      <x:c r="E472" t="n">
        <x:v>1966</x:v>
      </x:c>
      <x:c r="F472" t="n">
        <x:v>216.9</x:v>
      </x:c>
      <x:c r="G472" t="str">
        <x:v>Simple</x:v>
      </x:c>
      <x:c r="H472" t="str"/>
      <x:c r="I472" t="str">
        <x:v>Årlig beregnet, ikke målt</x:v>
      </x:c>
      <x:c r="J472" t="str">
        <x:v>01012016_31122016enova.csv</x:v>
      </x:c>
    </x:row>
    <x:row r="473" ht="22" customHeight="1">
      <x:c r="A473" t="str">
        <x:v>5b4f183197b8</x:v>
      </x:c>
      <x:c r="B473" t="n">
        <x:v>2016</x:v>
      </x:c>
      <x:c r="C473" t="str">
        <x:v>Forretningsbygg</x:v>
      </x:c>
      <x:c r="D473" t="str">
        <x:v>E</x:v>
      </x:c>
      <x:c r="E473" t="n">
        <x:v>2000</x:v>
      </x:c>
      <x:c r="F473" t="n">
        <x:v>269</x:v>
      </x:c>
      <x:c r="G473" t="str">
        <x:v>Simple</x:v>
      </x:c>
      <x:c r="H473" t="str"/>
      <x:c r="I473" t="str">
        <x:v>Årlig beregnet, ikke målt</x:v>
      </x:c>
      <x:c r="J473" t="str">
        <x:v>01012016_31122016enova.csv</x:v>
      </x:c>
    </x:row>
    <x:row r="474" ht="22" customHeight="1">
      <x:c r="A474" t="str">
        <x:v>14d627e10e53</x:v>
      </x:c>
      <x:c r="B474" t="n">
        <x:v>2016</x:v>
      </x:c>
      <x:c r="C474" t="str">
        <x:v>Forretningsbygg</x:v>
      </x:c>
      <x:c r="D474" t="str">
        <x:v>E</x:v>
      </x:c>
      <x:c r="E474" t="n">
        <x:v>1962</x:v>
      </x:c>
      <x:c r="F474" t="n">
        <x:v>286.8</x:v>
      </x:c>
      <x:c r="G474" t="str">
        <x:v>Simple</x:v>
      </x:c>
      <x:c r="H474" t="str"/>
      <x:c r="I474" t="str">
        <x:v>Årlig beregnet, ikke målt</x:v>
      </x:c>
      <x:c r="J474" t="str">
        <x:v>01012016_31122016enova.csv</x:v>
      </x:c>
    </x:row>
    <x:row r="475" ht="22" customHeight="1">
      <x:c r="A475" t="str">
        <x:v>1945fa4dfab7</x:v>
      </x:c>
      <x:c r="B475" t="n">
        <x:v>2016</x:v>
      </x:c>
      <x:c r="C475" t="str">
        <x:v>Forretningsbygg</x:v>
      </x:c>
      <x:c r="D475" t="str">
        <x:v>E</x:v>
      </x:c>
      <x:c r="E475" t="n">
        <x:v>1900</x:v>
      </x:c>
      <x:c r="F475" t="n">
        <x:v>277.1</x:v>
      </x:c>
      <x:c r="G475" t="str">
        <x:v>Advanced</x:v>
      </x:c>
      <x:c r="H475" t="str"/>
      <x:c r="I475" t="str">
        <x:v>Årlig beregnet, ikke målt</x:v>
      </x:c>
      <x:c r="J475" t="str">
        <x:v>01012016_31122016enova.csv</x:v>
      </x:c>
    </x:row>
    <x:row r="476" ht="22" customHeight="1">
      <x:c r="A476" t="str">
        <x:v>ab1e04f80a2e</x:v>
      </x:c>
      <x:c r="B476" t="n">
        <x:v>2016</x:v>
      </x:c>
      <x:c r="C476" t="str">
        <x:v>Forretningsbygg</x:v>
      </x:c>
      <x:c r="D476" t="str">
        <x:v>E</x:v>
      </x:c>
      <x:c r="E476" t="n">
        <x:v>1978</x:v>
      </x:c>
      <x:c r="F476" t="n">
        <x:v>281.8</x:v>
      </x:c>
      <x:c r="G476" t="str">
        <x:v>Advanced</x:v>
      </x:c>
      <x:c r="H476" t="str"/>
      <x:c r="I476" t="str">
        <x:v>Årlig beregnet, ikke målt</x:v>
      </x:c>
      <x:c r="J476" t="str">
        <x:v>01012016_31122016enova.csv</x:v>
      </x:c>
    </x:row>
    <x:row r="477" ht="22" customHeight="1">
      <x:c r="A477" t="str">
        <x:v>3f68f15f396d</x:v>
      </x:c>
      <x:c r="B477" t="n">
        <x:v>2016</x:v>
      </x:c>
      <x:c r="C477" t="str">
        <x:v>Forretningsbygg</x:v>
      </x:c>
      <x:c r="D477" t="str">
        <x:v>E</x:v>
      </x:c>
      <x:c r="E477" t="n">
        <x:v>1991</x:v>
      </x:c>
      <x:c r="F477" t="n">
        <x:v>269.9</x:v>
      </x:c>
      <x:c r="G477" t="str">
        <x:v>Simple</x:v>
      </x:c>
      <x:c r="H477" t="str"/>
      <x:c r="I477" t="str">
        <x:v>Årlig beregnet, ikke målt</x:v>
      </x:c>
      <x:c r="J477" t="str">
        <x:v>01012016_31122016enova.csv</x:v>
      </x:c>
    </x:row>
    <x:row r="478" ht="22" customHeight="1">
      <x:c r="A478" t="str">
        <x:v>011b8c1d933d</x:v>
      </x:c>
      <x:c r="B478" t="n">
        <x:v>2016</x:v>
      </x:c>
      <x:c r="C478" t="str">
        <x:v>Forretningsbygg</x:v>
      </x:c>
      <x:c r="D478" t="str">
        <x:v>F</x:v>
      </x:c>
      <x:c r="E478" t="n">
        <x:v>2000</x:v>
      </x:c>
      <x:c r="F478" t="n">
        <x:v>349.2</x:v>
      </x:c>
      <x:c r="G478" t="str">
        <x:v>Simple</x:v>
      </x:c>
      <x:c r="H478" t="str"/>
      <x:c r="I478" t="str">
        <x:v>Årlig beregnet, ikke målt</x:v>
      </x:c>
      <x:c r="J478" t="str">
        <x:v>01012016_31122016enova.csv</x:v>
      </x:c>
    </x:row>
    <x:row r="479" ht="22" customHeight="1">
      <x:c r="A479" t="str">
        <x:v>9a2818065e8b</x:v>
      </x:c>
      <x:c r="B479" t="n">
        <x:v>2016</x:v>
      </x:c>
      <x:c r="C479" t="str">
        <x:v>Forretningsbygg</x:v>
      </x:c>
      <x:c r="D479" t="str">
        <x:v>F</x:v>
      </x:c>
      <x:c r="E479" t="n">
        <x:v>2015</x:v>
      </x:c>
      <x:c r="F479" t="n">
        <x:v>350.88</x:v>
      </x:c>
      <x:c r="G479" t="str">
        <x:v>Simple</x:v>
      </x:c>
      <x:c r="H479" t="str">
        <x:v>Betong</x:v>
      </x:c>
      <x:c r="I479" t="str">
        <x:v>Årlig beregnet, ikke målt</x:v>
      </x:c>
      <x:c r="J479" t="str">
        <x:v>01012016_31122016enova.csv</x:v>
      </x:c>
    </x:row>
    <x:row r="480" ht="22" customHeight="1">
      <x:c r="A480" t="str">
        <x:v>10a86ce7f8ed</x:v>
      </x:c>
      <x:c r="B480" t="n">
        <x:v>2016</x:v>
      </x:c>
      <x:c r="C480" t="str">
        <x:v>Forretningsbygg</x:v>
      </x:c>
      <x:c r="D480" t="str">
        <x:v>F</x:v>
      </x:c>
      <x:c r="E480" t="n">
        <x:v>2006</x:v>
      </x:c>
      <x:c r="F480" t="n">
        <x:v>338.52</x:v>
      </x:c>
      <x:c r="G480" t="str">
        <x:v>Simple</x:v>
      </x:c>
      <x:c r="H480" t="str">
        <x:v>Stål</x:v>
      </x:c>
      <x:c r="I480" t="str">
        <x:v>Årlig beregnet, ikke målt</x:v>
      </x:c>
      <x:c r="J480" t="str">
        <x:v>01012016_31122016enova.csv</x:v>
      </x:c>
    </x:row>
    <x:row r="481" ht="22" customHeight="1">
      <x:c r="A481" t="str">
        <x:v>ae69770747a6</x:v>
      </x:c>
      <x:c r="B481" t="n">
        <x:v>2016</x:v>
      </x:c>
      <x:c r="C481" t="str">
        <x:v>Forretningsbygg</x:v>
      </x:c>
      <x:c r="D481" t="str">
        <x:v>F</x:v>
      </x:c>
      <x:c r="E481" t="n">
        <x:v>2013</x:v>
      </x:c>
      <x:c r="F481" t="n">
        <x:v>370.5</x:v>
      </x:c>
      <x:c r="G481" t="str">
        <x:v>Simple</x:v>
      </x:c>
      <x:c r="H481" t="str"/>
      <x:c r="I481" t="str">
        <x:v>Årlig beregnet, ikke målt</x:v>
      </x:c>
      <x:c r="J481" t="str">
        <x:v>01012016_31122016enova.csv</x:v>
      </x:c>
    </x:row>
    <x:row r="482" ht="22" customHeight="1">
      <x:c r="A482" t="str">
        <x:v>056edf4aff08</x:v>
      </x:c>
      <x:c r="B482" t="n">
        <x:v>2016</x:v>
      </x:c>
      <x:c r="C482" t="str">
        <x:v>Forretningsbygg</x:v>
      </x:c>
      <x:c r="D482" t="str">
        <x:v>F</x:v>
      </x:c>
      <x:c r="E482" t="n">
        <x:v>1980</x:v>
      </x:c>
      <x:c r="F482" t="n">
        <x:v>311.8</x:v>
      </x:c>
      <x:c r="G482" t="str">
        <x:v>Simple</x:v>
      </x:c>
      <x:c r="H482" t="str"/>
      <x:c r="I482" t="str">
        <x:v>Årlig beregnet, ikke målt</x:v>
      </x:c>
      <x:c r="J482" t="str">
        <x:v>01012016_31122016enova.csv</x:v>
      </x:c>
    </x:row>
    <x:row r="483" ht="22" customHeight="1">
      <x:c r="A483" t="str">
        <x:v>61757b077ed8</x:v>
      </x:c>
      <x:c r="B483" t="n">
        <x:v>2016</x:v>
      </x:c>
      <x:c r="C483" t="str">
        <x:v>Forretningsbygg</x:v>
      </x:c>
      <x:c r="D483" t="str">
        <x:v>G</x:v>
      </x:c>
      <x:c r="E483" t="n">
        <x:v>1880</x:v>
      </x:c>
      <x:c r="F483" t="n">
        <x:v>496.9</x:v>
      </x:c>
      <x:c r="G483" t="str">
        <x:v>Simple</x:v>
      </x:c>
      <x:c r="H483" t="str"/>
      <x:c r="I483" t="str">
        <x:v>Årlig beregnet, ikke målt</x:v>
      </x:c>
      <x:c r="J483" t="str">
        <x:v>01012016_31122016enova.csv</x:v>
      </x:c>
    </x:row>
    <x:row r="484" ht="22" customHeight="1">
      <x:c r="A484" t="str">
        <x:v>11e29e4d1d01</x:v>
      </x:c>
      <x:c r="B484" t="n">
        <x:v>2016</x:v>
      </x:c>
      <x:c r="C484" t="str">
        <x:v>Forretningsbygg</x:v>
      </x:c>
      <x:c r="D484" t="str">
        <x:v>G</x:v>
      </x:c>
      <x:c r="E484" t="n">
        <x:v>1900</x:v>
      </x:c>
      <x:c r="F484" t="n">
        <x:v>506.9</x:v>
      </x:c>
      <x:c r="G484" t="str">
        <x:v>Simple</x:v>
      </x:c>
      <x:c r="H484" t="str"/>
      <x:c r="I484" t="str">
        <x:v>Årlig beregnet, ikke målt</x:v>
      </x:c>
      <x:c r="J484" t="str">
        <x:v>01012016_31122016enova.csv</x:v>
      </x:c>
    </x:row>
    <x:row r="485" ht="22" customHeight="1">
      <x:c r="A485" t="str">
        <x:v>2d6969cd139f</x:v>
      </x:c>
      <x:c r="B485" t="n">
        <x:v>2016</x:v>
      </x:c>
      <x:c r="C485" t="str">
        <x:v>Forretningsbygg</x:v>
      </x:c>
      <x:c r="D485" t="str">
        <x:v>G</x:v>
      </x:c>
      <x:c r="E485" t="n">
        <x:v>1860</x:v>
      </x:c>
      <x:c r="F485" t="n">
        <x:v>546.6</x:v>
      </x:c>
      <x:c r="G485" t="str">
        <x:v>Simple</x:v>
      </x:c>
      <x:c r="H485" t="str"/>
      <x:c r="I485" t="str">
        <x:v>Årlig beregnet, ikke målt</x:v>
      </x:c>
      <x:c r="J485" t="str">
        <x:v>01012016_31122016enova.csv</x:v>
      </x:c>
    </x:row>
    <x:row r="486" ht="22" customHeight="1">
      <x:c r="A486" t="str">
        <x:v>35ca46942411</x:v>
      </x:c>
      <x:c r="B486" t="n">
        <x:v>2016</x:v>
      </x:c>
      <x:c r="C486" t="str">
        <x:v>Forretningsbygg</x:v>
      </x:c>
      <x:c r="D486" t="str">
        <x:v>G</x:v>
      </x:c>
      <x:c r="E486" t="n">
        <x:v>2009</x:v>
      </x:c>
      <x:c r="F486" t="n">
        <x:v>408.6</x:v>
      </x:c>
      <x:c r="G486" t="str">
        <x:v>Simple</x:v>
      </x:c>
      <x:c r="H486" t="str">
        <x:v>Stål</x:v>
      </x:c>
      <x:c r="I486" t="str">
        <x:v>Årlig beregnet, ikke målt</x:v>
      </x:c>
      <x:c r="J486" t="str">
        <x:v>01012016_31122016enova.csv</x:v>
      </x:c>
    </x:row>
    <x:row r="487" ht="22" customHeight="1">
      <x:c r="A487" t="str">
        <x:v>5111a99e2544</x:v>
      </x:c>
      <x:c r="B487" t="n">
        <x:v>2016</x:v>
      </x:c>
      <x:c r="C487" t="str">
        <x:v>Forretningsbygg</x:v>
      </x:c>
      <x:c r="D487" t="str">
        <x:v>G</x:v>
      </x:c>
      <x:c r="E487" t="n">
        <x:v>1900</x:v>
      </x:c>
      <x:c r="F487" t="n">
        <x:v>464.9</x:v>
      </x:c>
      <x:c r="G487" t="str">
        <x:v>Simple</x:v>
      </x:c>
      <x:c r="H487" t="str"/>
      <x:c r="I487" t="str">
        <x:v>Årlig beregnet, ikke målt</x:v>
      </x:c>
      <x:c r="J487" t="str">
        <x:v>01012016_31122016enova.csv</x:v>
      </x:c>
    </x:row>
    <x:row r="488" ht="22" customHeight="1">
      <x:c r="A488" t="str">
        <x:v>10639c4a5b60</x:v>
      </x:c>
      <x:c r="B488" t="n">
        <x:v>2016</x:v>
      </x:c>
      <x:c r="C488" t="str">
        <x:v>Hoteller</x:v>
      </x:c>
      <x:c r="D488" t="str">
        <x:v>A</x:v>
      </x:c>
      <x:c r="E488" t="n">
        <x:v>2016</x:v>
      </x:c>
      <x:c r="F488" t="n">
        <x:v>136.1</x:v>
      </x:c>
      <x:c r="G488" t="str">
        <x:v>Simple</x:v>
      </x:c>
      <x:c r="H488" t="str"/>
      <x:c r="I488" t="str">
        <x:v>Årlig beregnet, ikke målt</x:v>
      </x:c>
      <x:c r="J488" t="str">
        <x:v>01012016_31122016enova.csv</x:v>
      </x:c>
    </x:row>
    <x:row r="489" ht="22" customHeight="1">
      <x:c r="A489" t="str">
        <x:v>12b3c4f998e1</x:v>
      </x:c>
      <x:c r="B489" t="n">
        <x:v>2016</x:v>
      </x:c>
      <x:c r="C489" t="str">
        <x:v>Hoteller</x:v>
      </x:c>
      <x:c r="D489" t="str">
        <x:v>A</x:v>
      </x:c>
      <x:c r="E489" t="n">
        <x:v>2015</x:v>
      </x:c>
      <x:c r="F489" t="n">
        <x:v>116.9</x:v>
      </x:c>
      <x:c r="G489" t="str">
        <x:v>Simple</x:v>
      </x:c>
      <x:c r="H489" t="str"/>
      <x:c r="I489" t="str">
        <x:v>Årlig beregnet, ikke målt</x:v>
      </x:c>
      <x:c r="J489" t="str">
        <x:v>01012016_31122016enova.csv</x:v>
      </x:c>
    </x:row>
    <x:row r="490" ht="22" customHeight="1">
      <x:c r="A490" t="str">
        <x:v>153ea1b3d3db</x:v>
      </x:c>
      <x:c r="B490" t="n">
        <x:v>2016</x:v>
      </x:c>
      <x:c r="C490" t="str">
        <x:v>Hoteller</x:v>
      </x:c>
      <x:c r="D490" t="str">
        <x:v>A</x:v>
      </x:c>
      <x:c r="E490" t="n">
        <x:v>2013</x:v>
      </x:c>
      <x:c r="F490" t="n">
        <x:v>106.1</x:v>
      </x:c>
      <x:c r="G490" t="str">
        <x:v>Simple</x:v>
      </x:c>
      <x:c r="H490" t="str"/>
      <x:c r="I490" t="str">
        <x:v>Årlig beregnet, ikke målt</x:v>
      </x:c>
      <x:c r="J490" t="str">
        <x:v>01012016_31122016enova.csv</x:v>
      </x:c>
    </x:row>
    <x:row r="491" ht="22" customHeight="1">
      <x:c r="A491" t="str">
        <x:v>dcb499059955</x:v>
      </x:c>
      <x:c r="B491" t="n">
        <x:v>2016</x:v>
      </x:c>
      <x:c r="C491" t="str">
        <x:v>Hoteller</x:v>
      </x:c>
      <x:c r="D491" t="str">
        <x:v>A</x:v>
      </x:c>
      <x:c r="E491" t="n">
        <x:v>1979</x:v>
      </x:c>
      <x:c r="F491" t="n">
        <x:v>125.5</x:v>
      </x:c>
      <x:c r="G491" t="str">
        <x:v>Simple</x:v>
      </x:c>
      <x:c r="H491" t="str"/>
      <x:c r="I491" t="str">
        <x:v>Årlig beregnet, ikke målt</x:v>
      </x:c>
      <x:c r="J491" t="str">
        <x:v>01012016_31122016enova.csv</x:v>
      </x:c>
    </x:row>
    <x:row r="492" ht="22" customHeight="1">
      <x:c r="A492" t="str">
        <x:v>258de482bc99</x:v>
      </x:c>
      <x:c r="B492" t="n">
        <x:v>2016</x:v>
      </x:c>
      <x:c r="C492" t="str">
        <x:v>Hoteller</x:v>
      </x:c>
      <x:c r="D492" t="str">
        <x:v>B</x:v>
      </x:c>
      <x:c r="E492" t="n">
        <x:v>2011</x:v>
      </x:c>
      <x:c r="F492" t="n">
        <x:v>168.7</x:v>
      </x:c>
      <x:c r="G492" t="str">
        <x:v>Advanced</x:v>
      </x:c>
      <x:c r="H492" t="str"/>
      <x:c r="I492" t="str">
        <x:v>Årlig beregnet, ikke målt</x:v>
      </x:c>
      <x:c r="J492" t="str">
        <x:v>01012016_31122016enova.csv</x:v>
      </x:c>
    </x:row>
    <x:row r="493" ht="22" customHeight="1">
      <x:c r="A493" t="str">
        <x:v>e220838b876e</x:v>
      </x:c>
      <x:c r="B493" t="n">
        <x:v>2016</x:v>
      </x:c>
      <x:c r="C493" t="str">
        <x:v>Hoteller</x:v>
      </x:c>
      <x:c r="D493" t="str">
        <x:v>B</x:v>
      </x:c>
      <x:c r="E493" t="n">
        <x:v>2014</x:v>
      </x:c>
      <x:c r="F493" t="n">
        <x:v>157.7</x:v>
      </x:c>
      <x:c r="G493" t="str">
        <x:v>Simple</x:v>
      </x:c>
      <x:c r="H493" t="str"/>
      <x:c r="I493" t="str">
        <x:v>Årlig beregnet, ikke målt</x:v>
      </x:c>
      <x:c r="J493" t="str">
        <x:v>01012016_31122016enova.csv</x:v>
      </x:c>
    </x:row>
    <x:row r="494" ht="22" customHeight="1">
      <x:c r="A494" t="str">
        <x:v>0e1e3880c406</x:v>
      </x:c>
      <x:c r="B494" t="n">
        <x:v>2016</x:v>
      </x:c>
      <x:c r="C494" t="str">
        <x:v>Hoteller</x:v>
      </x:c>
      <x:c r="D494" t="str">
        <x:v>B</x:v>
      </x:c>
      <x:c r="E494" t="n">
        <x:v>2015</x:v>
      </x:c>
      <x:c r="F494" t="n">
        <x:v>189.4</x:v>
      </x:c>
      <x:c r="G494" t="str">
        <x:v>Advanced</x:v>
      </x:c>
      <x:c r="H494" t="str"/>
      <x:c r="I494" t="str">
        <x:v>Årlig beregnet, ikke målt</x:v>
      </x:c>
      <x:c r="J494" t="str">
        <x:v>01012016_31122016enova.csv</x:v>
      </x:c>
    </x:row>
    <x:row r="495" ht="22" customHeight="1">
      <x:c r="A495" t="str">
        <x:v>aafacaa4c103</x:v>
      </x:c>
      <x:c r="B495" t="n">
        <x:v>2016</x:v>
      </x:c>
      <x:c r="C495" t="str">
        <x:v>Hoteller</x:v>
      </x:c>
      <x:c r="D495" t="str">
        <x:v>B</x:v>
      </x:c>
      <x:c r="E495" t="n">
        <x:v>2000</x:v>
      </x:c>
      <x:c r="F495" t="n">
        <x:v>159.9</x:v>
      </x:c>
      <x:c r="G495" t="str">
        <x:v>Simple</x:v>
      </x:c>
      <x:c r="H495" t="str"/>
      <x:c r="I495" t="str">
        <x:v>Årlig beregnet, ikke målt</x:v>
      </x:c>
      <x:c r="J495" t="str">
        <x:v>01012016_31122016enova.csv</x:v>
      </x:c>
    </x:row>
    <x:row r="496" ht="22" customHeight="1">
      <x:c r="A496" t="str">
        <x:v>795ffb7b545a</x:v>
      </x:c>
      <x:c r="B496" t="n">
        <x:v>2016</x:v>
      </x:c>
      <x:c r="C496" t="str">
        <x:v>Hoteller</x:v>
      </x:c>
      <x:c r="D496" t="str">
        <x:v>B</x:v>
      </x:c>
      <x:c r="E496" t="n">
        <x:v>2000</x:v>
      </x:c>
      <x:c r="F496" t="n">
        <x:v>159.9</x:v>
      </x:c>
      <x:c r="G496" t="str">
        <x:v>Simple</x:v>
      </x:c>
      <x:c r="H496" t="str"/>
      <x:c r="I496" t="str">
        <x:v>Årlig beregnet, ikke målt</x:v>
      </x:c>
      <x:c r="J496" t="str">
        <x:v>01012016_31122016enova.csv</x:v>
      </x:c>
    </x:row>
    <x:row r="497" ht="22" customHeight="1">
      <x:c r="A497" t="str">
        <x:v>70d176fd6430</x:v>
      </x:c>
      <x:c r="B497" t="n">
        <x:v>2016</x:v>
      </x:c>
      <x:c r="C497" t="str">
        <x:v>Hoteller</x:v>
      </x:c>
      <x:c r="D497" t="str">
        <x:v>C</x:v>
      </x:c>
      <x:c r="E497" t="n">
        <x:v>1998</x:v>
      </x:c>
      <x:c r="F497" t="n">
        <x:v>225.2</x:v>
      </x:c>
      <x:c r="G497" t="str">
        <x:v>Simple</x:v>
      </x:c>
      <x:c r="H497" t="str"/>
      <x:c r="I497" t="str">
        <x:v>Årlig beregnet, ikke målt</x:v>
      </x:c>
      <x:c r="J497" t="str">
        <x:v>01012016_31122016enova.csv</x:v>
      </x:c>
    </x:row>
    <x:row r="498" ht="22" customHeight="1">
      <x:c r="A498" t="str">
        <x:v>b68aefa94322</x:v>
      </x:c>
      <x:c r="B498" t="n">
        <x:v>2016</x:v>
      </x:c>
      <x:c r="C498" t="str">
        <x:v>Hoteller</x:v>
      </x:c>
      <x:c r="D498" t="str">
        <x:v>C</x:v>
      </x:c>
      <x:c r="E498" t="n">
        <x:v>1989</x:v>
      </x:c>
      <x:c r="F498" t="n">
        <x:v>215.2</x:v>
      </x:c>
      <x:c r="G498" t="str">
        <x:v>Simple</x:v>
      </x:c>
      <x:c r="H498" t="str"/>
      <x:c r="I498" t="str">
        <x:v>Årlig beregnet, ikke målt</x:v>
      </x:c>
      <x:c r="J498" t="str">
        <x:v>01012016_31122016enova.csv</x:v>
      </x:c>
    </x:row>
    <x:row r="499" ht="22" customHeight="1">
      <x:c r="A499" t="str">
        <x:v>b506b34ee3f5</x:v>
      </x:c>
      <x:c r="B499" t="n">
        <x:v>2016</x:v>
      </x:c>
      <x:c r="C499" t="str">
        <x:v>Hoteller</x:v>
      </x:c>
      <x:c r="D499" t="str">
        <x:v>C</x:v>
      </x:c>
      <x:c r="E499" t="n">
        <x:v>2000</x:v>
      </x:c>
      <x:c r="F499" t="n">
        <x:v>236.2</x:v>
      </x:c>
      <x:c r="G499" t="str">
        <x:v>Simple</x:v>
      </x:c>
      <x:c r="H499" t="str"/>
      <x:c r="I499" t="str">
        <x:v>Årlig beregnet, ikke målt</x:v>
      </x:c>
      <x:c r="J499" t="str">
        <x:v>01012016_31122016enova.csv</x:v>
      </x:c>
    </x:row>
    <x:row r="500" ht="22" customHeight="1">
      <x:c r="A500" t="str">
        <x:v>cc6d003c34fd</x:v>
      </x:c>
      <x:c r="B500" t="n">
        <x:v>2016</x:v>
      </x:c>
      <x:c r="C500" t="str">
        <x:v>Hoteller</x:v>
      </x:c>
      <x:c r="D500" t="str">
        <x:v>C</x:v>
      </x:c>
      <x:c r="E500" t="n">
        <x:v>1930</x:v>
      </x:c>
      <x:c r="F500" t="n">
        <x:v>224.1</x:v>
      </x:c>
      <x:c r="G500" t="str">
        <x:v>Simple</x:v>
      </x:c>
      <x:c r="H500" t="str"/>
      <x:c r="I500" t="str">
        <x:v>Årlig beregnet, ikke målt</x:v>
      </x:c>
      <x:c r="J500" t="str">
        <x:v>01012016_31122016enova.csv</x:v>
      </x:c>
    </x:row>
    <x:row r="501" ht="22" customHeight="1">
      <x:c r="A501" t="str">
        <x:v>6a30294494cc</x:v>
      </x:c>
      <x:c r="B501" t="n">
        <x:v>2016</x:v>
      </x:c>
      <x:c r="C501" t="str">
        <x:v>Hoteller</x:v>
      </x:c>
      <x:c r="D501" t="str">
        <x:v>C</x:v>
      </x:c>
      <x:c r="E501" t="n">
        <x:v>1800</x:v>
      </x:c>
      <x:c r="F501" t="n">
        <x:v>224.1</x:v>
      </x:c>
      <x:c r="G501" t="str">
        <x:v>Simple</x:v>
      </x:c>
      <x:c r="H501" t="str"/>
      <x:c r="I501" t="str">
        <x:v>Årlig beregnet, ikke målt</x:v>
      </x:c>
      <x:c r="J501" t="str">
        <x:v>01012016_31122016enova.csv</x:v>
      </x:c>
    </x:row>
    <x:row r="502" ht="22" customHeight="1">
      <x:c r="A502" t="str">
        <x:v>7d6c6ebe8373</x:v>
      </x:c>
      <x:c r="B502" t="n">
        <x:v>2016</x:v>
      </x:c>
      <x:c r="C502" t="str">
        <x:v>Hoteller</x:v>
      </x:c>
      <x:c r="D502" t="str">
        <x:v>D</x:v>
      </x:c>
      <x:c r="E502" t="n">
        <x:v>1899</x:v>
      </x:c>
      <x:c r="F502" t="n">
        <x:v>257.7</x:v>
      </x:c>
      <x:c r="G502" t="str">
        <x:v>Simple</x:v>
      </x:c>
      <x:c r="H502" t="str"/>
      <x:c r="I502" t="str">
        <x:v>Årlig beregnet, ikke målt</x:v>
      </x:c>
      <x:c r="J502" t="str">
        <x:v>01012016_31122016enova.csv</x:v>
      </x:c>
    </x:row>
    <x:row r="503" ht="22" customHeight="1">
      <x:c r="A503" t="str">
        <x:v>4ad3a2973d2e</x:v>
      </x:c>
      <x:c r="B503" t="n">
        <x:v>2016</x:v>
      </x:c>
      <x:c r="C503" t="str">
        <x:v>Hoteller</x:v>
      </x:c>
      <x:c r="D503" t="str">
        <x:v>D</x:v>
      </x:c>
      <x:c r="E503" t="n">
        <x:v>1970</x:v>
      </x:c>
      <x:c r="F503" t="n">
        <x:v>262.7</x:v>
      </x:c>
      <x:c r="G503" t="str">
        <x:v>Simple</x:v>
      </x:c>
      <x:c r="H503" t="str"/>
      <x:c r="I503" t="str">
        <x:v>Årlig beregnet, ikke målt</x:v>
      </x:c>
      <x:c r="J503" t="str">
        <x:v>01012016_31122016enova.csv</x:v>
      </x:c>
    </x:row>
    <x:row r="504" ht="22" customHeight="1">
      <x:c r="A504" t="str">
        <x:v>7fbdc7d3bc04</x:v>
      </x:c>
      <x:c r="B504" t="n">
        <x:v>2016</x:v>
      </x:c>
      <x:c r="C504" t="str">
        <x:v>Hoteller</x:v>
      </x:c>
      <x:c r="D504" t="str">
        <x:v>D</x:v>
      </x:c>
      <x:c r="E504" t="n">
        <x:v>1899</x:v>
      </x:c>
      <x:c r="F504" t="n">
        <x:v>245.4</x:v>
      </x:c>
      <x:c r="G504" t="str">
        <x:v>Simple</x:v>
      </x:c>
      <x:c r="H504" t="str"/>
      <x:c r="I504" t="str">
        <x:v>Årlig beregnet, ikke målt</x:v>
      </x:c>
      <x:c r="J504" t="str">
        <x:v>01012016_31122016enova.csv</x:v>
      </x:c>
    </x:row>
    <x:row r="505" ht="22" customHeight="1">
      <x:c r="A505" t="str">
        <x:v>a1ea7db76e33</x:v>
      </x:c>
      <x:c r="B505" t="n">
        <x:v>2016</x:v>
      </x:c>
      <x:c r="C505" t="str">
        <x:v>Hoteller</x:v>
      </x:c>
      <x:c r="D505" t="str">
        <x:v>D</x:v>
      </x:c>
      <x:c r="E505" t="n">
        <x:v>1889</x:v>
      </x:c>
      <x:c r="F505" t="n">
        <x:v>262.8</x:v>
      </x:c>
      <x:c r="G505" t="str">
        <x:v>Advanced</x:v>
      </x:c>
      <x:c r="H505" t="str"/>
      <x:c r="I505" t="str">
        <x:v>Årlig beregnet, ikke målt</x:v>
      </x:c>
      <x:c r="J505" t="str">
        <x:v>01012016_31122016enova.csv</x:v>
      </x:c>
    </x:row>
    <x:row r="506" ht="22" customHeight="1">
      <x:c r="A506" t="str">
        <x:v>7daf8205687a</x:v>
      </x:c>
      <x:c r="B506" t="n">
        <x:v>2016</x:v>
      </x:c>
      <x:c r="C506" t="str">
        <x:v>Hoteller</x:v>
      </x:c>
      <x:c r="D506" t="str">
        <x:v>D</x:v>
      </x:c>
      <x:c r="E506" t="n">
        <x:v>1883</x:v>
      </x:c>
      <x:c r="F506" t="n">
        <x:v>245.5</x:v>
      </x:c>
      <x:c r="G506" t="str">
        <x:v>Simple</x:v>
      </x:c>
      <x:c r="H506" t="str"/>
      <x:c r="I506" t="str">
        <x:v>Årlig beregnet, ikke målt</x:v>
      </x:c>
      <x:c r="J506" t="str">
        <x:v>01012016_31122016enova.csv</x:v>
      </x:c>
    </x:row>
    <x:row r="507" ht="22" customHeight="1">
      <x:c r="A507" t="str">
        <x:v>4974e455031e</x:v>
      </x:c>
      <x:c r="B507" t="n">
        <x:v>2016</x:v>
      </x:c>
      <x:c r="C507" t="str">
        <x:v>Hoteller</x:v>
      </x:c>
      <x:c r="D507" t="str">
        <x:v>E</x:v>
      </x:c>
      <x:c r="E507" t="n">
        <x:v>2000</x:v>
      </x:c>
      <x:c r="F507" t="n">
        <x:v>307</x:v>
      </x:c>
      <x:c r="G507" t="str">
        <x:v>Simple</x:v>
      </x:c>
      <x:c r="H507" t="str"/>
      <x:c r="I507" t="str">
        <x:v>Årlig beregnet, ikke målt</x:v>
      </x:c>
      <x:c r="J507" t="str">
        <x:v>01012016_31122016enova.csv</x:v>
      </x:c>
    </x:row>
    <x:row r="508" ht="22" customHeight="1">
      <x:c r="A508" t="str">
        <x:v>8ee083f11dc8</x:v>
      </x:c>
      <x:c r="B508" t="n">
        <x:v>2016</x:v>
      </x:c>
      <x:c r="C508" t="str">
        <x:v>Hoteller</x:v>
      </x:c>
      <x:c r="D508" t="str">
        <x:v>E</x:v>
      </x:c>
      <x:c r="E508" t="n">
        <x:v>1970</x:v>
      </x:c>
      <x:c r="F508" t="n">
        <x:v>323.7</x:v>
      </x:c>
      <x:c r="G508" t="str">
        <x:v>Simple</x:v>
      </x:c>
      <x:c r="H508" t="str"/>
      <x:c r="I508" t="str">
        <x:v>Årlig beregnet, ikke målt</x:v>
      </x:c>
      <x:c r="J508" t="str">
        <x:v>01012016_31122016enova.csv</x:v>
      </x:c>
    </x:row>
    <x:row r="509" ht="22" customHeight="1">
      <x:c r="A509" t="str">
        <x:v>e4cc186d5bca</x:v>
      </x:c>
      <x:c r="B509" t="n">
        <x:v>2016</x:v>
      </x:c>
      <x:c r="C509" t="str">
        <x:v>Hoteller</x:v>
      </x:c>
      <x:c r="D509" t="str">
        <x:v>E</x:v>
      </x:c>
      <x:c r="E509" t="n">
        <x:v>1970</x:v>
      </x:c>
      <x:c r="F509" t="n">
        <x:v>295</x:v>
      </x:c>
      <x:c r="G509" t="str">
        <x:v>Simple</x:v>
      </x:c>
      <x:c r="H509" t="str"/>
      <x:c r="I509" t="str">
        <x:v>Årlig beregnet, ikke målt</x:v>
      </x:c>
      <x:c r="J509" t="str">
        <x:v>01012016_31122016enova.csv</x:v>
      </x:c>
    </x:row>
    <x:row r="510" ht="22" customHeight="1">
      <x:c r="A510" t="str">
        <x:v>da1f288aab25</x:v>
      </x:c>
      <x:c r="B510" t="n">
        <x:v>2016</x:v>
      </x:c>
      <x:c r="C510" t="str">
        <x:v>Hoteller</x:v>
      </x:c>
      <x:c r="D510" t="str">
        <x:v>E</x:v>
      </x:c>
      <x:c r="E510" t="n">
        <x:v>1860</x:v>
      </x:c>
      <x:c r="F510" t="n">
        <x:v>292.6</x:v>
      </x:c>
      <x:c r="G510" t="str">
        <x:v>Advanced</x:v>
      </x:c>
      <x:c r="H510" t="str"/>
      <x:c r="I510" t="str">
        <x:v>Årlig beregnet, ikke målt</x:v>
      </x:c>
      <x:c r="J510" t="str">
        <x:v>01012016_31122016enova.csv</x:v>
      </x:c>
    </x:row>
    <x:row r="511" ht="22" customHeight="1">
      <x:c r="A511" t="str">
        <x:v>e01fa6617a00</x:v>
      </x:c>
      <x:c r="B511" t="n">
        <x:v>2016</x:v>
      </x:c>
      <x:c r="C511" t="str">
        <x:v>Hoteller</x:v>
      </x:c>
      <x:c r="D511" t="str">
        <x:v>E</x:v>
      </x:c>
      <x:c r="E511" t="n">
        <x:v>1889</x:v>
      </x:c>
      <x:c r="F511" t="n">
        <x:v>299</x:v>
      </x:c>
      <x:c r="G511" t="str">
        <x:v>Advanced</x:v>
      </x:c>
      <x:c r="H511" t="str"/>
      <x:c r="I511" t="str">
        <x:v>Årlig beregnet, ikke målt</x:v>
      </x:c>
      <x:c r="J511" t="str">
        <x:v>01012016_31122016enova.csv</x:v>
      </x:c>
    </x:row>
    <x:row r="512" ht="22" customHeight="1">
      <x:c r="A512" t="str">
        <x:v>d7f4e58398ad</x:v>
      </x:c>
      <x:c r="B512" t="n">
        <x:v>2016</x:v>
      </x:c>
      <x:c r="C512" t="str">
        <x:v>Hoteller</x:v>
      </x:c>
      <x:c r="D512" t="str">
        <x:v>F</x:v>
      </x:c>
      <x:c r="E512" t="n">
        <x:v>1905</x:v>
      </x:c>
      <x:c r="F512" t="n">
        <x:v>392.5</x:v>
      </x:c>
      <x:c r="G512" t="str">
        <x:v>Simple</x:v>
      </x:c>
      <x:c r="H512" t="str"/>
      <x:c r="I512" t="str">
        <x:v>Årlig beregnet, ikke målt</x:v>
      </x:c>
      <x:c r="J512" t="str">
        <x:v>01012016_31122016enova.csv</x:v>
      </x:c>
    </x:row>
    <x:row r="513" ht="22" customHeight="1">
      <x:c r="A513" t="str">
        <x:v>33cf65ce436d</x:v>
      </x:c>
      <x:c r="B513" t="n">
        <x:v>2016</x:v>
      </x:c>
      <x:c r="C513" t="str">
        <x:v>Hoteller</x:v>
      </x:c>
      <x:c r="D513" t="str">
        <x:v>F</x:v>
      </x:c>
      <x:c r="E513" t="n">
        <x:v>1970</x:v>
      </x:c>
      <x:c r="F513" t="n">
        <x:v>374</x:v>
      </x:c>
      <x:c r="G513" t="str">
        <x:v>Simple</x:v>
      </x:c>
      <x:c r="H513" t="str"/>
      <x:c r="I513" t="str">
        <x:v>Årlig beregnet, ikke målt</x:v>
      </x:c>
      <x:c r="J513" t="str">
        <x:v>01012016_31122016enova.csv</x:v>
      </x:c>
    </x:row>
    <x:row r="514" ht="22" customHeight="1">
      <x:c r="A514" t="str">
        <x:v>67ee837828ff</x:v>
      </x:c>
      <x:c r="B514" t="n">
        <x:v>2016</x:v>
      </x:c>
      <x:c r="C514" t="str">
        <x:v>Hoteller</x:v>
      </x:c>
      <x:c r="D514" t="str">
        <x:v>F</x:v>
      </x:c>
      <x:c r="E514" t="n">
        <x:v>1900</x:v>
      </x:c>
      <x:c r="F514" t="n">
        <x:v>363.3</x:v>
      </x:c>
      <x:c r="G514" t="str">
        <x:v>Simple</x:v>
      </x:c>
      <x:c r="H514" t="str"/>
      <x:c r="I514" t="str">
        <x:v>Årlig beregnet, ikke målt</x:v>
      </x:c>
      <x:c r="J514" t="str">
        <x:v>01012016_31122016enova.csv</x:v>
      </x:c>
    </x:row>
    <x:row r="515" ht="22" customHeight="1">
      <x:c r="A515" t="str">
        <x:v>f391fa37dab7</x:v>
      </x:c>
      <x:c r="B515" t="n">
        <x:v>2016</x:v>
      </x:c>
      <x:c r="C515" t="str">
        <x:v>Hoteller</x:v>
      </x:c>
      <x:c r="D515" t="str">
        <x:v>F</x:v>
      </x:c>
      <x:c r="E515" t="n">
        <x:v>2000</x:v>
      </x:c>
      <x:c r="F515" t="n">
        <x:v>383</x:v>
      </x:c>
      <x:c r="G515" t="str">
        <x:v>Simple</x:v>
      </x:c>
      <x:c r="H515" t="str"/>
      <x:c r="I515" t="str">
        <x:v>Årlig beregnet, ikke målt</x:v>
      </x:c>
      <x:c r="J515" t="str">
        <x:v>01012016_31122016enova.csv</x:v>
      </x:c>
    </x:row>
    <x:row r="516" ht="22" customHeight="1">
      <x:c r="A516" t="str">
        <x:v>c554628d23d6</x:v>
      </x:c>
      <x:c r="B516" t="n">
        <x:v>2016</x:v>
      </x:c>
      <x:c r="C516" t="str">
        <x:v>Hoteller</x:v>
      </x:c>
      <x:c r="D516" t="str">
        <x:v>F</x:v>
      </x:c>
      <x:c r="E516" t="n">
        <x:v>1852</x:v>
      </x:c>
      <x:c r="F516" t="n">
        <x:v>353.6</x:v>
      </x:c>
      <x:c r="G516" t="str">
        <x:v>Advanced</x:v>
      </x:c>
      <x:c r="H516" t="str"/>
      <x:c r="I516" t="str">
        <x:v>Årlig beregnet, ikke målt</x:v>
      </x:c>
      <x:c r="J516" t="str">
        <x:v>01012016_31122016enova.csv</x:v>
      </x:c>
    </x:row>
    <x:row r="517" ht="22" customHeight="1">
      <x:c r="A517" t="str">
        <x:v>f527b42e3018</x:v>
      </x:c>
      <x:c r="B517" t="n">
        <x:v>2016</x:v>
      </x:c>
      <x:c r="C517" t="str">
        <x:v>Hoteller</x:v>
      </x:c>
      <x:c r="D517" t="str">
        <x:v>G</x:v>
      </x:c>
      <x:c r="E517" t="n">
        <x:v>1864</x:v>
      </x:c>
      <x:c r="F517" t="n">
        <x:v>512.4</x:v>
      </x:c>
      <x:c r="G517" t="str">
        <x:v>Simple</x:v>
      </x:c>
      <x:c r="H517" t="str"/>
      <x:c r="I517" t="str">
        <x:v>Årlig beregnet, ikke målt</x:v>
      </x:c>
      <x:c r="J517" t="str">
        <x:v>01012016_31122016enova.csv</x:v>
      </x:c>
    </x:row>
    <x:row r="518" ht="22" customHeight="1">
      <x:c r="A518" t="str">
        <x:v>1adf5f2a9c75</x:v>
      </x:c>
      <x:c r="B518" t="n">
        <x:v>2016</x:v>
      </x:c>
      <x:c r="C518" t="str">
        <x:v>Hoteller</x:v>
      </x:c>
      <x:c r="D518" t="str">
        <x:v>G</x:v>
      </x:c>
      <x:c r="E518" t="n">
        <x:v>1914</x:v>
      </x:c>
      <x:c r="F518" t="n">
        <x:v>451.3</x:v>
      </x:c>
      <x:c r="G518" t="str">
        <x:v>Simple</x:v>
      </x:c>
      <x:c r="H518" t="str"/>
      <x:c r="I518" t="str">
        <x:v>Årlig beregnet, ikke målt</x:v>
      </x:c>
      <x:c r="J518" t="str">
        <x:v>01012016_31122016enova.csv</x:v>
      </x:c>
    </x:row>
    <x:row r="519" ht="22" customHeight="1">
      <x:c r="A519" t="str">
        <x:v>81407584cd82</x:v>
      </x:c>
      <x:c r="B519" t="n">
        <x:v>2016</x:v>
      </x:c>
      <x:c r="C519" t="str">
        <x:v>Hoteller</x:v>
      </x:c>
      <x:c r="D519" t="str">
        <x:v>G</x:v>
      </x:c>
      <x:c r="E519" t="n">
        <x:v>1900</x:v>
      </x:c>
      <x:c r="F519" t="n">
        <x:v>471.4</x:v>
      </x:c>
      <x:c r="G519" t="str">
        <x:v>Simple</x:v>
      </x:c>
      <x:c r="H519" t="str"/>
      <x:c r="I519" t="str">
        <x:v>Årlig beregnet, ikke målt</x:v>
      </x:c>
      <x:c r="J519" t="str">
        <x:v>01012016_31122016enova.csv</x:v>
      </x:c>
    </x:row>
    <x:row r="520" ht="22" customHeight="1">
      <x:c r="A520" t="str">
        <x:v>597801459f99</x:v>
      </x:c>
      <x:c r="B520" t="n">
        <x:v>2016</x:v>
      </x:c>
      <x:c r="C520" t="str">
        <x:v>Hoteller</x:v>
      </x:c>
      <x:c r="D520" t="str">
        <x:v>G</x:v>
      </x:c>
      <x:c r="E520" t="n">
        <x:v>1850</x:v>
      </x:c>
      <x:c r="F520" t="n">
        <x:v>459.4</x:v>
      </x:c>
      <x:c r="G520" t="str">
        <x:v>Simple</x:v>
      </x:c>
      <x:c r="H520" t="str"/>
      <x:c r="I520" t="str">
        <x:v>Årlig beregnet, ikke målt</x:v>
      </x:c>
      <x:c r="J520" t="str">
        <x:v>01012016_31122016enova.csv</x:v>
      </x:c>
    </x:row>
    <x:row r="521" ht="22" customHeight="1">
      <x:c r="A521" t="str">
        <x:v>b6c96e806fe6</x:v>
      </x:c>
      <x:c r="B521" t="n">
        <x:v>2016</x:v>
      </x:c>
      <x:c r="C521" t="str">
        <x:v>Hoteller</x:v>
      </x:c>
      <x:c r="D521" t="str">
        <x:v>G</x:v>
      </x:c>
      <x:c r="E521" t="n">
        <x:v>1950</x:v>
      </x:c>
      <x:c r="F521" t="n">
        <x:v>610.6</x:v>
      </x:c>
      <x:c r="G521" t="str">
        <x:v>Simple</x:v>
      </x:c>
      <x:c r="H521" t="str"/>
      <x:c r="I521" t="str">
        <x:v>Årlig beregnet, ikke målt</x:v>
      </x:c>
      <x:c r="J521" t="str">
        <x:v>01012016_31122016enova.csv</x:v>
      </x:c>
    </x:row>
    <x:row r="522" ht="22" customHeight="1">
      <x:c r="A522" t="str">
        <x:v>812ff4f5e2bb</x:v>
      </x:c>
      <x:c r="B522" t="n">
        <x:v>2016</x:v>
      </x:c>
      <x:c r="C522" t="str">
        <x:v>Idrettsbygg</x:v>
      </x:c>
      <x:c r="D522" t="str">
        <x:v>A</x:v>
      </x:c>
      <x:c r="E522" t="n">
        <x:v>2016</x:v>
      </x:c>
      <x:c r="F522" t="n">
        <x:v>106.4</x:v>
      </x:c>
      <x:c r="G522" t="str">
        <x:v>Simple</x:v>
      </x:c>
      <x:c r="H522" t="str"/>
      <x:c r="I522" t="str">
        <x:v>Årlig beregnet, ikke målt</x:v>
      </x:c>
      <x:c r="J522" t="str">
        <x:v>01012016_31122016enova.csv</x:v>
      </x:c>
    </x:row>
    <x:row r="523" ht="22" customHeight="1">
      <x:c r="A523" t="str">
        <x:v>d2b61d649937</x:v>
      </x:c>
      <x:c r="B523" t="n">
        <x:v>2016</x:v>
      </x:c>
      <x:c r="C523" t="str">
        <x:v>Idrettsbygg</x:v>
      </x:c>
      <x:c r="D523" t="str">
        <x:v>A</x:v>
      </x:c>
      <x:c r="E523" t="n">
        <x:v>2015</x:v>
      </x:c>
      <x:c r="F523" t="n">
        <x:v>105.9</x:v>
      </x:c>
      <x:c r="G523" t="str">
        <x:v>Simple</x:v>
      </x:c>
      <x:c r="H523" t="str"/>
      <x:c r="I523" t="str">
        <x:v>Årlig beregnet, ikke målt</x:v>
      </x:c>
      <x:c r="J523" t="str">
        <x:v>01012016_31122016enova.csv</x:v>
      </x:c>
    </x:row>
    <x:row r="524" ht="22" customHeight="1">
      <x:c r="A524" t="str">
        <x:v>a66ffccdae95</x:v>
      </x:c>
      <x:c r="B524" t="n">
        <x:v>2016</x:v>
      </x:c>
      <x:c r="C524" t="str">
        <x:v>Idrettsbygg</x:v>
      </x:c>
      <x:c r="D524" t="str">
        <x:v>B</x:v>
      </x:c>
      <x:c r="E524" t="n">
        <x:v>2015</x:v>
      </x:c>
      <x:c r="F524" t="n">
        <x:v>138.3</x:v>
      </x:c>
      <x:c r="G524" t="str">
        <x:v>Simple</x:v>
      </x:c>
      <x:c r="H524" t="str">
        <x:v>Betong</x:v>
      </x:c>
      <x:c r="I524" t="str">
        <x:v>Årlig beregnet, ikke målt</x:v>
      </x:c>
      <x:c r="J524" t="str">
        <x:v>01012016_31122016enova.csv</x:v>
      </x:c>
    </x:row>
    <x:row r="525" ht="22" customHeight="1">
      <x:c r="A525" t="str">
        <x:v>7a13888e7493</x:v>
      </x:c>
      <x:c r="B525" t="n">
        <x:v>2016</x:v>
      </x:c>
      <x:c r="C525" t="str">
        <x:v>Idrettsbygg</x:v>
      </x:c>
      <x:c r="D525" t="str">
        <x:v>B</x:v>
      </x:c>
      <x:c r="E525" t="n">
        <x:v>1976</x:v>
      </x:c>
      <x:c r="F525" t="n">
        <x:v>126</x:v>
      </x:c>
      <x:c r="G525" t="str">
        <x:v>Simple</x:v>
      </x:c>
      <x:c r="H525" t="str"/>
      <x:c r="I525" t="str">
        <x:v>Årlig beregnet, ikke målt</x:v>
      </x:c>
      <x:c r="J525" t="str">
        <x:v>01012016_31122016enova.csv</x:v>
      </x:c>
    </x:row>
    <x:row r="526" ht="22" customHeight="1">
      <x:c r="A526" t="str">
        <x:v>6e721e50565a</x:v>
      </x:c>
      <x:c r="B526" t="n">
        <x:v>2016</x:v>
      </x:c>
      <x:c r="C526" t="str">
        <x:v>Idrettsbygg</x:v>
      </x:c>
      <x:c r="D526" t="str">
        <x:v>B</x:v>
      </x:c>
      <x:c r="E526" t="n">
        <x:v>2006</x:v>
      </x:c>
      <x:c r="F526" t="n">
        <x:v>162.8</x:v>
      </x:c>
      <x:c r="G526" t="str">
        <x:v>Simple</x:v>
      </x:c>
      <x:c r="H526" t="str"/>
      <x:c r="I526" t="str">
        <x:v>Årlig beregnet, ikke målt</x:v>
      </x:c>
      <x:c r="J526" t="str">
        <x:v>01012016_31122016enova.csv</x:v>
      </x:c>
    </x:row>
    <x:row r="527" ht="22" customHeight="1">
      <x:c r="A527" t="str">
        <x:v>db914b980d20</x:v>
      </x:c>
      <x:c r="B527" t="n">
        <x:v>2016</x:v>
      </x:c>
      <x:c r="C527" t="str">
        <x:v>Idrettsbygg</x:v>
      </x:c>
      <x:c r="D527" t="str">
        <x:v>B</x:v>
      </x:c>
      <x:c r="E527" t="n">
        <x:v>2000</x:v>
      </x:c>
      <x:c r="F527" t="n">
        <x:v>141.7</x:v>
      </x:c>
      <x:c r="G527" t="str">
        <x:v>Simple</x:v>
      </x:c>
      <x:c r="H527" t="str"/>
      <x:c r="I527" t="str">
        <x:v>Årlig beregnet, ikke målt</x:v>
      </x:c>
      <x:c r="J527" t="str">
        <x:v>01012016_31122016enova.csv</x:v>
      </x:c>
    </x:row>
    <x:row r="528" ht="22" customHeight="1">
      <x:c r="A528" t="str">
        <x:v>95acf7b5bc64</x:v>
      </x:c>
      <x:c r="B528" t="n">
        <x:v>2016</x:v>
      </x:c>
      <x:c r="C528" t="str">
        <x:v>Idrettsbygg</x:v>
      </x:c>
      <x:c r="D528" t="str">
        <x:v>B</x:v>
      </x:c>
      <x:c r="E528" t="n">
        <x:v>2016</x:v>
      </x:c>
      <x:c r="F528" t="n">
        <x:v>157.5</x:v>
      </x:c>
      <x:c r="G528" t="str">
        <x:v>Advanced</x:v>
      </x:c>
      <x:c r="H528" t="str"/>
      <x:c r="I528" t="str">
        <x:v>Årlig beregnet, ikke målt</x:v>
      </x:c>
      <x:c r="J528" t="str">
        <x:v>01012016_31122016enova.csv</x:v>
      </x:c>
    </x:row>
    <x:row r="529" ht="22" customHeight="1">
      <x:c r="A529" t="str">
        <x:v>cf8b0c605a21</x:v>
      </x:c>
      <x:c r="B529" t="n">
        <x:v>2016</x:v>
      </x:c>
      <x:c r="C529" t="str">
        <x:v>Idrettsbygg</x:v>
      </x:c>
      <x:c r="D529" t="str">
        <x:v>C</x:v>
      </x:c>
      <x:c r="E529" t="n">
        <x:v>1997</x:v>
      </x:c>
      <x:c r="F529" t="n">
        <x:v>172.9</x:v>
      </x:c>
      <x:c r="G529" t="str">
        <x:v>Simple</x:v>
      </x:c>
      <x:c r="H529" t="str"/>
      <x:c r="I529" t="str">
        <x:v>Årlig beregnet, ikke målt</x:v>
      </x:c>
      <x:c r="J529" t="str">
        <x:v>01012016_31122016enova.csv</x:v>
      </x:c>
    </x:row>
    <x:row r="530" ht="22" customHeight="1">
      <x:c r="A530" t="str">
        <x:v>0fe6902b2e52</x:v>
      </x:c>
      <x:c r="B530" t="n">
        <x:v>2016</x:v>
      </x:c>
      <x:c r="C530" t="str">
        <x:v>Idrettsbygg</x:v>
      </x:c>
      <x:c r="D530" t="str">
        <x:v>C</x:v>
      </x:c>
      <x:c r="E530" t="n">
        <x:v>2012</x:v>
      </x:c>
      <x:c r="F530" t="n">
        <x:v>184.6</x:v>
      </x:c>
      <x:c r="G530" t="str">
        <x:v>Simple</x:v>
      </x:c>
      <x:c r="H530" t="str"/>
      <x:c r="I530" t="str">
        <x:v>Årlig beregnet, ikke målt</x:v>
      </x:c>
      <x:c r="J530" t="str">
        <x:v>01012016_31122016enova.csv</x:v>
      </x:c>
    </x:row>
    <x:row r="531" ht="22" customHeight="1">
      <x:c r="A531" t="str">
        <x:v>a4cbe7550b18</x:v>
      </x:c>
      <x:c r="B531" t="n">
        <x:v>2016</x:v>
      </x:c>
      <x:c r="C531" t="str">
        <x:v>Idrettsbygg</x:v>
      </x:c>
      <x:c r="D531" t="str">
        <x:v>C</x:v>
      </x:c>
      <x:c r="E531" t="n">
        <x:v>1997</x:v>
      </x:c>
      <x:c r="F531" t="n">
        <x:v>165.6</x:v>
      </x:c>
      <x:c r="G531" t="str">
        <x:v>Simple</x:v>
      </x:c>
      <x:c r="H531" t="str"/>
      <x:c r="I531" t="str">
        <x:v>Årlig beregnet, ikke målt</x:v>
      </x:c>
      <x:c r="J531" t="str">
        <x:v>01012016_31122016enova.csv</x:v>
      </x:c>
    </x:row>
    <x:row r="532" ht="22" customHeight="1">
      <x:c r="A532" t="str">
        <x:v>c66e2a622a42</x:v>
      </x:c>
      <x:c r="B532" t="n">
        <x:v>2016</x:v>
      </x:c>
      <x:c r="C532" t="str">
        <x:v>Idrettsbygg</x:v>
      </x:c>
      <x:c r="D532" t="str">
        <x:v>C</x:v>
      </x:c>
      <x:c r="E532" t="n">
        <x:v>2001</x:v>
      </x:c>
      <x:c r="F532" t="n">
        <x:v>169.7</x:v>
      </x:c>
      <x:c r="G532" t="str">
        <x:v>Simple</x:v>
      </x:c>
      <x:c r="H532" t="str"/>
      <x:c r="I532" t="str">
        <x:v>Årlig beregnet, ikke målt</x:v>
      </x:c>
      <x:c r="J532" t="str">
        <x:v>01012016_31122016enova.csv</x:v>
      </x:c>
    </x:row>
    <x:row r="533" ht="22" customHeight="1">
      <x:c r="A533" t="str">
        <x:v>626cf1a099a6</x:v>
      </x:c>
      <x:c r="B533" t="n">
        <x:v>2016</x:v>
      </x:c>
      <x:c r="C533" t="str">
        <x:v>Idrettsbygg</x:v>
      </x:c>
      <x:c r="D533" t="str">
        <x:v>C</x:v>
      </x:c>
      <x:c r="E533" t="n">
        <x:v>1972</x:v>
      </x:c>
      <x:c r="F533" t="n">
        <x:v>191.8</x:v>
      </x:c>
      <x:c r="G533" t="str">
        <x:v>Simple</x:v>
      </x:c>
      <x:c r="H533" t="str"/>
      <x:c r="I533" t="str">
        <x:v>Årlig beregnet, ikke målt</x:v>
      </x:c>
      <x:c r="J533" t="str">
        <x:v>01012016_31122016enova.csv</x:v>
      </x:c>
    </x:row>
    <x:row r="534" ht="22" customHeight="1">
      <x:c r="A534" t="str">
        <x:v>284277ebfc49</x:v>
      </x:c>
      <x:c r="B534" t="n">
        <x:v>2016</x:v>
      </x:c>
      <x:c r="C534" t="str">
        <x:v>Idrettsbygg</x:v>
      </x:c>
      <x:c r="D534" t="str">
        <x:v>D</x:v>
      </x:c>
      <x:c r="E534" t="n">
        <x:v>2016</x:v>
      </x:c>
      <x:c r="F534" t="n">
        <x:v>209.2</x:v>
      </x:c>
      <x:c r="G534" t="str">
        <x:v>Simple</x:v>
      </x:c>
      <x:c r="H534" t="str"/>
      <x:c r="I534" t="str">
        <x:v>Årlig beregnet, ikke målt</x:v>
      </x:c>
      <x:c r="J534" t="str">
        <x:v>01012016_31122016enova.csv</x:v>
      </x:c>
    </x:row>
    <x:row r="535" ht="22" customHeight="1">
      <x:c r="A535" t="str">
        <x:v>10ec1dd9d987</x:v>
      </x:c>
      <x:c r="B535" t="n">
        <x:v>2016</x:v>
      </x:c>
      <x:c r="C535" t="str">
        <x:v>Idrettsbygg</x:v>
      </x:c>
      <x:c r="D535" t="str">
        <x:v>D</x:v>
      </x:c>
      <x:c r="E535" t="n">
        <x:v>1972</x:v>
      </x:c>
      <x:c r="F535" t="n">
        <x:v>237.4</x:v>
      </x:c>
      <x:c r="G535" t="str">
        <x:v>Simple</x:v>
      </x:c>
      <x:c r="H535" t="str"/>
      <x:c r="I535" t="str">
        <x:v>Årlig beregnet, ikke målt</x:v>
      </x:c>
      <x:c r="J535" t="str">
        <x:v>01012016_31122016enova.csv</x:v>
      </x:c>
    </x:row>
    <x:row r="536" ht="22" customHeight="1">
      <x:c r="A536" t="str">
        <x:v>5703f2fdae0f</x:v>
      </x:c>
      <x:c r="B536" t="n">
        <x:v>2016</x:v>
      </x:c>
      <x:c r="C536" t="str">
        <x:v>Idrettsbygg</x:v>
      </x:c>
      <x:c r="D536" t="str">
        <x:v>D</x:v>
      </x:c>
      <x:c r="E536" t="n">
        <x:v>1971</x:v>
      </x:c>
      <x:c r="F536" t="n">
        <x:v>263.5</x:v>
      </x:c>
      <x:c r="G536" t="str">
        <x:v>Simple</x:v>
      </x:c>
      <x:c r="H536" t="str"/>
      <x:c r="I536" t="str">
        <x:v>Årlig beregnet, ikke målt</x:v>
      </x:c>
      <x:c r="J536" t="str">
        <x:v>01012016_31122016enova.csv</x:v>
      </x:c>
    </x:row>
    <x:row r="537" ht="22" customHeight="1">
      <x:c r="A537" t="str">
        <x:v>ab74e512a48a</x:v>
      </x:c>
      <x:c r="B537" t="n">
        <x:v>2016</x:v>
      </x:c>
      <x:c r="C537" t="str">
        <x:v>Idrettsbygg</x:v>
      </x:c>
      <x:c r="D537" t="str">
        <x:v>D</x:v>
      </x:c>
      <x:c r="E537" t="n">
        <x:v>1978</x:v>
      </x:c>
      <x:c r="F537" t="n">
        <x:v>253.8</x:v>
      </x:c>
      <x:c r="G537" t="str">
        <x:v>Simple</x:v>
      </x:c>
      <x:c r="H537" t="str"/>
      <x:c r="I537" t="str">
        <x:v>Årlig beregnet, ikke målt</x:v>
      </x:c>
      <x:c r="J537" t="str">
        <x:v>01012016_31122016enova.csv</x:v>
      </x:c>
    </x:row>
    <x:row r="538" ht="22" customHeight="1">
      <x:c r="A538" t="str">
        <x:v>92008beebb7e</x:v>
      </x:c>
      <x:c r="B538" t="n">
        <x:v>2016</x:v>
      </x:c>
      <x:c r="C538" t="str">
        <x:v>Idrettsbygg</x:v>
      </x:c>
      <x:c r="D538" t="str">
        <x:v>D</x:v>
      </x:c>
      <x:c r="E538" t="n">
        <x:v>1987</x:v>
      </x:c>
      <x:c r="F538" t="n">
        <x:v>235.8</x:v>
      </x:c>
      <x:c r="G538" t="str">
        <x:v>Simple</x:v>
      </x:c>
      <x:c r="H538" t="str"/>
      <x:c r="I538" t="str">
        <x:v>Årlig beregnet, ikke målt</x:v>
      </x:c>
      <x:c r="J538" t="str">
        <x:v>01012016_31122016enova.csv</x:v>
      </x:c>
    </x:row>
    <x:row r="539" ht="22" customHeight="1">
      <x:c r="A539" t="str">
        <x:v>cb17876c170f</x:v>
      </x:c>
      <x:c r="B539" t="n">
        <x:v>2016</x:v>
      </x:c>
      <x:c r="C539" t="str">
        <x:v>Idrettsbygg</x:v>
      </x:c>
      <x:c r="D539" t="str">
        <x:v>E</x:v>
      </x:c>
      <x:c r="E539" t="n">
        <x:v>1962</x:v>
      </x:c>
      <x:c r="F539" t="n">
        <x:v>292.8</x:v>
      </x:c>
      <x:c r="G539" t="str">
        <x:v>Simple</x:v>
      </x:c>
      <x:c r="H539" t="str"/>
      <x:c r="I539" t="str">
        <x:v>Årlig beregnet, ikke målt</x:v>
      </x:c>
      <x:c r="J539" t="str">
        <x:v>01012016_31122016enova.csv</x:v>
      </x:c>
    </x:row>
    <x:row r="540" ht="22" customHeight="1">
      <x:c r="A540" t="str">
        <x:v>df02a3e07a11</x:v>
      </x:c>
      <x:c r="B540" t="n">
        <x:v>2016</x:v>
      </x:c>
      <x:c r="C540" t="str">
        <x:v>Idrettsbygg</x:v>
      </x:c>
      <x:c r="D540" t="str">
        <x:v>E</x:v>
      </x:c>
      <x:c r="E540" t="n">
        <x:v>1972</x:v>
      </x:c>
      <x:c r="F540" t="n">
        <x:v>278.3</x:v>
      </x:c>
      <x:c r="G540" t="str">
        <x:v>Simple</x:v>
      </x:c>
      <x:c r="H540" t="str"/>
      <x:c r="I540" t="str">
        <x:v>Årlig beregnet, ikke målt</x:v>
      </x:c>
      <x:c r="J540" t="str">
        <x:v>01012016_31122016enova.csv</x:v>
      </x:c>
    </x:row>
    <x:row r="541" ht="22" customHeight="1">
      <x:c r="A541" t="str">
        <x:v>bc34c276602e</x:v>
      </x:c>
      <x:c r="B541" t="n">
        <x:v>2016</x:v>
      </x:c>
      <x:c r="C541" t="str">
        <x:v>Idrettsbygg</x:v>
      </x:c>
      <x:c r="D541" t="str">
        <x:v>E</x:v>
      </x:c>
      <x:c r="E541" t="n">
        <x:v>2000</x:v>
      </x:c>
      <x:c r="F541" t="n">
        <x:v>317</x:v>
      </x:c>
      <x:c r="G541" t="str">
        <x:v>Advanced</x:v>
      </x:c>
      <x:c r="H541" t="str"/>
      <x:c r="I541" t="str">
        <x:v>Årlig beregnet, ikke målt</x:v>
      </x:c>
      <x:c r="J541" t="str">
        <x:v>01012016_31122016enova.csv</x:v>
      </x:c>
    </x:row>
    <x:row r="542" ht="22" customHeight="1">
      <x:c r="A542" t="str">
        <x:v>ab7b70d54a27</x:v>
      </x:c>
      <x:c r="B542" t="n">
        <x:v>2016</x:v>
      </x:c>
      <x:c r="C542" t="str">
        <x:v>Idrettsbygg</x:v>
      </x:c>
      <x:c r="D542" t="str">
        <x:v>F</x:v>
      </x:c>
      <x:c r="E542" t="n">
        <x:v>1905</x:v>
      </x:c>
      <x:c r="F542" t="n">
        <x:v>348.4</x:v>
      </x:c>
      <x:c r="G542" t="str">
        <x:v>Simple</x:v>
      </x:c>
      <x:c r="H542" t="str"/>
      <x:c r="I542" t="str">
        <x:v>Årlig beregnet, ikke målt</x:v>
      </x:c>
      <x:c r="J542" t="str">
        <x:v>01012016_31122016enova.csv</x:v>
      </x:c>
    </x:row>
    <x:row r="543" ht="22" customHeight="1">
      <x:c r="A543" t="str">
        <x:v>5158449e3170</x:v>
      </x:c>
      <x:c r="B543" t="n">
        <x:v>2016</x:v>
      </x:c>
      <x:c r="C543" t="str">
        <x:v>Idrettsbygg</x:v>
      </x:c>
      <x:c r="D543" t="str">
        <x:v>F</x:v>
      </x:c>
      <x:c r="E543" t="n">
        <x:v>1953</x:v>
      </x:c>
      <x:c r="F543" t="n">
        <x:v>382.7</x:v>
      </x:c>
      <x:c r="G543" t="str">
        <x:v>Simple</x:v>
      </x:c>
      <x:c r="H543" t="str"/>
      <x:c r="I543" t="str">
        <x:v>Årlig beregnet, ikke målt</x:v>
      </x:c>
      <x:c r="J543" t="str">
        <x:v>01012016_31122016enova.csv</x:v>
      </x:c>
    </x:row>
    <x:row r="544" ht="22" customHeight="1">
      <x:c r="A544" t="str">
        <x:v>93dd7eeb4fc6</x:v>
      </x:c>
      <x:c r="B544" t="n">
        <x:v>2016</x:v>
      </x:c>
      <x:c r="C544" t="str">
        <x:v>Idrettsbygg</x:v>
      </x:c>
      <x:c r="D544" t="str">
        <x:v>F</x:v>
      </x:c>
      <x:c r="E544" t="n">
        <x:v>2005</x:v>
      </x:c>
      <x:c r="F544" t="n">
        <x:v>402.2</x:v>
      </x:c>
      <x:c r="G544" t="str">
        <x:v>Simple</x:v>
      </x:c>
      <x:c r="H544" t="str"/>
      <x:c r="I544" t="str">
        <x:v>Årlig beregnet, ikke målt</x:v>
      </x:c>
      <x:c r="J544" t="str">
        <x:v>01012016_31122016enova.csv</x:v>
      </x:c>
    </x:row>
    <x:row r="545" ht="22" customHeight="1">
      <x:c r="A545" t="str">
        <x:v>37a8524c0fe2</x:v>
      </x:c>
      <x:c r="B545" t="n">
        <x:v>2016</x:v>
      </x:c>
      <x:c r="C545" t="str">
        <x:v>Idrettsbygg</x:v>
      </x:c>
      <x:c r="D545" t="str">
        <x:v>G</x:v>
      </x:c>
      <x:c r="E545" t="n">
        <x:v>1897</x:v>
      </x:c>
      <x:c r="F545" t="n">
        <x:v>470.5</x:v>
      </x:c>
      <x:c r="G545" t="str">
        <x:v>Simple</x:v>
      </x:c>
      <x:c r="H545" t="str"/>
      <x:c r="I545" t="str">
        <x:v>Årlig beregnet, ikke målt</x:v>
      </x:c>
      <x:c r="J545" t="str">
        <x:v>01012016_31122016enova.csv</x:v>
      </x:c>
    </x:row>
    <x:row r="546" ht="22" customHeight="1">
      <x:c r="A546" t="str">
        <x:v>f5911e9f7de4</x:v>
      </x:c>
      <x:c r="B546" t="n">
        <x:v>2016</x:v>
      </x:c>
      <x:c r="C546" t="str">
        <x:v>Idrettsbygg</x:v>
      </x:c>
      <x:c r="D546" t="str">
        <x:v>G</x:v>
      </x:c>
      <x:c r="E546" t="n">
        <x:v>1960</x:v>
      </x:c>
      <x:c r="F546" t="n">
        <x:v>508.6</x:v>
      </x:c>
      <x:c r="G546" t="str">
        <x:v>Simple</x:v>
      </x:c>
      <x:c r="H546" t="str"/>
      <x:c r="I546" t="str">
        <x:v>Årlig beregnet, ikke målt</x:v>
      </x:c>
      <x:c r="J546" t="str">
        <x:v>01012016_31122016enova.csv</x:v>
      </x:c>
    </x:row>
    <x:row r="547" ht="22" customHeight="1">
      <x:c r="A547" t="str">
        <x:v>15dad85d16ec</x:v>
      </x:c>
      <x:c r="B547" t="n">
        <x:v>2016</x:v>
      </x:c>
      <x:c r="C547" t="str">
        <x:v>Idrettsbygg</x:v>
      </x:c>
      <x:c r="D547" t="str">
        <x:v>G</x:v>
      </x:c>
      <x:c r="E547" t="n">
        <x:v>1960</x:v>
      </x:c>
      <x:c r="F547" t="n">
        <x:v>508.6</x:v>
      </x:c>
      <x:c r="G547" t="str">
        <x:v>Simple</x:v>
      </x:c>
      <x:c r="H547" t="str"/>
      <x:c r="I547" t="str">
        <x:v>Årlig beregnet, ikke målt</x:v>
      </x:c>
      <x:c r="J547" t="str">
        <x:v>01012016_31122016enova.csv</x:v>
      </x:c>
    </x:row>
    <x:row r="548" ht="22" customHeight="1">
      <x:c r="A548" t="str">
        <x:v>7986e4170f60</x:v>
      </x:c>
      <x:c r="B548" t="n">
        <x:v>2016</x:v>
      </x:c>
      <x:c r="C548" t="str">
        <x:v>Kontorbygg</x:v>
      </x:c>
      <x:c r="D548" t="str">
        <x:v>A</x:v>
      </x:c>
      <x:c r="E548" t="n">
        <x:v>2015</x:v>
      </x:c>
      <x:c r="F548" t="n">
        <x:v>75.9</x:v>
      </x:c>
      <x:c r="G548" t="str">
        <x:v>Advanced</x:v>
      </x:c>
      <x:c r="H548" t="str"/>
      <x:c r="I548" t="str">
        <x:v>Årlig beregnet, ikke målt</x:v>
      </x:c>
      <x:c r="J548" t="str">
        <x:v>01012016_31122016enova.csv</x:v>
      </x:c>
    </x:row>
    <x:row r="549" ht="22" customHeight="1">
      <x:c r="A549" t="str">
        <x:v>b90ce21c9c9e</x:v>
      </x:c>
      <x:c r="B549" t="n">
        <x:v>2016</x:v>
      </x:c>
      <x:c r="C549" t="str">
        <x:v>Kontorbygg</x:v>
      </x:c>
      <x:c r="D549" t="str">
        <x:v>A</x:v>
      </x:c>
      <x:c r="E549" t="n">
        <x:v>2015</x:v>
      </x:c>
      <x:c r="F549" t="n">
        <x:v>79.3</x:v>
      </x:c>
      <x:c r="G549" t="str">
        <x:v>Simple</x:v>
      </x:c>
      <x:c r="H549" t="str"/>
      <x:c r="I549" t="str">
        <x:v>Årlig beregnet, ikke målt</x:v>
      </x:c>
      <x:c r="J549" t="str">
        <x:v>01012016_31122016enova.csv</x:v>
      </x:c>
    </x:row>
    <x:row r="550" ht="22" customHeight="1">
      <x:c r="A550" t="str">
        <x:v>18165798f545</x:v>
      </x:c>
      <x:c r="B550" t="n">
        <x:v>2016</x:v>
      </x:c>
      <x:c r="C550" t="str">
        <x:v>Kontorbygg</x:v>
      </x:c>
      <x:c r="D550" t="str">
        <x:v>A</x:v>
      </x:c>
      <x:c r="E550" t="n">
        <x:v>2014</x:v>
      </x:c>
      <x:c r="F550" t="n">
        <x:v>84</x:v>
      </x:c>
      <x:c r="G550" t="str">
        <x:v>Advanced</x:v>
      </x:c>
      <x:c r="H550" t="str"/>
      <x:c r="I550" t="str">
        <x:v>Årlig beregnet, ikke målt</x:v>
      </x:c>
      <x:c r="J550" t="str">
        <x:v>01012016_31122016enova.csv</x:v>
      </x:c>
    </x:row>
    <x:row r="551" ht="22" customHeight="1">
      <x:c r="A551" t="str">
        <x:v>d28839f5e103</x:v>
      </x:c>
      <x:c r="B551" t="n">
        <x:v>2016</x:v>
      </x:c>
      <x:c r="C551" t="str">
        <x:v>Kontorbygg</x:v>
      </x:c>
      <x:c r="D551" t="str">
        <x:v>A</x:v>
      </x:c>
      <x:c r="E551" t="n">
        <x:v>2014</x:v>
      </x:c>
      <x:c r="F551" t="n">
        <x:v>78.2</x:v>
      </x:c>
      <x:c r="G551" t="str">
        <x:v>Simple</x:v>
      </x:c>
      <x:c r="H551" t="str"/>
      <x:c r="I551" t="str">
        <x:v>Årlig beregnet, ikke målt</x:v>
      </x:c>
      <x:c r="J551" t="str">
        <x:v>01012016_31122016enova.csv</x:v>
      </x:c>
    </x:row>
    <x:row r="552" ht="22" customHeight="1">
      <x:c r="A552" t="str">
        <x:v>83e704ebccb6</x:v>
      </x:c>
      <x:c r="B552" t="n">
        <x:v>2016</x:v>
      </x:c>
      <x:c r="C552" t="str">
        <x:v>Kontorbygg</x:v>
      </x:c>
      <x:c r="D552" t="str">
        <x:v>A</x:v>
      </x:c>
      <x:c r="E552" t="n">
        <x:v>2015</x:v>
      </x:c>
      <x:c r="F552" t="n">
        <x:v>88.3</x:v>
      </x:c>
      <x:c r="G552" t="str">
        <x:v>Advanced</x:v>
      </x:c>
      <x:c r="H552" t="str"/>
      <x:c r="I552" t="str">
        <x:v>Årlig beregnet, ikke målt</x:v>
      </x:c>
      <x:c r="J552" t="str">
        <x:v>01012016_31122016enova.csv</x:v>
      </x:c>
    </x:row>
    <x:row r="553" ht="22" customHeight="1">
      <x:c r="A553" t="str">
        <x:v>299ef2c8dd29</x:v>
      </x:c>
      <x:c r="B553" t="n">
        <x:v>2016</x:v>
      </x:c>
      <x:c r="C553" t="str">
        <x:v>Kontorbygg</x:v>
      </x:c>
      <x:c r="D553" t="str">
        <x:v>B</x:v>
      </x:c>
      <x:c r="E553" t="n">
        <x:v>2015</x:v>
      </x:c>
      <x:c r="F553" t="n">
        <x:v>105.6</x:v>
      </x:c>
      <x:c r="G553" t="str">
        <x:v>Simple</x:v>
      </x:c>
      <x:c r="H553" t="str"/>
      <x:c r="I553" t="str">
        <x:v>Årlig beregnet, ikke målt</x:v>
      </x:c>
      <x:c r="J553" t="str">
        <x:v>01012016_31122016enova.csv</x:v>
      </x:c>
    </x:row>
    <x:row r="554" ht="22" customHeight="1">
      <x:c r="A554" t="str">
        <x:v>7a6f352d1199</x:v>
      </x:c>
      <x:c r="B554" t="n">
        <x:v>2016</x:v>
      </x:c>
      <x:c r="C554" t="str">
        <x:v>Kontorbygg</x:v>
      </x:c>
      <x:c r="D554" t="str">
        <x:v>B</x:v>
      </x:c>
      <x:c r="E554" t="n">
        <x:v>2016</x:v>
      </x:c>
      <x:c r="F554" t="n">
        <x:v>106.6</x:v>
      </x:c>
      <x:c r="G554" t="str">
        <x:v>Simple</x:v>
      </x:c>
      <x:c r="H554" t="str"/>
      <x:c r="I554" t="str">
        <x:v>Årlig beregnet, ikke målt</x:v>
      </x:c>
      <x:c r="J554" t="str">
        <x:v>01012016_31122016enova.csv</x:v>
      </x:c>
    </x:row>
    <x:row r="555" ht="22" customHeight="1">
      <x:c r="A555" t="str">
        <x:v>9ea3418fdbf5</x:v>
      </x:c>
      <x:c r="B555" t="n">
        <x:v>2016</x:v>
      </x:c>
      <x:c r="C555" t="str">
        <x:v>Kontorbygg</x:v>
      </x:c>
      <x:c r="D555" t="str">
        <x:v>B</x:v>
      </x:c>
      <x:c r="E555" t="n">
        <x:v>2000</x:v>
      </x:c>
      <x:c r="F555" t="n">
        <x:v>105.7</x:v>
      </x:c>
      <x:c r="G555" t="str">
        <x:v>Simple</x:v>
      </x:c>
      <x:c r="H555" t="str"/>
      <x:c r="I555" t="str">
        <x:v>Årlig beregnet, ikke målt</x:v>
      </x:c>
      <x:c r="J555" t="str">
        <x:v>01012016_31122016enova.csv</x:v>
      </x:c>
    </x:row>
    <x:row r="556" ht="22" customHeight="1">
      <x:c r="A556" t="str">
        <x:v>a5ff706c2bd2</x:v>
      </x:c>
      <x:c r="B556" t="n">
        <x:v>2016</x:v>
      </x:c>
      <x:c r="C556" t="str">
        <x:v>Kontorbygg</x:v>
      </x:c>
      <x:c r="D556" t="str">
        <x:v>B</x:v>
      </x:c>
      <x:c r="E556" t="n">
        <x:v>2016</x:v>
      </x:c>
      <x:c r="F556" t="n">
        <x:v>112.7</x:v>
      </x:c>
      <x:c r="G556" t="str">
        <x:v>Simple</x:v>
      </x:c>
      <x:c r="H556" t="str"/>
      <x:c r="I556" t="str">
        <x:v>Årlig beregnet, ikke målt</x:v>
      </x:c>
      <x:c r="J556" t="str">
        <x:v>01012016_31122016enova.csv</x:v>
      </x:c>
    </x:row>
    <x:row r="557" ht="22" customHeight="1">
      <x:c r="A557" t="str">
        <x:v>efc8b591c8e8</x:v>
      </x:c>
      <x:c r="B557" t="n">
        <x:v>2016</x:v>
      </x:c>
      <x:c r="C557" t="str">
        <x:v>Kontorbygg</x:v>
      </x:c>
      <x:c r="D557" t="str">
        <x:v>B</x:v>
      </x:c>
      <x:c r="E557" t="n">
        <x:v>1979</x:v>
      </x:c>
      <x:c r="F557" t="n">
        <x:v>97.7</x:v>
      </x:c>
      <x:c r="G557" t="str">
        <x:v>Simple</x:v>
      </x:c>
      <x:c r="H557" t="str"/>
      <x:c r="I557" t="str">
        <x:v>Årlig beregnet, ikke målt</x:v>
      </x:c>
      <x:c r="J557" t="str">
        <x:v>01012016_31122016enova.csv</x:v>
      </x:c>
    </x:row>
    <x:row r="558" ht="22" customHeight="1">
      <x:c r="A558" t="str">
        <x:v>9aebd733af16</x:v>
      </x:c>
      <x:c r="B558" t="n">
        <x:v>2016</x:v>
      </x:c>
      <x:c r="C558" t="str">
        <x:v>Kontorbygg</x:v>
      </x:c>
      <x:c r="D558" t="str">
        <x:v>C</x:v>
      </x:c>
      <x:c r="E558" t="n">
        <x:v>1998</x:v>
      </x:c>
      <x:c r="F558" t="n">
        <x:v>144.6</x:v>
      </x:c>
      <x:c r="G558" t="str">
        <x:v>Simple</x:v>
      </x:c>
      <x:c r="H558" t="str"/>
      <x:c r="I558" t="str">
        <x:v>Årlig beregnet, ikke målt</x:v>
      </x:c>
      <x:c r="J558" t="str">
        <x:v>01012016_31122016enova.csv</x:v>
      </x:c>
    </x:row>
    <x:row r="559" ht="22" customHeight="1">
      <x:c r="A559" t="str">
        <x:v>98fae8ea5e53</x:v>
      </x:c>
      <x:c r="B559" t="n">
        <x:v>2016</x:v>
      </x:c>
      <x:c r="C559" t="str">
        <x:v>Kontorbygg</x:v>
      </x:c>
      <x:c r="D559" t="str">
        <x:v>C</x:v>
      </x:c>
      <x:c r="E559" t="n">
        <x:v>2012</x:v>
      </x:c>
      <x:c r="F559" t="n">
        <x:v>120.3</x:v>
      </x:c>
      <x:c r="G559" t="str">
        <x:v>Simple</x:v>
      </x:c>
      <x:c r="H559" t="str"/>
      <x:c r="I559" t="str">
        <x:v>Årlig beregnet, ikke målt</x:v>
      </x:c>
      <x:c r="J559" t="str">
        <x:v>01012016_31122016enova.csv</x:v>
      </x:c>
    </x:row>
    <x:row r="560" ht="22" customHeight="1">
      <x:c r="A560" t="str">
        <x:v>ae0aa43166c3</x:v>
      </x:c>
      <x:c r="B560" t="n">
        <x:v>2016</x:v>
      </x:c>
      <x:c r="C560" t="str">
        <x:v>Kontorbygg</x:v>
      </x:c>
      <x:c r="D560" t="str">
        <x:v>C</x:v>
      </x:c>
      <x:c r="E560" t="n">
        <x:v>2016</x:v>
      </x:c>
      <x:c r="F560" t="n">
        <x:v>121.5</x:v>
      </x:c>
      <x:c r="G560" t="str">
        <x:v>Simple</x:v>
      </x:c>
      <x:c r="H560" t="str"/>
      <x:c r="I560" t="str">
        <x:v>Årlig beregnet, ikke målt</x:v>
      </x:c>
      <x:c r="J560" t="str">
        <x:v>01012016_31122016enova.csv</x:v>
      </x:c>
    </x:row>
    <x:row r="561" ht="22" customHeight="1">
      <x:c r="A561" t="str">
        <x:v>a39104b17c6f</x:v>
      </x:c>
      <x:c r="B561" t="n">
        <x:v>2016</x:v>
      </x:c>
      <x:c r="C561" t="str">
        <x:v>Kontorbygg</x:v>
      </x:c>
      <x:c r="D561" t="str">
        <x:v>C</x:v>
      </x:c>
      <x:c r="E561" t="n">
        <x:v>1965</x:v>
      </x:c>
      <x:c r="F561" t="n">
        <x:v>125.5</x:v>
      </x:c>
      <x:c r="G561" t="str">
        <x:v>Simple</x:v>
      </x:c>
      <x:c r="H561" t="str"/>
      <x:c r="I561" t="str">
        <x:v>Årlig beregnet, ikke målt</x:v>
      </x:c>
      <x:c r="J561" t="str">
        <x:v>01012016_31122016enova.csv</x:v>
      </x:c>
    </x:row>
    <x:row r="562" ht="22" customHeight="1">
      <x:c r="A562" t="str">
        <x:v>2092e35e4163</x:v>
      </x:c>
      <x:c r="B562" t="n">
        <x:v>2016</x:v>
      </x:c>
      <x:c r="C562" t="str">
        <x:v>Kontorbygg</x:v>
      </x:c>
      <x:c r="D562" t="str">
        <x:v>C</x:v>
      </x:c>
      <x:c r="E562" t="n">
        <x:v>2015</x:v>
      </x:c>
      <x:c r="F562" t="n">
        <x:v>126.9</x:v>
      </x:c>
      <x:c r="G562" t="str">
        <x:v>Simple</x:v>
      </x:c>
      <x:c r="H562" t="str"/>
      <x:c r="I562" t="str">
        <x:v>Årlig beregnet, ikke målt</x:v>
      </x:c>
      <x:c r="J562" t="str">
        <x:v>01012016_31122016enova.csv</x:v>
      </x:c>
    </x:row>
    <x:row r="563" ht="22" customHeight="1">
      <x:c r="A563" t="str">
        <x:v>2aecb6f94270</x:v>
      </x:c>
      <x:c r="B563" t="n">
        <x:v>2016</x:v>
      </x:c>
      <x:c r="C563" t="str">
        <x:v>Kontorbygg</x:v>
      </x:c>
      <x:c r="D563" t="str">
        <x:v>D</x:v>
      </x:c>
      <x:c r="E563" t="n">
        <x:v>1987</x:v>
      </x:c>
      <x:c r="F563" t="n">
        <x:v>152</x:v>
      </x:c>
      <x:c r="G563" t="str">
        <x:v>Simple</x:v>
      </x:c>
      <x:c r="H563" t="str"/>
      <x:c r="I563" t="str">
        <x:v>Årlig beregnet, ikke målt</x:v>
      </x:c>
      <x:c r="J563" t="str">
        <x:v>01012016_31122016enova.csv</x:v>
      </x:c>
    </x:row>
    <x:row r="564" ht="22" customHeight="1">
      <x:c r="A564" t="str">
        <x:v>0283900ad036</x:v>
      </x:c>
      <x:c r="B564" t="n">
        <x:v>2016</x:v>
      </x:c>
      <x:c r="C564" t="str">
        <x:v>Kontorbygg</x:v>
      </x:c>
      <x:c r="D564" t="str">
        <x:v>D</x:v>
      </x:c>
      <x:c r="E564" t="n">
        <x:v>1930</x:v>
      </x:c>
      <x:c r="F564" t="n">
        <x:v>157.8</x:v>
      </x:c>
      <x:c r="G564" t="str">
        <x:v>Simple</x:v>
      </x:c>
      <x:c r="H564" t="str"/>
      <x:c r="I564" t="str">
        <x:v>Årlig beregnet, ikke målt</x:v>
      </x:c>
      <x:c r="J564" t="str">
        <x:v>01012016_31122016enova.csv</x:v>
      </x:c>
    </x:row>
    <x:row r="565" ht="22" customHeight="1">
      <x:c r="A565" t="str">
        <x:v>088ffb763a96</x:v>
      </x:c>
      <x:c r="B565" t="n">
        <x:v>2016</x:v>
      </x:c>
      <x:c r="C565" t="str">
        <x:v>Kontorbygg</x:v>
      </x:c>
      <x:c r="D565" t="str">
        <x:v>D</x:v>
      </x:c>
      <x:c r="E565" t="n">
        <x:v>2000</x:v>
      </x:c>
      <x:c r="F565" t="n">
        <x:v>155.3</x:v>
      </x:c>
      <x:c r="G565" t="str">
        <x:v>Simple</x:v>
      </x:c>
      <x:c r="H565" t="str"/>
      <x:c r="I565" t="str">
        <x:v>Årlig beregnet, ikke målt</x:v>
      </x:c>
      <x:c r="J565" t="str">
        <x:v>01012016_31122016enova.csv</x:v>
      </x:c>
    </x:row>
    <x:row r="566" ht="22" customHeight="1">
      <x:c r="A566" t="str">
        <x:v>fd81b468696d</x:v>
      </x:c>
      <x:c r="B566" t="n">
        <x:v>2016</x:v>
      </x:c>
      <x:c r="C566" t="str">
        <x:v>Kontorbygg</x:v>
      </x:c>
      <x:c r="D566" t="str">
        <x:v>D</x:v>
      </x:c>
      <x:c r="E566" t="n">
        <x:v>1900</x:v>
      </x:c>
      <x:c r="F566" t="n">
        <x:v>172.97</x:v>
      </x:c>
      <x:c r="G566" t="str">
        <x:v>Simple</x:v>
      </x:c>
      <x:c r="H566" t="str">
        <x:v>Tre</x:v>
      </x:c>
      <x:c r="I566" t="str">
        <x:v>Årlig beregnet, ikke målt</x:v>
      </x:c>
      <x:c r="J566" t="str">
        <x:v>01012016_31122016enova.csv</x:v>
      </x:c>
    </x:row>
    <x:row r="567" ht="22" customHeight="1">
      <x:c r="A567" t="str">
        <x:v>cac465023a61</x:v>
      </x:c>
      <x:c r="B567" t="n">
        <x:v>2016</x:v>
      </x:c>
      <x:c r="C567" t="str">
        <x:v>Kontorbygg</x:v>
      </x:c>
      <x:c r="D567" t="str">
        <x:v>D</x:v>
      </x:c>
      <x:c r="E567" t="n">
        <x:v>1987</x:v>
      </x:c>
      <x:c r="F567" t="n">
        <x:v>163.6</x:v>
      </x:c>
      <x:c r="G567" t="str">
        <x:v>Simple</x:v>
      </x:c>
      <x:c r="H567" t="str"/>
      <x:c r="I567" t="str">
        <x:v>Årlig beregnet, ikke målt</x:v>
      </x:c>
      <x:c r="J567" t="str">
        <x:v>01012016_31122016enova.csv</x:v>
      </x:c>
    </x:row>
    <x:row r="568" ht="22" customHeight="1">
      <x:c r="A568" t="str">
        <x:v>3b4ae1e90f29</x:v>
      </x:c>
      <x:c r="B568" t="n">
        <x:v>2016</x:v>
      </x:c>
      <x:c r="C568" t="str">
        <x:v>Kontorbygg</x:v>
      </x:c>
      <x:c r="D568" t="str">
        <x:v>E</x:v>
      </x:c>
      <x:c r="E568" t="n">
        <x:v>1984</x:v>
      </x:c>
      <x:c r="F568" t="n">
        <x:v>181.2</x:v>
      </x:c>
      <x:c r="G568" t="str">
        <x:v>Simple</x:v>
      </x:c>
      <x:c r="H568" t="str"/>
      <x:c r="I568" t="str">
        <x:v>Årlig beregnet, ikke målt</x:v>
      </x:c>
      <x:c r="J568" t="str">
        <x:v>01012016_31122016enova.csv</x:v>
      </x:c>
    </x:row>
    <x:row r="569" ht="22" customHeight="1">
      <x:c r="A569" t="str">
        <x:v>882174e04b93</x:v>
      </x:c>
      <x:c r="B569" t="n">
        <x:v>2016</x:v>
      </x:c>
      <x:c r="C569" t="str">
        <x:v>Kontorbygg</x:v>
      </x:c>
      <x:c r="D569" t="str">
        <x:v>E</x:v>
      </x:c>
      <x:c r="E569" t="n">
        <x:v>1970</x:v>
      </x:c>
      <x:c r="F569" t="n">
        <x:v>203.2</x:v>
      </x:c>
      <x:c r="G569" t="str">
        <x:v>Simple</x:v>
      </x:c>
      <x:c r="H569" t="str"/>
      <x:c r="I569" t="str">
        <x:v>Årlig beregnet, ikke målt</x:v>
      </x:c>
      <x:c r="J569" t="str">
        <x:v>01012016_31122016enova.csv</x:v>
      </x:c>
    </x:row>
    <x:row r="570" ht="22" customHeight="1">
      <x:c r="A570" t="str">
        <x:v>811196e03e0b</x:v>
      </x:c>
      <x:c r="B570" t="n">
        <x:v>2016</x:v>
      </x:c>
      <x:c r="C570" t="str">
        <x:v>Kontorbygg</x:v>
      </x:c>
      <x:c r="D570" t="str">
        <x:v>E</x:v>
      </x:c>
      <x:c r="E570" t="n">
        <x:v>1967</x:v>
      </x:c>
      <x:c r="F570" t="n">
        <x:v>183.1</x:v>
      </x:c>
      <x:c r="G570" t="str">
        <x:v>Simple</x:v>
      </x:c>
      <x:c r="H570" t="str"/>
      <x:c r="I570" t="str">
        <x:v>Årlig beregnet, ikke målt</x:v>
      </x:c>
      <x:c r="J570" t="str">
        <x:v>01012016_31122016enova.csv</x:v>
      </x:c>
    </x:row>
    <x:row r="571" ht="22" customHeight="1">
      <x:c r="A571" t="str">
        <x:v>a3b95eb22b90</x:v>
      </x:c>
      <x:c r="B571" t="n">
        <x:v>2016</x:v>
      </x:c>
      <x:c r="C571" t="str">
        <x:v>Kontorbygg</x:v>
      </x:c>
      <x:c r="D571" t="str">
        <x:v>E</x:v>
      </x:c>
      <x:c r="E571" t="n">
        <x:v>1988</x:v>
      </x:c>
      <x:c r="F571" t="n">
        <x:v>190.7</x:v>
      </x:c>
      <x:c r="G571" t="str">
        <x:v>Simple</x:v>
      </x:c>
      <x:c r="H571" t="str"/>
      <x:c r="I571" t="str">
        <x:v>Årlig beregnet, ikke målt</x:v>
      </x:c>
      <x:c r="J571" t="str">
        <x:v>01012016_31122016enova.csv</x:v>
      </x:c>
    </x:row>
    <x:row r="572" ht="22" customHeight="1">
      <x:c r="A572" t="str">
        <x:v>cbd46c2153d2</x:v>
      </x:c>
      <x:c r="B572" t="n">
        <x:v>2016</x:v>
      </x:c>
      <x:c r="C572" t="str">
        <x:v>Kontorbygg</x:v>
      </x:c>
      <x:c r="D572" t="str">
        <x:v>E</x:v>
      </x:c>
      <x:c r="E572" t="n">
        <x:v>1921</x:v>
      </x:c>
      <x:c r="F572" t="n">
        <x:v>187.7</x:v>
      </x:c>
      <x:c r="G572" t="str">
        <x:v>Simple</x:v>
      </x:c>
      <x:c r="H572" t="str"/>
      <x:c r="I572" t="str">
        <x:v>Årlig beregnet, ikke målt</x:v>
      </x:c>
      <x:c r="J572" t="str">
        <x:v>01012016_31122016enova.csv</x:v>
      </x:c>
    </x:row>
    <x:row r="573" ht="22" customHeight="1">
      <x:c r="A573" t="str">
        <x:v>f91f244a3d9a</x:v>
      </x:c>
      <x:c r="B573" t="n">
        <x:v>2016</x:v>
      </x:c>
      <x:c r="C573" t="str">
        <x:v>Kontorbygg</x:v>
      </x:c>
      <x:c r="D573" t="str">
        <x:v>F</x:v>
      </x:c>
      <x:c r="E573" t="n">
        <x:v>1997</x:v>
      </x:c>
      <x:c r="F573" t="n">
        <x:v>259.5</x:v>
      </x:c>
      <x:c r="G573" t="str">
        <x:v>Advanced</x:v>
      </x:c>
      <x:c r="H573" t="str"/>
      <x:c r="I573" t="str">
        <x:v>Årlig beregnet, ikke målt</x:v>
      </x:c>
      <x:c r="J573" t="str">
        <x:v>01012016_31122016enova.csv</x:v>
      </x:c>
    </x:row>
    <x:row r="574" ht="22" customHeight="1">
      <x:c r="A574" t="str">
        <x:v>b1e2eab36f69</x:v>
      </x:c>
      <x:c r="B574" t="n">
        <x:v>2016</x:v>
      </x:c>
      <x:c r="C574" t="str">
        <x:v>Kontorbygg</x:v>
      </x:c>
      <x:c r="D574" t="str">
        <x:v>F</x:v>
      </x:c>
      <x:c r="E574" t="n">
        <x:v>1997</x:v>
      </x:c>
      <x:c r="F574" t="n">
        <x:v>231.9</x:v>
      </x:c>
      <x:c r="G574" t="str">
        <x:v>Simple</x:v>
      </x:c>
      <x:c r="H574" t="str"/>
      <x:c r="I574" t="str">
        <x:v>Årlig beregnet, ikke målt</x:v>
      </x:c>
      <x:c r="J574" t="str">
        <x:v>01012016_31122016enova.csv</x:v>
      </x:c>
    </x:row>
    <x:row r="575" ht="22" customHeight="1">
      <x:c r="A575" t="str">
        <x:v>f28857835305</x:v>
      </x:c>
      <x:c r="B575" t="n">
        <x:v>2016</x:v>
      </x:c>
      <x:c r="C575" t="str">
        <x:v>Kontorbygg</x:v>
      </x:c>
      <x:c r="D575" t="str">
        <x:v>F</x:v>
      </x:c>
      <x:c r="E575" t="n">
        <x:v>1992</x:v>
      </x:c>
      <x:c r="F575" t="n">
        <x:v>241.6</x:v>
      </x:c>
      <x:c r="G575" t="str">
        <x:v>Simple</x:v>
      </x:c>
      <x:c r="H575" t="str">
        <x:v>Betong</x:v>
      </x:c>
      <x:c r="I575" t="str">
        <x:v>Årlig beregnet, ikke målt</x:v>
      </x:c>
      <x:c r="J575" t="str">
        <x:v>01012016_31122016enova.csv</x:v>
      </x:c>
    </x:row>
    <x:row r="576" ht="22" customHeight="1">
      <x:c r="A576" t="str">
        <x:v>d0b548fbff67</x:v>
      </x:c>
      <x:c r="B576" t="n">
        <x:v>2016</x:v>
      </x:c>
      <x:c r="C576" t="str">
        <x:v>Kontorbygg</x:v>
      </x:c>
      <x:c r="D576" t="str">
        <x:v>F</x:v>
      </x:c>
      <x:c r="E576" t="n">
        <x:v>1961</x:v>
      </x:c>
      <x:c r="F576" t="n">
        <x:v>234</x:v>
      </x:c>
      <x:c r="G576" t="str">
        <x:v>Simple</x:v>
      </x:c>
      <x:c r="H576" t="str"/>
      <x:c r="I576" t="str">
        <x:v>Årlig beregnet, ikke målt</x:v>
      </x:c>
      <x:c r="J576" t="str">
        <x:v>01012016_31122016enova.csv</x:v>
      </x:c>
    </x:row>
    <x:row r="577" ht="22" customHeight="1">
      <x:c r="A577" t="str">
        <x:v>b79d64c1ced7</x:v>
      </x:c>
      <x:c r="B577" t="n">
        <x:v>2016</x:v>
      </x:c>
      <x:c r="C577" t="str">
        <x:v>Kontorbygg</x:v>
      </x:c>
      <x:c r="D577" t="str">
        <x:v>F</x:v>
      </x:c>
      <x:c r="E577" t="n">
        <x:v>2004</x:v>
      </x:c>
      <x:c r="F577" t="n">
        <x:v>252</x:v>
      </x:c>
      <x:c r="G577" t="str">
        <x:v>Advanced</x:v>
      </x:c>
      <x:c r="H577" t="str"/>
      <x:c r="I577" t="str">
        <x:v>Årlig beregnet, ikke målt</x:v>
      </x:c>
      <x:c r="J577" t="str">
        <x:v>01012016_31122016enova.csv</x:v>
      </x:c>
    </x:row>
    <x:row r="578" ht="22" customHeight="1">
      <x:c r="A578" t="str">
        <x:v>98acdf2a2b28</x:v>
      </x:c>
      <x:c r="B578" t="n">
        <x:v>2016</x:v>
      </x:c>
      <x:c r="C578" t="str">
        <x:v>Kontorbygg</x:v>
      </x:c>
      <x:c r="D578" t="str">
        <x:v>G</x:v>
      </x:c>
      <x:c r="E578" t="n">
        <x:v>1984</x:v>
      </x:c>
      <x:c r="F578" t="n">
        <x:v>322.6</x:v>
      </x:c>
      <x:c r="G578" t="str">
        <x:v>Simple</x:v>
      </x:c>
      <x:c r="H578" t="str"/>
      <x:c r="I578" t="str">
        <x:v>Årlig beregnet, ikke målt</x:v>
      </x:c>
      <x:c r="J578" t="str">
        <x:v>01012016_31122016enova.csv</x:v>
      </x:c>
    </x:row>
    <x:row r="579" ht="22" customHeight="1">
      <x:c r="A579" t="str">
        <x:v>7132bc500784</x:v>
      </x:c>
      <x:c r="B579" t="n">
        <x:v>2016</x:v>
      </x:c>
      <x:c r="C579" t="str">
        <x:v>Kontorbygg</x:v>
      </x:c>
      <x:c r="D579" t="str">
        <x:v>G</x:v>
      </x:c>
      <x:c r="E579" t="n">
        <x:v>1860</x:v>
      </x:c>
      <x:c r="F579" t="n">
        <x:v>315.2</x:v>
      </x:c>
      <x:c r="G579" t="str">
        <x:v>Simple</x:v>
      </x:c>
      <x:c r="H579" t="str"/>
      <x:c r="I579" t="str">
        <x:v>Årlig beregnet, ikke målt</x:v>
      </x:c>
      <x:c r="J579" t="str">
        <x:v>01012016_31122016enova.csv</x:v>
      </x:c>
    </x:row>
    <x:row r="580" ht="22" customHeight="1">
      <x:c r="A580" t="str">
        <x:v>2da9a42d6fcc</x:v>
      </x:c>
      <x:c r="B580" t="n">
        <x:v>2016</x:v>
      </x:c>
      <x:c r="C580" t="str">
        <x:v>Kontorbygg</x:v>
      </x:c>
      <x:c r="D580" t="str">
        <x:v>G</x:v>
      </x:c>
      <x:c r="E580" t="n">
        <x:v>1949</x:v>
      </x:c>
      <x:c r="F580" t="n">
        <x:v>500.5</x:v>
      </x:c>
      <x:c r="G580" t="str">
        <x:v>Simple</x:v>
      </x:c>
      <x:c r="H580" t="str"/>
      <x:c r="I580" t="str">
        <x:v>Årlig beregnet, ikke målt</x:v>
      </x:c>
      <x:c r="J580" t="str">
        <x:v>01012016_31122016enova.csv</x:v>
      </x:c>
    </x:row>
    <x:row r="581" ht="22" customHeight="1">
      <x:c r="A581" t="str">
        <x:v>f020287c5bbf</x:v>
      </x:c>
      <x:c r="B581" t="n">
        <x:v>2016</x:v>
      </x:c>
      <x:c r="C581" t="str">
        <x:v>Kontorbygg</x:v>
      </x:c>
      <x:c r="D581" t="str">
        <x:v>G</x:v>
      </x:c>
      <x:c r="E581" t="n">
        <x:v>1897</x:v>
      </x:c>
      <x:c r="F581" t="n">
        <x:v>284.1</x:v>
      </x:c>
      <x:c r="G581" t="str">
        <x:v>Simple</x:v>
      </x:c>
      <x:c r="H581" t="str"/>
      <x:c r="I581" t="str">
        <x:v>Årlig beregnet, ikke målt</x:v>
      </x:c>
      <x:c r="J581" t="str">
        <x:v>01012016_31122016enova.csv</x:v>
      </x:c>
    </x:row>
    <x:row r="582" ht="22" customHeight="1">
      <x:c r="A582" t="str">
        <x:v>5ddb0c467f55</x:v>
      </x:c>
      <x:c r="B582" t="n">
        <x:v>2016</x:v>
      </x:c>
      <x:c r="C582" t="str">
        <x:v>Kontorbygg</x:v>
      </x:c>
      <x:c r="D582" t="str">
        <x:v>G</x:v>
      </x:c>
      <x:c r="E582" t="n">
        <x:v>1860</x:v>
      </x:c>
      <x:c r="F582" t="n">
        <x:v>546.2</x:v>
      </x:c>
      <x:c r="G582" t="str">
        <x:v>Simple</x:v>
      </x:c>
      <x:c r="H582" t="str"/>
      <x:c r="I582" t="str">
        <x:v>Årlig beregnet, ikke målt</x:v>
      </x:c>
      <x:c r="J582" t="str">
        <x:v>01012016_31122016enova.csv</x:v>
      </x:c>
    </x:row>
    <x:row r="583" ht="22" customHeight="1">
      <x:c r="A583" t="str">
        <x:v>c0c11fb1a3c9</x:v>
      </x:c>
      <x:c r="B583" t="n">
        <x:v>2016</x:v>
      </x:c>
      <x:c r="C583" t="str">
        <x:v>Kulturbygg</x:v>
      </x:c>
      <x:c r="D583" t="str">
        <x:v>A</x:v>
      </x:c>
      <x:c r="E583" t="n">
        <x:v>2016</x:v>
      </x:c>
      <x:c r="F583" t="n">
        <x:v>90.9</x:v>
      </x:c>
      <x:c r="G583" t="str">
        <x:v>Simple</x:v>
      </x:c>
      <x:c r="H583" t="str"/>
      <x:c r="I583" t="str">
        <x:v>Årlig beregnet, ikke målt</x:v>
      </x:c>
      <x:c r="J583" t="str">
        <x:v>01012016_31122016enova.csv</x:v>
      </x:c>
    </x:row>
    <x:row r="584" ht="22" customHeight="1">
      <x:c r="A584" t="str">
        <x:v>4f8dd3e1c397</x:v>
      </x:c>
      <x:c r="B584" t="n">
        <x:v>2016</x:v>
      </x:c>
      <x:c r="C584" t="str">
        <x:v>Kulturbygg</x:v>
      </x:c>
      <x:c r="D584" t="str">
        <x:v>B</x:v>
      </x:c>
      <x:c r="E584" t="n">
        <x:v>2013</x:v>
      </x:c>
      <x:c r="F584" t="n">
        <x:v>100.4</x:v>
      </x:c>
      <x:c r="G584" t="str">
        <x:v>Simple</x:v>
      </x:c>
      <x:c r="H584" t="str"/>
      <x:c r="I584" t="str">
        <x:v>Årlig beregnet, ikke målt</x:v>
      </x:c>
      <x:c r="J584" t="str">
        <x:v>01012016_31122016enova.csv</x:v>
      </x:c>
    </x:row>
    <x:row r="585" ht="22" customHeight="1">
      <x:c r="A585" t="str">
        <x:v>876a91a1d2c6</x:v>
      </x:c>
      <x:c r="B585" t="n">
        <x:v>2016</x:v>
      </x:c>
      <x:c r="C585" t="str">
        <x:v>Kulturbygg</x:v>
      </x:c>
      <x:c r="D585" t="str">
        <x:v>B</x:v>
      </x:c>
      <x:c r="E585" t="n">
        <x:v>2016</x:v>
      </x:c>
      <x:c r="F585" t="n">
        <x:v>129.8</x:v>
      </x:c>
      <x:c r="G585" t="str">
        <x:v>Simple</x:v>
      </x:c>
      <x:c r="H585" t="str"/>
      <x:c r="I585" t="str">
        <x:v>Årlig beregnet, ikke målt</x:v>
      </x:c>
      <x:c r="J585" t="str">
        <x:v>01012016_31122016enova.csv</x:v>
      </x:c>
    </x:row>
    <x:row r="586" ht="22" customHeight="1">
      <x:c r="A586" t="str">
        <x:v>459b08d8e255</x:v>
      </x:c>
      <x:c r="B586" t="n">
        <x:v>2016</x:v>
      </x:c>
      <x:c r="C586" t="str">
        <x:v>Kulturbygg</x:v>
      </x:c>
      <x:c r="D586" t="str">
        <x:v>B</x:v>
      </x:c>
      <x:c r="E586" t="n">
        <x:v>2014</x:v>
      </x:c>
      <x:c r="F586" t="n">
        <x:v>117.7</x:v>
      </x:c>
      <x:c r="G586" t="str">
        <x:v>Simple</x:v>
      </x:c>
      <x:c r="H586" t="str"/>
      <x:c r="I586" t="str">
        <x:v>Årlig beregnet, ikke målt</x:v>
      </x:c>
      <x:c r="J586" t="str">
        <x:v>01012016_31122016enova.csv</x:v>
      </x:c>
    </x:row>
    <x:row r="587" ht="22" customHeight="1">
      <x:c r="A587" t="str">
        <x:v>d32bdd576492</x:v>
      </x:c>
      <x:c r="B587" t="n">
        <x:v>2016</x:v>
      </x:c>
      <x:c r="C587" t="str">
        <x:v>Kulturbygg</x:v>
      </x:c>
      <x:c r="D587" t="str">
        <x:v>B</x:v>
      </x:c>
      <x:c r="E587" t="n">
        <x:v>2013</x:v>
      </x:c>
      <x:c r="F587" t="n">
        <x:v>97.6</x:v>
      </x:c>
      <x:c r="G587" t="str">
        <x:v>Simple</x:v>
      </x:c>
      <x:c r="H587" t="str"/>
      <x:c r="I587" t="str">
        <x:v>Årlig beregnet, ikke målt</x:v>
      </x:c>
      <x:c r="J587" t="str">
        <x:v>01012016_31122016enova.csv</x:v>
      </x:c>
    </x:row>
    <x:row r="588" ht="22" customHeight="1">
      <x:c r="A588" t="str">
        <x:v>3db274b4d941</x:v>
      </x:c>
      <x:c r="B588" t="n">
        <x:v>2016</x:v>
      </x:c>
      <x:c r="C588" t="str">
        <x:v>Kulturbygg</x:v>
      </x:c>
      <x:c r="D588" t="str">
        <x:v>B</x:v>
      </x:c>
      <x:c r="E588" t="n">
        <x:v>2015</x:v>
      </x:c>
      <x:c r="F588" t="n">
        <x:v>103.9</x:v>
      </x:c>
      <x:c r="G588" t="str">
        <x:v>Simple</x:v>
      </x:c>
      <x:c r="H588" t="str"/>
      <x:c r="I588" t="str">
        <x:v>Årlig beregnet, ikke målt</x:v>
      </x:c>
      <x:c r="J588" t="str">
        <x:v>01012016_31122016enova.csv</x:v>
      </x:c>
    </x:row>
    <x:row r="589" ht="22" customHeight="1">
      <x:c r="A589" t="str">
        <x:v>2954674f5477</x:v>
      </x:c>
      <x:c r="B589" t="n">
        <x:v>2016</x:v>
      </x:c>
      <x:c r="C589" t="str">
        <x:v>Kulturbygg</x:v>
      </x:c>
      <x:c r="D589" t="str">
        <x:v>C</x:v>
      </x:c>
      <x:c r="E589" t="n">
        <x:v>1997</x:v>
      </x:c>
      <x:c r="F589" t="n">
        <x:v>170.3</x:v>
      </x:c>
      <x:c r="G589" t="str">
        <x:v>Simple</x:v>
      </x:c>
      <x:c r="H589" t="str"/>
      <x:c r="I589" t="str">
        <x:v>Årlig beregnet, ikke målt</x:v>
      </x:c>
      <x:c r="J589" t="str">
        <x:v>01012016_31122016enova.csv</x:v>
      </x:c>
    </x:row>
    <x:row r="590" ht="22" customHeight="1">
      <x:c r="A590" t="str">
        <x:v>b4eb8cab1a6b</x:v>
      </x:c>
      <x:c r="B590" t="n">
        <x:v>2016</x:v>
      </x:c>
      <x:c r="C590" t="str">
        <x:v>Kulturbygg</x:v>
      </x:c>
      <x:c r="D590" t="str">
        <x:v>C</x:v>
      </x:c>
      <x:c r="E590" t="n">
        <x:v>1997</x:v>
      </x:c>
      <x:c r="F590" t="n">
        <x:v>170.3</x:v>
      </x:c>
      <x:c r="G590" t="str">
        <x:v>Simple</x:v>
      </x:c>
      <x:c r="H590" t="str"/>
      <x:c r="I590" t="str">
        <x:v>Årlig beregnet, ikke målt</x:v>
      </x:c>
      <x:c r="J590" t="str">
        <x:v>01012016_31122016enova.csv</x:v>
      </x:c>
    </x:row>
    <x:row r="591" ht="22" customHeight="1">
      <x:c r="A591" t="str">
        <x:v>836257389055</x:v>
      </x:c>
      <x:c r="B591" t="n">
        <x:v>2016</x:v>
      </x:c>
      <x:c r="C591" t="str">
        <x:v>Kulturbygg</x:v>
      </x:c>
      <x:c r="D591" t="str">
        <x:v>C</x:v>
      </x:c>
      <x:c r="E591" t="n">
        <x:v>2006</x:v>
      </x:c>
      <x:c r="F591" t="n">
        <x:v>157.3</x:v>
      </x:c>
      <x:c r="G591" t="str">
        <x:v>Simple</x:v>
      </x:c>
      <x:c r="H591" t="str"/>
      <x:c r="I591" t="str">
        <x:v>Årlig beregnet, ikke målt</x:v>
      </x:c>
      <x:c r="J591" t="str">
        <x:v>01012016_31122016enova.csv</x:v>
      </x:c>
    </x:row>
    <x:row r="592" ht="22" customHeight="1">
      <x:c r="A592" t="str">
        <x:v>1878a3a6b902</x:v>
      </x:c>
      <x:c r="B592" t="n">
        <x:v>2016</x:v>
      </x:c>
      <x:c r="C592" t="str">
        <x:v>Kulturbygg</x:v>
      </x:c>
      <x:c r="D592" t="str">
        <x:v>D</x:v>
      </x:c>
      <x:c r="E592" t="n">
        <x:v>1900</x:v>
      </x:c>
      <x:c r="F592" t="n">
        <x:v>204.8</x:v>
      </x:c>
      <x:c r="G592" t="str">
        <x:v>Simple</x:v>
      </x:c>
      <x:c r="H592" t="str"/>
      <x:c r="I592" t="str">
        <x:v>Årlig beregnet, ikke målt</x:v>
      </x:c>
      <x:c r="J592" t="str">
        <x:v>01012016_31122016enova.csv</x:v>
      </x:c>
    </x:row>
    <x:row r="593" ht="22" customHeight="1">
      <x:c r="A593" t="str">
        <x:v>e267cad44510</x:v>
      </x:c>
      <x:c r="B593" t="n">
        <x:v>2016</x:v>
      </x:c>
      <x:c r="C593" t="str">
        <x:v>Kulturbygg</x:v>
      </x:c>
      <x:c r="D593" t="str">
        <x:v>D</x:v>
      </x:c>
      <x:c r="E593" t="n">
        <x:v>1890</x:v>
      </x:c>
      <x:c r="F593" t="n">
        <x:v>204.3</x:v>
      </x:c>
      <x:c r="G593" t="str">
        <x:v>Simple</x:v>
      </x:c>
      <x:c r="H593" t="str"/>
      <x:c r="I593" t="str">
        <x:v>Årlig beregnet, ikke målt</x:v>
      </x:c>
      <x:c r="J593" t="str">
        <x:v>01012016_31122016enova.csv</x:v>
      </x:c>
    </x:row>
    <x:row r="594" ht="22" customHeight="1">
      <x:c r="A594" t="str">
        <x:v>a3956d2b9ebf</x:v>
      </x:c>
      <x:c r="B594" t="n">
        <x:v>2016</x:v>
      </x:c>
      <x:c r="C594" t="str">
        <x:v>Kulturbygg</x:v>
      </x:c>
      <x:c r="D594" t="str">
        <x:v>D</x:v>
      </x:c>
      <x:c r="E594" t="n">
        <x:v>1950</x:v>
      </x:c>
      <x:c r="F594" t="n">
        <x:v>192.7</x:v>
      </x:c>
      <x:c r="G594" t="str">
        <x:v>Simple</x:v>
      </x:c>
      <x:c r="H594" t="str"/>
      <x:c r="I594" t="str">
        <x:v>Årlig beregnet, ikke målt</x:v>
      </x:c>
      <x:c r="J594" t="str">
        <x:v>01012016_31122016enova.csv</x:v>
      </x:c>
    </x:row>
    <x:row r="595" ht="22" customHeight="1">
      <x:c r="A595" t="str">
        <x:v>ad35c5d096b8</x:v>
      </x:c>
      <x:c r="B595" t="n">
        <x:v>2016</x:v>
      </x:c>
      <x:c r="C595" t="str">
        <x:v>Kulturbygg</x:v>
      </x:c>
      <x:c r="D595" t="str">
        <x:v>D</x:v>
      </x:c>
      <x:c r="E595" t="n">
        <x:v>1992</x:v>
      </x:c>
      <x:c r="F595" t="n">
        <x:v>185.3</x:v>
      </x:c>
      <x:c r="G595" t="str">
        <x:v>Simple</x:v>
      </x:c>
      <x:c r="H595" t="str"/>
      <x:c r="I595" t="str">
        <x:v>Årlig beregnet, ikke målt</x:v>
      </x:c>
      <x:c r="J595" t="str">
        <x:v>01012016_31122016enova.csv</x:v>
      </x:c>
    </x:row>
    <x:row r="596" ht="22" customHeight="1">
      <x:c r="A596" t="str">
        <x:v>187c4be6dde1</x:v>
      </x:c>
      <x:c r="B596" t="n">
        <x:v>2016</x:v>
      </x:c>
      <x:c r="C596" t="str">
        <x:v>Kulturbygg</x:v>
      </x:c>
      <x:c r="D596" t="str">
        <x:v>D</x:v>
      </x:c>
      <x:c r="E596" t="n">
        <x:v>1952</x:v>
      </x:c>
      <x:c r="F596" t="n">
        <x:v>208.3</x:v>
      </x:c>
      <x:c r="G596" t="str">
        <x:v>Simple</x:v>
      </x:c>
      <x:c r="H596" t="str"/>
      <x:c r="I596" t="str">
        <x:v>Årlig beregnet, ikke målt</x:v>
      </x:c>
      <x:c r="J596" t="str">
        <x:v>01012016_31122016enova.csv</x:v>
      </x:c>
    </x:row>
    <x:row r="597" ht="22" customHeight="1">
      <x:c r="A597" t="str">
        <x:v>054501100c8a</x:v>
      </x:c>
      <x:c r="B597" t="n">
        <x:v>2016</x:v>
      </x:c>
      <x:c r="C597" t="str">
        <x:v>Kulturbygg</x:v>
      </x:c>
      <x:c r="D597" t="str">
        <x:v>F</x:v>
      </x:c>
      <x:c r="E597" t="n">
        <x:v>1984</x:v>
      </x:c>
      <x:c r="F597" t="n">
        <x:v>291.7</x:v>
      </x:c>
      <x:c r="G597" t="str">
        <x:v>Simple</x:v>
      </x:c>
      <x:c r="H597" t="str"/>
      <x:c r="I597" t="str">
        <x:v>Årlig beregnet, ikke målt</x:v>
      </x:c>
      <x:c r="J597" t="str">
        <x:v>01012016_31122016enova.csv</x:v>
      </x:c>
    </x:row>
    <x:row r="598" ht="22" customHeight="1">
      <x:c r="A598" t="str">
        <x:v>f5983b7e4206</x:v>
      </x:c>
      <x:c r="B598" t="n">
        <x:v>2016</x:v>
      </x:c>
      <x:c r="C598" t="str">
        <x:v>Kulturbygg</x:v>
      </x:c>
      <x:c r="D598" t="str">
        <x:v>F</x:v>
      </x:c>
      <x:c r="E598" t="n">
        <x:v>1958</x:v>
      </x:c>
      <x:c r="F598" t="n">
        <x:v>297.1</x:v>
      </x:c>
      <x:c r="G598" t="str">
        <x:v>Advanced</x:v>
      </x:c>
      <x:c r="H598" t="str"/>
      <x:c r="I598" t="str">
        <x:v>Årlig beregnet, ikke målt</x:v>
      </x:c>
      <x:c r="J598" t="str">
        <x:v>01012016_31122016enova.csv</x:v>
      </x:c>
    </x:row>
    <x:row r="599" ht="22" customHeight="1">
      <x:c r="A599" t="str">
        <x:v>bf8aed3e6078</x:v>
      </x:c>
      <x:c r="B599" t="n">
        <x:v>2016</x:v>
      </x:c>
      <x:c r="C599" t="str">
        <x:v>Kulturbygg</x:v>
      </x:c>
      <x:c r="D599" t="str">
        <x:v>F</x:v>
      </x:c>
      <x:c r="E599" t="n">
        <x:v>1970</x:v>
      </x:c>
      <x:c r="F599" t="n">
        <x:v>313.6</x:v>
      </x:c>
      <x:c r="G599" t="str">
        <x:v>Simple</x:v>
      </x:c>
      <x:c r="H599" t="str"/>
      <x:c r="I599" t="str">
        <x:v>Årlig beregnet, ikke målt</x:v>
      </x:c>
      <x:c r="J599" t="str">
        <x:v>01012016_31122016enova.csv</x:v>
      </x:c>
    </x:row>
    <x:row r="600" ht="22" customHeight="1">
      <x:c r="A600" t="str">
        <x:v>fcae2fbe92a9</x:v>
      </x:c>
      <x:c r="B600" t="n">
        <x:v>2016</x:v>
      </x:c>
      <x:c r="C600" t="str">
        <x:v>Kulturbygg</x:v>
      </x:c>
      <x:c r="D600" t="str">
        <x:v>F</x:v>
      </x:c>
      <x:c r="E600" t="n">
        <x:v>1890</x:v>
      </x:c>
      <x:c r="F600" t="n">
        <x:v>284.8</x:v>
      </x:c>
      <x:c r="G600" t="str">
        <x:v>Simple</x:v>
      </x:c>
      <x:c r="H600" t="str"/>
      <x:c r="I600" t="str">
        <x:v>Årlig beregnet, ikke målt</x:v>
      </x:c>
      <x:c r="J600" t="str">
        <x:v>01012016_31122016enova.csv</x:v>
      </x:c>
    </x:row>
    <x:row r="601" ht="22" customHeight="1">
      <x:c r="A601" t="str">
        <x:v>d2df4e700dbc</x:v>
      </x:c>
      <x:c r="B601" t="n">
        <x:v>2016</x:v>
      </x:c>
      <x:c r="C601" t="str">
        <x:v>Kulturbygg</x:v>
      </x:c>
      <x:c r="D601" t="str">
        <x:v>F</x:v>
      </x:c>
      <x:c r="E601" t="n">
        <x:v>1963</x:v>
      </x:c>
      <x:c r="F601" t="n">
        <x:v>281.9</x:v>
      </x:c>
      <x:c r="G601" t="str">
        <x:v>Simple</x:v>
      </x:c>
      <x:c r="H601" t="str"/>
      <x:c r="I601" t="str">
        <x:v>Årlig beregnet, ikke målt</x:v>
      </x:c>
      <x:c r="J601" t="str">
        <x:v>01012016_31122016enova.csv</x:v>
      </x:c>
    </x:row>
    <x:row r="602" ht="22" customHeight="1">
      <x:c r="A602" t="str">
        <x:v>65c87227b57d</x:v>
      </x:c>
      <x:c r="B602" t="n">
        <x:v>2016</x:v>
      </x:c>
      <x:c r="C602" t="str">
        <x:v>Kulturbygg</x:v>
      </x:c>
      <x:c r="D602" t="str">
        <x:v>G</x:v>
      </x:c>
      <x:c r="E602" t="n">
        <x:v>1897</x:v>
      </x:c>
      <x:c r="F602" t="n">
        <x:v>337.7</x:v>
      </x:c>
      <x:c r="G602" t="str">
        <x:v>Simple</x:v>
      </x:c>
      <x:c r="H602" t="str"/>
      <x:c r="I602" t="str">
        <x:v>Årlig beregnet, ikke målt</x:v>
      </x:c>
      <x:c r="J602" t="str">
        <x:v>01012016_31122016enova.csv</x:v>
      </x:c>
    </x:row>
    <x:row r="603" ht="22" customHeight="1">
      <x:c r="A603" t="str">
        <x:v>50599783358a</x:v>
      </x:c>
      <x:c r="B603" t="n">
        <x:v>2016</x:v>
      </x:c>
      <x:c r="C603" t="str">
        <x:v>Kulturbygg</x:v>
      </x:c>
      <x:c r="D603" t="str">
        <x:v>G</x:v>
      </x:c>
      <x:c r="E603" t="n">
        <x:v>1850</x:v>
      </x:c>
      <x:c r="F603" t="n">
        <x:v>561.8</x:v>
      </x:c>
      <x:c r="G603" t="str">
        <x:v>Simple</x:v>
      </x:c>
      <x:c r="H603" t="str"/>
      <x:c r="I603" t="str">
        <x:v>Årlig beregnet, ikke målt</x:v>
      </x:c>
      <x:c r="J603" t="str">
        <x:v>01012016_31122016enova.csv</x:v>
      </x:c>
    </x:row>
    <x:row r="604" ht="22" customHeight="1">
      <x:c r="A604" t="str">
        <x:v>5b60dfc52f43</x:v>
      </x:c>
      <x:c r="B604" t="n">
        <x:v>2016</x:v>
      </x:c>
      <x:c r="C604" t="str">
        <x:v>Kulturbygg</x:v>
      </x:c>
      <x:c r="D604" t="str">
        <x:v>G</x:v>
      </x:c>
      <x:c r="E604" t="n">
        <x:v>1973</x:v>
      </x:c>
      <x:c r="F604" t="n">
        <x:v>463.2</x:v>
      </x:c>
      <x:c r="G604" t="str">
        <x:v>Simple</x:v>
      </x:c>
      <x:c r="H604" t="str"/>
      <x:c r="I604" t="str">
        <x:v>Årlig beregnet, ikke målt</x:v>
      </x:c>
      <x:c r="J604" t="str">
        <x:v>01012016_31122016enova.csv</x:v>
      </x:c>
    </x:row>
    <x:row r="605" ht="22" customHeight="1">
      <x:c r="A605" t="str">
        <x:v>07f47f8684e0</x:v>
      </x:c>
      <x:c r="B605" t="n">
        <x:v>2016</x:v>
      </x:c>
      <x:c r="C605" t="str">
        <x:v>Kulturbygg</x:v>
      </x:c>
      <x:c r="D605" t="str">
        <x:v>G</x:v>
      </x:c>
      <x:c r="E605" t="n">
        <x:v>1900</x:v>
      </x:c>
      <x:c r="F605" t="n">
        <x:v>721.83</x:v>
      </x:c>
      <x:c r="G605" t="str">
        <x:v>Simple</x:v>
      </x:c>
      <x:c r="H605" t="str">
        <x:v>Tre</x:v>
      </x:c>
      <x:c r="I605" t="str">
        <x:v>Årlig beregnet, ikke målt</x:v>
      </x:c>
      <x:c r="J605" t="str">
        <x:v>01012016_31122016enova.csv</x:v>
      </x:c>
    </x:row>
    <x:row r="606" ht="22" customHeight="1">
      <x:c r="A606" t="str">
        <x:v>1868df870d5d</x:v>
      </x:c>
      <x:c r="B606" t="n">
        <x:v>2016</x:v>
      </x:c>
      <x:c r="C606" t="str">
        <x:v>Kulturbygg</x:v>
      </x:c>
      <x:c r="D606" t="str">
        <x:v>G</x:v>
      </x:c>
      <x:c r="E606" t="n">
        <x:v>1910</x:v>
      </x:c>
      <x:c r="F606" t="n">
        <x:v>373.3</x:v>
      </x:c>
      <x:c r="G606" t="str">
        <x:v>Simple</x:v>
      </x:c>
      <x:c r="H606" t="str"/>
      <x:c r="I606" t="str">
        <x:v>Årlig beregnet, ikke målt</x:v>
      </x:c>
      <x:c r="J606" t="str">
        <x:v>01012016_31122016enova.csv</x:v>
      </x:c>
    </x:row>
    <x:row r="607" ht="22" customHeight="1">
      <x:c r="A607" t="str">
        <x:v>62b8dbdeee3e</x:v>
      </x:c>
      <x:c r="B607" t="n">
        <x:v>2016</x:v>
      </x:c>
      <x:c r="C607" t="str">
        <x:v>Lett Industri, Verksteder</x:v>
      </x:c>
      <x:c r="D607" t="str">
        <x:v>A</x:v>
      </x:c>
      <x:c r="E607" t="n">
        <x:v>2000</x:v>
      </x:c>
      <x:c r="F607" t="n">
        <x:v>84.6</x:v>
      </x:c>
      <x:c r="G607" t="str">
        <x:v>Simple</x:v>
      </x:c>
      <x:c r="H607" t="str"/>
      <x:c r="I607" t="str">
        <x:v>Årlig beregnet, ikke målt</x:v>
      </x:c>
      <x:c r="J607" t="str">
        <x:v>01012016_31122016enova.csv</x:v>
      </x:c>
    </x:row>
    <x:row r="608" ht="22" customHeight="1">
      <x:c r="A608" t="str">
        <x:v>ac6f0f41ae38</x:v>
      </x:c>
      <x:c r="B608" t="n">
        <x:v>2016</x:v>
      </x:c>
      <x:c r="C608" t="str">
        <x:v>Lett Industri, Verksteder</x:v>
      </x:c>
      <x:c r="D608" t="str">
        <x:v>A</x:v>
      </x:c>
      <x:c r="E608" t="n">
        <x:v>2014</x:v>
      </x:c>
      <x:c r="F608" t="n">
        <x:v>83.1</x:v>
      </x:c>
      <x:c r="G608" t="str">
        <x:v>Simple</x:v>
      </x:c>
      <x:c r="H608" t="str"/>
      <x:c r="I608" t="str">
        <x:v>Årlig beregnet, ikke målt</x:v>
      </x:c>
      <x:c r="J608" t="str">
        <x:v>01012016_31122016enova.csv</x:v>
      </x:c>
    </x:row>
    <x:row r="609" ht="22" customHeight="1">
      <x:c r="A609" t="str">
        <x:v>0adc3fc23f7d</x:v>
      </x:c>
      <x:c r="B609" t="n">
        <x:v>2016</x:v>
      </x:c>
      <x:c r="C609" t="str">
        <x:v>Lett Industri, Verksteder</x:v>
      </x:c>
      <x:c r="D609" t="str">
        <x:v>A</x:v>
      </x:c>
      <x:c r="E609" t="n">
        <x:v>2016</x:v>
      </x:c>
      <x:c r="F609" t="n">
        <x:v>103.8</x:v>
      </x:c>
      <x:c r="G609" t="str">
        <x:v>Simple</x:v>
      </x:c>
      <x:c r="H609" t="str"/>
      <x:c r="I609" t="str">
        <x:v>Årlig beregnet, ikke målt</x:v>
      </x:c>
      <x:c r="J609" t="str">
        <x:v>01012016_31122016enova.csv</x:v>
      </x:c>
    </x:row>
    <x:row r="610" ht="22" customHeight="1">
      <x:c r="A610" t="str">
        <x:v>7d94621dea0b</x:v>
      </x:c>
      <x:c r="B610" t="n">
        <x:v>2016</x:v>
      </x:c>
      <x:c r="C610" t="str">
        <x:v>Lett Industri, Verksteder</x:v>
      </x:c>
      <x:c r="D610" t="str">
        <x:v>A</x:v>
      </x:c>
      <x:c r="E610" t="n">
        <x:v>2015</x:v>
      </x:c>
      <x:c r="F610" t="n">
        <x:v>89.9</x:v>
      </x:c>
      <x:c r="G610" t="str">
        <x:v>Simple</x:v>
      </x:c>
      <x:c r="H610" t="str"/>
      <x:c r="I610" t="str">
        <x:v>Årlig beregnet, ikke målt</x:v>
      </x:c>
      <x:c r="J610" t="str">
        <x:v>01012016_31122016enova.csv</x:v>
      </x:c>
    </x:row>
    <x:row r="611" ht="22" customHeight="1">
      <x:c r="A611" t="str">
        <x:v>f5b3c5ae1fd6</x:v>
      </x:c>
      <x:c r="B611" t="n">
        <x:v>2016</x:v>
      </x:c>
      <x:c r="C611" t="str">
        <x:v>Lett Industri, Verksteder</x:v>
      </x:c>
      <x:c r="D611" t="str">
        <x:v>A</x:v>
      </x:c>
      <x:c r="E611" t="n">
        <x:v>2016</x:v>
      </x:c>
      <x:c r="F611" t="n">
        <x:v>78.4</x:v>
      </x:c>
      <x:c r="G611" t="str">
        <x:v>Simple</x:v>
      </x:c>
      <x:c r="H611" t="str"/>
      <x:c r="I611" t="str">
        <x:v>Årlig beregnet, ikke målt</x:v>
      </x:c>
      <x:c r="J611" t="str">
        <x:v>01012016_31122016enova.csv</x:v>
      </x:c>
    </x:row>
    <x:row r="612" ht="22" customHeight="1">
      <x:c r="A612" t="str">
        <x:v>42f0105f2ba6</x:v>
      </x:c>
      <x:c r="B612" t="n">
        <x:v>2016</x:v>
      </x:c>
      <x:c r="C612" t="str">
        <x:v>Lett Industri, Verksteder</x:v>
      </x:c>
      <x:c r="D612" t="str">
        <x:v>B</x:v>
      </x:c>
      <x:c r="E612" t="n">
        <x:v>2016</x:v>
      </x:c>
      <x:c r="F612" t="n">
        <x:v>131.1</x:v>
      </x:c>
      <x:c r="G612" t="str">
        <x:v>Simple</x:v>
      </x:c>
      <x:c r="H612" t="str"/>
      <x:c r="I612" t="str">
        <x:v>Årlig beregnet, ikke målt</x:v>
      </x:c>
      <x:c r="J612" t="str">
        <x:v>01012016_31122016enova.csv</x:v>
      </x:c>
    </x:row>
    <x:row r="613" ht="22" customHeight="1">
      <x:c r="A613" t="str">
        <x:v>30f2f98a5de7</x:v>
      </x:c>
      <x:c r="B613" t="n">
        <x:v>2016</x:v>
      </x:c>
      <x:c r="C613" t="str">
        <x:v>Lett Industri, Verksteder</x:v>
      </x:c>
      <x:c r="D613" t="str">
        <x:v>B</x:v>
      </x:c>
      <x:c r="E613" t="n">
        <x:v>2008</x:v>
      </x:c>
      <x:c r="F613" t="n">
        <x:v>113.3</x:v>
      </x:c>
      <x:c r="G613" t="str">
        <x:v>Simple</x:v>
      </x:c>
      <x:c r="H613" t="str"/>
      <x:c r="I613" t="str">
        <x:v>Årlig beregnet, ikke målt</x:v>
      </x:c>
      <x:c r="J613" t="str">
        <x:v>01012016_31122016enova.csv</x:v>
      </x:c>
    </x:row>
    <x:row r="614" ht="22" customHeight="1">
      <x:c r="A614" t="str">
        <x:v>84bc8884d4e6</x:v>
      </x:c>
      <x:c r="B614" t="n">
        <x:v>2016</x:v>
      </x:c>
      <x:c r="C614" t="str">
        <x:v>Lett Industri, Verksteder</x:v>
      </x:c>
      <x:c r="D614" t="str">
        <x:v>B</x:v>
      </x:c>
      <x:c r="E614" t="n">
        <x:v>2016</x:v>
      </x:c>
      <x:c r="F614" t="n">
        <x:v>125.6</x:v>
      </x:c>
      <x:c r="G614" t="str">
        <x:v>Simple</x:v>
      </x:c>
      <x:c r="H614" t="str"/>
      <x:c r="I614" t="str">
        <x:v>Årlig beregnet, ikke målt</x:v>
      </x:c>
      <x:c r="J614" t="str">
        <x:v>01012016_31122016enova.csv</x:v>
      </x:c>
    </x:row>
    <x:row r="615" ht="22" customHeight="1">
      <x:c r="A615" t="str">
        <x:v>0abd3bfc8c09</x:v>
      </x:c>
      <x:c r="B615" t="n">
        <x:v>2016</x:v>
      </x:c>
      <x:c r="C615" t="str">
        <x:v>Lett Industri, Verksteder</x:v>
      </x:c>
      <x:c r="D615" t="str">
        <x:v>B</x:v>
      </x:c>
      <x:c r="E615" t="n">
        <x:v>2016</x:v>
      </x:c>
      <x:c r="F615" t="n">
        <x:v>108.1</x:v>
      </x:c>
      <x:c r="G615" t="str">
        <x:v>Simple</x:v>
      </x:c>
      <x:c r="H615" t="str"/>
      <x:c r="I615" t="str">
        <x:v>Årlig beregnet, ikke målt</x:v>
      </x:c>
      <x:c r="J615" t="str">
        <x:v>01012016_31122016enova.csv</x:v>
      </x:c>
    </x:row>
    <x:row r="616" ht="22" customHeight="1">
      <x:c r="A616" t="str">
        <x:v>c9a9fd012340</x:v>
      </x:c>
      <x:c r="B616" t="n">
        <x:v>2016</x:v>
      </x:c>
      <x:c r="C616" t="str">
        <x:v>Lett Industri, Verksteder</x:v>
      </x:c>
      <x:c r="D616" t="str">
        <x:v>B</x:v>
      </x:c>
      <x:c r="E616" t="n">
        <x:v>2000</x:v>
      </x:c>
      <x:c r="F616" t="n">
        <x:v>122.9</x:v>
      </x:c>
      <x:c r="G616" t="str">
        <x:v>Advanced</x:v>
      </x:c>
      <x:c r="H616" t="str"/>
      <x:c r="I616" t="str">
        <x:v>Årlig beregnet, ikke målt</x:v>
      </x:c>
      <x:c r="J616" t="str">
        <x:v>01012016_31122016enova.csv</x:v>
      </x:c>
    </x:row>
    <x:row r="617" ht="22" customHeight="1">
      <x:c r="A617" t="str">
        <x:v>e3ef752c6c80</x:v>
      </x:c>
      <x:c r="B617" t="n">
        <x:v>2016</x:v>
      </x:c>
      <x:c r="C617" t="str">
        <x:v>Lett Industri, Verksteder</x:v>
      </x:c>
      <x:c r="D617" t="str">
        <x:v>C</x:v>
      </x:c>
      <x:c r="E617" t="n">
        <x:v>2015</x:v>
      </x:c>
      <x:c r="F617" t="n">
        <x:v>160.5</x:v>
      </x:c>
      <x:c r="G617" t="str">
        <x:v>Advanced</x:v>
      </x:c>
      <x:c r="H617" t="str"/>
      <x:c r="I617" t="str">
        <x:v>Årlig beregnet, ikke målt</x:v>
      </x:c>
      <x:c r="J617" t="str">
        <x:v>01012016_31122016enova.csv</x:v>
      </x:c>
    </x:row>
    <x:row r="618" ht="22" customHeight="1">
      <x:c r="A618" t="str">
        <x:v>465545150a6c</x:v>
      </x:c>
      <x:c r="B618" t="n">
        <x:v>2016</x:v>
      </x:c>
      <x:c r="C618" t="str">
        <x:v>Lett Industri, Verksteder</x:v>
      </x:c>
      <x:c r="D618" t="str">
        <x:v>C</x:v>
      </x:c>
      <x:c r="E618" t="n">
        <x:v>2016</x:v>
      </x:c>
      <x:c r="F618" t="n">
        <x:v>149</x:v>
      </x:c>
      <x:c r="G618" t="str">
        <x:v>Simple</x:v>
      </x:c>
      <x:c r="H618" t="str"/>
      <x:c r="I618" t="str">
        <x:v>Årlig beregnet, ikke målt</x:v>
      </x:c>
      <x:c r="J618" t="str">
        <x:v>01012016_31122016enova.csv</x:v>
      </x:c>
    </x:row>
    <x:row r="619" ht="22" customHeight="1">
      <x:c r="A619" t="str">
        <x:v>54bfe95886eb</x:v>
      </x:c>
      <x:c r="B619" t="n">
        <x:v>2016</x:v>
      </x:c>
      <x:c r="C619" t="str">
        <x:v>Lett Industri, Verksteder</x:v>
      </x:c>
      <x:c r="D619" t="str">
        <x:v>C</x:v>
      </x:c>
      <x:c r="E619" t="n">
        <x:v>2000</x:v>
      </x:c>
      <x:c r="F619" t="n">
        <x:v>153.9</x:v>
      </x:c>
      <x:c r="G619" t="str">
        <x:v>Simple</x:v>
      </x:c>
      <x:c r="H619" t="str"/>
      <x:c r="I619" t="str">
        <x:v>Årlig beregnet, ikke målt</x:v>
      </x:c>
      <x:c r="J619" t="str">
        <x:v>01012016_31122016enova.csv</x:v>
      </x:c>
    </x:row>
    <x:row r="620" ht="22" customHeight="1">
      <x:c r="A620" t="str">
        <x:v>9d6fc0b5ca2b</x:v>
      </x:c>
      <x:c r="B620" t="n">
        <x:v>2016</x:v>
      </x:c>
      <x:c r="C620" t="str">
        <x:v>Lett Industri, Verksteder</x:v>
      </x:c>
      <x:c r="D620" t="str">
        <x:v>C</x:v>
      </x:c>
      <x:c r="E620" t="n">
        <x:v>2006</x:v>
      </x:c>
      <x:c r="F620" t="n">
        <x:v>176.9</x:v>
      </x:c>
      <x:c r="G620" t="str">
        <x:v>Simple</x:v>
      </x:c>
      <x:c r="H620" t="str"/>
      <x:c r="I620" t="str">
        <x:v>Årlig beregnet, ikke målt</x:v>
      </x:c>
      <x:c r="J620" t="str">
        <x:v>01012016_31122016enova.csv</x:v>
      </x:c>
    </x:row>
    <x:row r="621" ht="22" customHeight="1">
      <x:c r="A621" t="str">
        <x:v>70237815e1ed</x:v>
      </x:c>
      <x:c r="B621" t="n">
        <x:v>2016</x:v>
      </x:c>
      <x:c r="C621" t="str">
        <x:v>Lett Industri, Verksteder</x:v>
      </x:c>
      <x:c r="D621" t="str">
        <x:v>C</x:v>
      </x:c>
      <x:c r="E621" t="n">
        <x:v>2001</x:v>
      </x:c>
      <x:c r="F621" t="n">
        <x:v>151.5</x:v>
      </x:c>
      <x:c r="G621" t="str">
        <x:v>Simple</x:v>
      </x:c>
      <x:c r="H621" t="str"/>
      <x:c r="I621" t="str">
        <x:v>Årlig beregnet, ikke målt</x:v>
      </x:c>
      <x:c r="J621" t="str">
        <x:v>01012016_31122016enova.csv</x:v>
      </x:c>
    </x:row>
    <x:row r="622" ht="22" customHeight="1">
      <x:c r="A622" t="str">
        <x:v>4979a9f3eaa3</x:v>
      </x:c>
      <x:c r="B622" t="n">
        <x:v>2016</x:v>
      </x:c>
      <x:c r="C622" t="str">
        <x:v>Lett Industri, Verksteder</x:v>
      </x:c>
      <x:c r="D622" t="str">
        <x:v>D</x:v>
      </x:c>
      <x:c r="E622" t="n">
        <x:v>1967</x:v>
      </x:c>
      <x:c r="F622" t="n">
        <x:v>199.3</x:v>
      </x:c>
      <x:c r="G622" t="str">
        <x:v>Simple</x:v>
      </x:c>
      <x:c r="H622" t="str"/>
      <x:c r="I622" t="str">
        <x:v>Årlig beregnet, ikke målt</x:v>
      </x:c>
      <x:c r="J622" t="str">
        <x:v>01012016_31122016enova.csv</x:v>
      </x:c>
    </x:row>
    <x:row r="623" ht="22" customHeight="1">
      <x:c r="A623" t="str">
        <x:v>915e4f9eed47</x:v>
      </x:c>
      <x:c r="B623" t="n">
        <x:v>2016</x:v>
      </x:c>
      <x:c r="C623" t="str">
        <x:v>Lett Industri, Verksteder</x:v>
      </x:c>
      <x:c r="D623" t="str">
        <x:v>D</x:v>
      </x:c>
      <x:c r="E623" t="n">
        <x:v>1971</x:v>
      </x:c>
      <x:c r="F623" t="n">
        <x:v>201.9</x:v>
      </x:c>
      <x:c r="G623" t="str">
        <x:v>Simple</x:v>
      </x:c>
      <x:c r="H623" t="str"/>
      <x:c r="I623" t="str">
        <x:v>Årlig beregnet, ikke målt</x:v>
      </x:c>
      <x:c r="J623" t="str">
        <x:v>01012016_31122016enova.csv</x:v>
      </x:c>
    </x:row>
    <x:row r="624" ht="22" customHeight="1">
      <x:c r="A624" t="str">
        <x:v>a442b77cd542</x:v>
      </x:c>
      <x:c r="B624" t="n">
        <x:v>2016</x:v>
      </x:c>
      <x:c r="C624" t="str">
        <x:v>Lett Industri, Verksteder</x:v>
      </x:c>
      <x:c r="D624" t="str">
        <x:v>D</x:v>
      </x:c>
      <x:c r="E624" t="n">
        <x:v>1997</x:v>
      </x:c>
      <x:c r="F624" t="n">
        <x:v>227.92</x:v>
      </x:c>
      <x:c r="G624" t="str">
        <x:v>Simple</x:v>
      </x:c>
      <x:c r="H624" t="str">
        <x:v>Betong</x:v>
      </x:c>
      <x:c r="I624" t="str">
        <x:v>Årlig beregnet, ikke målt</x:v>
      </x:c>
      <x:c r="J624" t="str">
        <x:v>01012016_31122016enova.csv</x:v>
      </x:c>
    </x:row>
    <x:row r="625" ht="22" customHeight="1">
      <x:c r="A625" t="str">
        <x:v>2fbd9db5d172</x:v>
      </x:c>
      <x:c r="B625" t="n">
        <x:v>2016</x:v>
      </x:c>
      <x:c r="C625" t="str">
        <x:v>Lett Industri, Verksteder</x:v>
      </x:c>
      <x:c r="D625" t="str">
        <x:v>D</x:v>
      </x:c>
      <x:c r="E625" t="n">
        <x:v>1979</x:v>
      </x:c>
      <x:c r="F625" t="n">
        <x:v>212.1</x:v>
      </x:c>
      <x:c r="G625" t="str">
        <x:v>Simple</x:v>
      </x:c>
      <x:c r="H625" t="str"/>
      <x:c r="I625" t="str">
        <x:v>Årlig beregnet, ikke målt</x:v>
      </x:c>
      <x:c r="J625" t="str">
        <x:v>01012016_31122016enova.csv</x:v>
      </x:c>
    </x:row>
    <x:row r="626" ht="22" customHeight="1">
      <x:c r="A626" t="str">
        <x:v>20361f2f7089</x:v>
      </x:c>
      <x:c r="B626" t="n">
        <x:v>2016</x:v>
      </x:c>
      <x:c r="C626" t="str">
        <x:v>Lett Industri, Verksteder</x:v>
      </x:c>
      <x:c r="D626" t="str">
        <x:v>D</x:v>
      </x:c>
      <x:c r="E626" t="n">
        <x:v>1973</x:v>
      </x:c>
      <x:c r="F626" t="n">
        <x:v>215</x:v>
      </x:c>
      <x:c r="G626" t="str">
        <x:v>Simple</x:v>
      </x:c>
      <x:c r="H626" t="str"/>
      <x:c r="I626" t="str">
        <x:v>Årlig beregnet, ikke målt</x:v>
      </x:c>
      <x:c r="J626" t="str">
        <x:v>01012016_31122016enova.csv</x:v>
      </x:c>
    </x:row>
    <x:row r="627" ht="22" customHeight="1">
      <x:c r="A627" t="str">
        <x:v>1c3e83da3e43</x:v>
      </x:c>
      <x:c r="B627" t="n">
        <x:v>2016</x:v>
      </x:c>
      <x:c r="C627" t="str">
        <x:v>Lett Industri, Verksteder</x:v>
      </x:c>
      <x:c r="D627" t="str">
        <x:v>E</x:v>
      </x:c>
      <x:c r="E627" t="n">
        <x:v>1983</x:v>
      </x:c>
      <x:c r="F627" t="n">
        <x:v>275.92</x:v>
      </x:c>
      <x:c r="G627" t="str">
        <x:v>Simple</x:v>
      </x:c>
      <x:c r="H627" t="str">
        <x:v>Tre</x:v>
      </x:c>
      <x:c r="I627" t="str">
        <x:v>Årlig beregnet, ikke målt</x:v>
      </x:c>
      <x:c r="J627" t="str">
        <x:v>01012016_31122016enova.csv</x:v>
      </x:c>
    </x:row>
    <x:row r="628" ht="22" customHeight="1">
      <x:c r="A628" t="str">
        <x:v>0a1bed0f038d</x:v>
      </x:c>
      <x:c r="B628" t="n">
        <x:v>2016</x:v>
      </x:c>
      <x:c r="C628" t="str">
        <x:v>Lett Industri, Verksteder</x:v>
      </x:c>
      <x:c r="D628" t="str">
        <x:v>E</x:v>
      </x:c>
      <x:c r="E628" t="n">
        <x:v>1998</x:v>
      </x:c>
      <x:c r="F628" t="n">
        <x:v>304</x:v>
      </x:c>
      <x:c r="G628" t="str">
        <x:v>Simple</x:v>
      </x:c>
      <x:c r="H628" t="str"/>
      <x:c r="I628" t="str">
        <x:v>Årlig beregnet, ikke målt</x:v>
      </x:c>
      <x:c r="J628" t="str">
        <x:v>01012016_31122016enova.csv</x:v>
      </x:c>
    </x:row>
    <x:row r="629" ht="22" customHeight="1">
      <x:c r="A629" t="str">
        <x:v>d41bc41acc34</x:v>
      </x:c>
      <x:c r="B629" t="n">
        <x:v>2016</x:v>
      </x:c>
      <x:c r="C629" t="str">
        <x:v>Lett Industri, Verksteder</x:v>
      </x:c>
      <x:c r="D629" t="str">
        <x:v>E</x:v>
      </x:c>
      <x:c r="E629" t="n">
        <x:v>2008</x:v>
      </x:c>
      <x:c r="F629" t="n">
        <x:v>305.24</x:v>
      </x:c>
      <x:c r="G629" t="str">
        <x:v>Simple</x:v>
      </x:c>
      <x:c r="H629" t="str">
        <x:v>Stål</x:v>
      </x:c>
      <x:c r="I629" t="str">
        <x:v>Årlig beregnet, ikke målt</x:v>
      </x:c>
      <x:c r="J629" t="str">
        <x:v>01012016_31122016enova.csv</x:v>
      </x:c>
    </x:row>
    <x:row r="630" ht="22" customHeight="1">
      <x:c r="A630" t="str">
        <x:v>0c1b9fd51248</x:v>
      </x:c>
      <x:c r="B630" t="n">
        <x:v>2016</x:v>
      </x:c>
      <x:c r="C630" t="str">
        <x:v>Lett Industri, Verksteder</x:v>
      </x:c>
      <x:c r="D630" t="str">
        <x:v>E</x:v>
      </x:c>
      <x:c r="E630" t="n">
        <x:v>1997</x:v>
      </x:c>
      <x:c r="F630" t="n">
        <x:v>270.2</x:v>
      </x:c>
      <x:c r="G630" t="str">
        <x:v>Simple</x:v>
      </x:c>
      <x:c r="H630" t="str"/>
      <x:c r="I630" t="str">
        <x:v>Årlig beregnet, ikke målt</x:v>
      </x:c>
      <x:c r="J630" t="str">
        <x:v>01012016_31122016enova.csv</x:v>
      </x:c>
    </x:row>
    <x:row r="631" ht="22" customHeight="1">
      <x:c r="A631" t="str">
        <x:v>933206bb96f7</x:v>
      </x:c>
      <x:c r="B631" t="n">
        <x:v>2016</x:v>
      </x:c>
      <x:c r="C631" t="str">
        <x:v>Lett Industri, Verksteder</x:v>
      </x:c>
      <x:c r="D631" t="str">
        <x:v>E</x:v>
      </x:c>
      <x:c r="E631" t="n">
        <x:v>1990</x:v>
      </x:c>
      <x:c r="F631" t="n">
        <x:v>308.2</x:v>
      </x:c>
      <x:c r="G631" t="str">
        <x:v>Simple</x:v>
      </x:c>
      <x:c r="H631" t="str"/>
      <x:c r="I631" t="str">
        <x:v>Årlig beregnet, ikke målt</x:v>
      </x:c>
      <x:c r="J631" t="str">
        <x:v>01012016_31122016enova.csv</x:v>
      </x:c>
    </x:row>
    <x:row r="632" ht="22" customHeight="1">
      <x:c r="A632" t="str">
        <x:v>98415aa10097</x:v>
      </x:c>
      <x:c r="B632" t="n">
        <x:v>2016</x:v>
      </x:c>
      <x:c r="C632" t="str">
        <x:v>Lett Industri, Verksteder</x:v>
      </x:c>
      <x:c r="D632" t="str">
        <x:v>F</x:v>
      </x:c>
      <x:c r="E632" t="n">
        <x:v>1990</x:v>
      </x:c>
      <x:c r="F632" t="n">
        <x:v>362.4</x:v>
      </x:c>
      <x:c r="G632" t="str">
        <x:v>Simple</x:v>
      </x:c>
      <x:c r="H632" t="str"/>
      <x:c r="I632" t="str">
        <x:v>Årlig beregnet, ikke målt</x:v>
      </x:c>
      <x:c r="J632" t="str">
        <x:v>01012016_31122016enova.csv</x:v>
      </x:c>
    </x:row>
    <x:row r="633" ht="22" customHeight="1">
      <x:c r="A633" t="str">
        <x:v>494902d809a2</x:v>
      </x:c>
      <x:c r="B633" t="n">
        <x:v>2016</x:v>
      </x:c>
      <x:c r="C633" t="str">
        <x:v>Lett Industri, Verksteder</x:v>
      </x:c>
      <x:c r="D633" t="str">
        <x:v>F</x:v>
      </x:c>
      <x:c r="E633" t="n">
        <x:v>1986</x:v>
      </x:c>
      <x:c r="F633" t="n">
        <x:v>317.1</x:v>
      </x:c>
      <x:c r="G633" t="str">
        <x:v>Simple</x:v>
      </x:c>
      <x:c r="H633" t="str"/>
      <x:c r="I633" t="str">
        <x:v>Årlig beregnet, ikke målt</x:v>
      </x:c>
      <x:c r="J633" t="str">
        <x:v>01012016_31122016enova.csv</x:v>
      </x:c>
    </x:row>
    <x:row r="634" ht="22" customHeight="1">
      <x:c r="A634" t="str">
        <x:v>a105d1d39ae2</x:v>
      </x:c>
      <x:c r="B634" t="n">
        <x:v>2016</x:v>
      </x:c>
      <x:c r="C634" t="str">
        <x:v>Lett Industri, Verksteder</x:v>
      </x:c>
      <x:c r="D634" t="str">
        <x:v>F</x:v>
      </x:c>
      <x:c r="E634" t="n">
        <x:v>1975</x:v>
      </x:c>
      <x:c r="F634" t="n">
        <x:v>366.1</x:v>
      </x:c>
      <x:c r="G634" t="str">
        <x:v>Simple</x:v>
      </x:c>
      <x:c r="H634" t="str"/>
      <x:c r="I634" t="str">
        <x:v>Årlig beregnet, ikke målt</x:v>
      </x:c>
      <x:c r="J634" t="str">
        <x:v>01012016_31122016enova.csv</x:v>
      </x:c>
    </x:row>
    <x:row r="635" ht="22" customHeight="1">
      <x:c r="A635" t="str">
        <x:v>e8eb3e494585</x:v>
      </x:c>
      <x:c r="B635" t="n">
        <x:v>2016</x:v>
      </x:c>
      <x:c r="C635" t="str">
        <x:v>Lett Industri, Verksteder</x:v>
      </x:c>
      <x:c r="D635" t="str">
        <x:v>F</x:v>
      </x:c>
      <x:c r="E635" t="n">
        <x:v>1975</x:v>
      </x:c>
      <x:c r="F635" t="n">
        <x:v>398.3</x:v>
      </x:c>
      <x:c r="G635" t="str">
        <x:v>Simple</x:v>
      </x:c>
      <x:c r="H635" t="str"/>
      <x:c r="I635" t="str">
        <x:v>Årlig beregnet, ikke målt</x:v>
      </x:c>
      <x:c r="J635" t="str">
        <x:v>01012016_31122016enova.csv</x:v>
      </x:c>
    </x:row>
    <x:row r="636" ht="22" customHeight="1">
      <x:c r="A636" t="str">
        <x:v>2a0a12a55690</x:v>
      </x:c>
      <x:c r="B636" t="n">
        <x:v>2016</x:v>
      </x:c>
      <x:c r="C636" t="str">
        <x:v>Lett Industri, Verksteder</x:v>
      </x:c>
      <x:c r="D636" t="str">
        <x:v>F</x:v>
      </x:c>
      <x:c r="E636" t="n">
        <x:v>1978</x:v>
      </x:c>
      <x:c r="F636" t="n">
        <x:v>326.6</x:v>
      </x:c>
      <x:c r="G636" t="str">
        <x:v>Simple</x:v>
      </x:c>
      <x:c r="H636" t="str"/>
      <x:c r="I636" t="str">
        <x:v>Årlig beregnet, ikke målt</x:v>
      </x:c>
      <x:c r="J636" t="str">
        <x:v>01012016_31122016enova.csv</x:v>
      </x:c>
    </x:row>
    <x:row r="637" ht="22" customHeight="1">
      <x:c r="A637" t="str">
        <x:v>f80aaf79c8a8</x:v>
      </x:c>
      <x:c r="B637" t="n">
        <x:v>2016</x:v>
      </x:c>
      <x:c r="C637" t="str">
        <x:v>Lett Industri, Verksteder</x:v>
      </x:c>
      <x:c r="D637" t="str">
        <x:v>G</x:v>
      </x:c>
      <x:c r="E637" t="n">
        <x:v>2000</x:v>
      </x:c>
      <x:c r="F637" t="n">
        <x:v>424.5</x:v>
      </x:c>
      <x:c r="G637" t="str">
        <x:v>Simple</x:v>
      </x:c>
      <x:c r="H637" t="str"/>
      <x:c r="I637" t="str">
        <x:v>Årlig beregnet, ikke målt</x:v>
      </x:c>
      <x:c r="J637" t="str">
        <x:v>01012016_31122016enova.csv</x:v>
      </x:c>
    </x:row>
    <x:row r="638" ht="22" customHeight="1">
      <x:c r="A638" t="str">
        <x:v>8bc6e5e25892</x:v>
      </x:c>
      <x:c r="B638" t="n">
        <x:v>2016</x:v>
      </x:c>
      <x:c r="C638" t="str">
        <x:v>Lett Industri, Verksteder</x:v>
      </x:c>
      <x:c r="D638" t="str">
        <x:v>G</x:v>
      </x:c>
      <x:c r="E638" t="n">
        <x:v>1975</x:v>
      </x:c>
      <x:c r="F638" t="n">
        <x:v>427.8</x:v>
      </x:c>
      <x:c r="G638" t="str">
        <x:v>Simple</x:v>
      </x:c>
      <x:c r="H638" t="str"/>
      <x:c r="I638" t="str">
        <x:v>Årlig beregnet, ikke målt</x:v>
      </x:c>
      <x:c r="J638" t="str">
        <x:v>01012016_31122016enova.csv</x:v>
      </x:c>
    </x:row>
    <x:row r="639" ht="22" customHeight="1">
      <x:c r="A639" t="str">
        <x:v>7aea43d0b98f</x:v>
      </x:c>
      <x:c r="B639" t="n">
        <x:v>2016</x:v>
      </x:c>
      <x:c r="C639" t="str">
        <x:v>Lett Industri, Verksteder</x:v>
      </x:c>
      <x:c r="D639" t="str">
        <x:v>G</x:v>
      </x:c>
      <x:c r="E639" t="n">
        <x:v>1997</x:v>
      </x:c>
      <x:c r="F639" t="n">
        <x:v>494</x:v>
      </x:c>
      <x:c r="G639" t="str">
        <x:v>Simple</x:v>
      </x:c>
      <x:c r="H639" t="str"/>
      <x:c r="I639" t="str">
        <x:v>Årlig beregnet, ikke målt</x:v>
      </x:c>
      <x:c r="J639" t="str">
        <x:v>01012016_31122016enova.csv</x:v>
      </x:c>
    </x:row>
    <x:row r="640" ht="22" customHeight="1">
      <x:c r="A640" t="str">
        <x:v>9250896602f2</x:v>
      </x:c>
      <x:c r="B640" t="n">
        <x:v>2016</x:v>
      </x:c>
      <x:c r="C640" t="str">
        <x:v>Lett Industri, Verksteder</x:v>
      </x:c>
      <x:c r="D640" t="str">
        <x:v>G</x:v>
      </x:c>
      <x:c r="E640" t="n">
        <x:v>1954</x:v>
      </x:c>
      <x:c r="F640" t="n">
        <x:v>709.3</x:v>
      </x:c>
      <x:c r="G640" t="str">
        <x:v>Simple</x:v>
      </x:c>
      <x:c r="H640" t="str"/>
      <x:c r="I640" t="str">
        <x:v>Årlig beregnet, ikke målt</x:v>
      </x:c>
      <x:c r="J640" t="str">
        <x:v>01012016_31122016enova.csv</x:v>
      </x:c>
    </x:row>
    <x:row r="641" ht="22" customHeight="1">
      <x:c r="A641" t="str">
        <x:v>6e14d9a40c79</x:v>
      </x:c>
      <x:c r="B641" t="n">
        <x:v>2016</x:v>
      </x:c>
      <x:c r="C641" t="str">
        <x:v>Lett Industri, Verksteder</x:v>
      </x:c>
      <x:c r="D641" t="str">
        <x:v>G</x:v>
      </x:c>
      <x:c r="E641" t="n">
        <x:v>1949</x:v>
      </x:c>
      <x:c r="F641" t="n">
        <x:v>612.9</x:v>
      </x:c>
      <x:c r="G641" t="str">
        <x:v>Simple</x:v>
      </x:c>
      <x:c r="H641" t="str"/>
      <x:c r="I641" t="str">
        <x:v>Årlig beregnet, ikke målt</x:v>
      </x:c>
      <x:c r="J641" t="str">
        <x:v>01012016_31122016enova.csv</x:v>
      </x:c>
    </x:row>
    <x:row r="642" ht="22" customHeight="1">
      <x:c r="A642" t="str">
        <x:v>2e9c870fc428</x:v>
      </x:c>
      <x:c r="B642" t="n">
        <x:v>2016</x:v>
      </x:c>
      <x:c r="C642" t="str">
        <x:v>Skolebygg</x:v>
      </x:c>
      <x:c r="D642" t="str">
        <x:v>A</x:v>
      </x:c>
      <x:c r="E642" t="n">
        <x:v>1982</x:v>
      </x:c>
      <x:c r="F642" t="n">
        <x:v>72.9</x:v>
      </x:c>
      <x:c r="G642" t="str">
        <x:v>Simple</x:v>
      </x:c>
      <x:c r="H642" t="str"/>
      <x:c r="I642" t="str">
        <x:v>Årlig beregnet, ikke målt</x:v>
      </x:c>
      <x:c r="J642" t="str">
        <x:v>01012016_31122016enova.csv</x:v>
      </x:c>
    </x:row>
    <x:row r="643" ht="22" customHeight="1">
      <x:c r="A643" t="str">
        <x:v>a1bbbe500eb3</x:v>
      </x:c>
      <x:c r="B643" t="n">
        <x:v>2016</x:v>
      </x:c>
      <x:c r="C643" t="str">
        <x:v>Skolebygg</x:v>
      </x:c>
      <x:c r="D643" t="str">
        <x:v>A</x:v>
      </x:c>
      <x:c r="E643" t="n">
        <x:v>2016</x:v>
      </x:c>
      <x:c r="F643" t="n">
        <x:v>67.2</x:v>
      </x:c>
      <x:c r="G643" t="str">
        <x:v>Advanced</x:v>
      </x:c>
      <x:c r="H643" t="str"/>
      <x:c r="I643" t="str">
        <x:v>Årlig beregnet, ikke målt</x:v>
      </x:c>
      <x:c r="J643" t="str">
        <x:v>01012016_31122016enova.csv</x:v>
      </x:c>
    </x:row>
    <x:row r="644" ht="22" customHeight="1">
      <x:c r="A644" t="str">
        <x:v>8ff95ef0a54c</x:v>
      </x:c>
      <x:c r="B644" t="n">
        <x:v>2016</x:v>
      </x:c>
      <x:c r="C644" t="str">
        <x:v>Skolebygg</x:v>
      </x:c>
      <x:c r="D644" t="str">
        <x:v>A</x:v>
      </x:c>
      <x:c r="E644" t="n">
        <x:v>2016</x:v>
      </x:c>
      <x:c r="F644" t="n">
        <x:v>66.6</x:v>
      </x:c>
      <x:c r="G644" t="str">
        <x:v>Simple</x:v>
      </x:c>
      <x:c r="H644" t="str"/>
      <x:c r="I644" t="str">
        <x:v>Årlig beregnet, ikke målt</x:v>
      </x:c>
      <x:c r="J644" t="str">
        <x:v>01012016_31122016enova.csv</x:v>
      </x:c>
    </x:row>
    <x:row r="645" ht="22" customHeight="1">
      <x:c r="A645" t="str">
        <x:v>e49c02b5c2f7</x:v>
      </x:c>
      <x:c r="B645" t="n">
        <x:v>2016</x:v>
      </x:c>
      <x:c r="C645" t="str">
        <x:v>Skolebygg</x:v>
      </x:c>
      <x:c r="D645" t="str">
        <x:v>A</x:v>
      </x:c>
      <x:c r="E645" t="n">
        <x:v>2016</x:v>
      </x:c>
      <x:c r="F645" t="n">
        <x:v>59.3</x:v>
      </x:c>
      <x:c r="G645" t="str">
        <x:v>Simple</x:v>
      </x:c>
      <x:c r="H645" t="str"/>
      <x:c r="I645" t="str">
        <x:v>Årlig beregnet, ikke målt</x:v>
      </x:c>
      <x:c r="J645" t="str">
        <x:v>01012016_31122016enova.csv</x:v>
      </x:c>
    </x:row>
    <x:row r="646" ht="22" customHeight="1">
      <x:c r="A646" t="str">
        <x:v>851a3a57d226</x:v>
      </x:c>
      <x:c r="B646" t="n">
        <x:v>2016</x:v>
      </x:c>
      <x:c r="C646" t="str">
        <x:v>Skolebygg</x:v>
      </x:c>
      <x:c r="D646" t="str">
        <x:v>A</x:v>
      </x:c>
      <x:c r="E646" t="n">
        <x:v>1982</x:v>
      </x:c>
      <x:c r="F646" t="n">
        <x:v>72.9</x:v>
      </x:c>
      <x:c r="G646" t="str">
        <x:v>Simple</x:v>
      </x:c>
      <x:c r="H646" t="str"/>
      <x:c r="I646" t="str">
        <x:v>Årlig beregnet, ikke målt</x:v>
      </x:c>
      <x:c r="J646" t="str">
        <x:v>01012016_31122016enova.csv</x:v>
      </x:c>
    </x:row>
    <x:row r="647" ht="22" customHeight="1">
      <x:c r="A647" t="str">
        <x:v>8ff9be32f550</x:v>
      </x:c>
      <x:c r="B647" t="n">
        <x:v>2016</x:v>
      </x:c>
      <x:c r="C647" t="str">
        <x:v>Skolebygg</x:v>
      </x:c>
      <x:c r="D647" t="str">
        <x:v>B</x:v>
      </x:c>
      <x:c r="E647" t="n">
        <x:v>1985</x:v>
      </x:c>
      <x:c r="F647" t="n">
        <x:v>100.9</x:v>
      </x:c>
      <x:c r="G647" t="str">
        <x:v>Simple</x:v>
      </x:c>
      <x:c r="H647" t="str"/>
      <x:c r="I647" t="str">
        <x:v>Årlig beregnet, ikke målt</x:v>
      </x:c>
      <x:c r="J647" t="str">
        <x:v>01012016_31122016enova.csv</x:v>
      </x:c>
    </x:row>
    <x:row r="648" ht="22" customHeight="1">
      <x:c r="A648" t="str">
        <x:v>1a9621d3194a</x:v>
      </x:c>
      <x:c r="B648" t="n">
        <x:v>2016</x:v>
      </x:c>
      <x:c r="C648" t="str">
        <x:v>Skolebygg</x:v>
      </x:c>
      <x:c r="D648" t="str">
        <x:v>B</x:v>
      </x:c>
      <x:c r="E648" t="n">
        <x:v>2015</x:v>
      </x:c>
      <x:c r="F648" t="n">
        <x:v>99.3</x:v>
      </x:c>
      <x:c r="G648" t="str">
        <x:v>Simple</x:v>
      </x:c>
      <x:c r="H648" t="str"/>
      <x:c r="I648" t="str">
        <x:v>Årlig beregnet, ikke målt</x:v>
      </x:c>
      <x:c r="J648" t="str">
        <x:v>01012016_31122016enova.csv</x:v>
      </x:c>
    </x:row>
    <x:row r="649" ht="22" customHeight="1">
      <x:c r="A649" t="str">
        <x:v>fcfe13487e4e</x:v>
      </x:c>
      <x:c r="B649" t="n">
        <x:v>2016</x:v>
      </x:c>
      <x:c r="C649" t="str">
        <x:v>Skolebygg</x:v>
      </x:c>
      <x:c r="D649" t="str">
        <x:v>B</x:v>
      </x:c>
      <x:c r="E649" t="n">
        <x:v>2015</x:v>
      </x:c>
      <x:c r="F649" t="n">
        <x:v>87.3</x:v>
      </x:c>
      <x:c r="G649" t="str">
        <x:v>Simple</x:v>
      </x:c>
      <x:c r="H649" t="str"/>
      <x:c r="I649" t="str">
        <x:v>Årlig beregnet, ikke målt</x:v>
      </x:c>
      <x:c r="J649" t="str">
        <x:v>01012016_31122016enova.csv</x:v>
      </x:c>
    </x:row>
    <x:row r="650" ht="22" customHeight="1">
      <x:c r="A650" t="str">
        <x:v>823d8a37ef4c</x:v>
      </x:c>
      <x:c r="B650" t="n">
        <x:v>2016</x:v>
      </x:c>
      <x:c r="C650" t="str">
        <x:v>Skolebygg</x:v>
      </x:c>
      <x:c r="D650" t="str">
        <x:v>B</x:v>
      </x:c>
      <x:c r="E650" t="n">
        <x:v>2015</x:v>
      </x:c>
      <x:c r="F650" t="n">
        <x:v>93.2</x:v>
      </x:c>
      <x:c r="G650" t="str">
        <x:v>Advanced</x:v>
      </x:c>
      <x:c r="H650" t="str"/>
      <x:c r="I650" t="str">
        <x:v>Årlig beregnet, ikke målt</x:v>
      </x:c>
      <x:c r="J650" t="str">
        <x:v>01012016_31122016enova.csv</x:v>
      </x:c>
    </x:row>
    <x:row r="651" ht="22" customHeight="1">
      <x:c r="A651" t="str">
        <x:v>813759a5b507</x:v>
      </x:c>
      <x:c r="B651" t="n">
        <x:v>2016</x:v>
      </x:c>
      <x:c r="C651" t="str">
        <x:v>Skolebygg</x:v>
      </x:c>
      <x:c r="D651" t="str">
        <x:v>B</x:v>
      </x:c>
      <x:c r="E651" t="n">
        <x:v>2015</x:v>
      </x:c>
      <x:c r="F651" t="n">
        <x:v>93.2</x:v>
      </x:c>
      <x:c r="G651" t="str">
        <x:v>Simple</x:v>
      </x:c>
      <x:c r="H651" t="str"/>
      <x:c r="I651" t="str">
        <x:v>Årlig beregnet, ikke målt</x:v>
      </x:c>
      <x:c r="J651" t="str">
        <x:v>01012016_31122016enova.csv</x:v>
      </x:c>
    </x:row>
    <x:row r="652" ht="22" customHeight="1">
      <x:c r="A652" t="str">
        <x:v>aa36f374eca7</x:v>
      </x:c>
      <x:c r="B652" t="n">
        <x:v>2016</x:v>
      </x:c>
      <x:c r="C652" t="str">
        <x:v>Skolebygg</x:v>
      </x:c>
      <x:c r="D652" t="str">
        <x:v>C</x:v>
      </x:c>
      <x:c r="E652" t="n">
        <x:v>1979</x:v>
      </x:c>
      <x:c r="F652" t="n">
        <x:v>112.3</x:v>
      </x:c>
      <x:c r="G652" t="str">
        <x:v>Simple</x:v>
      </x:c>
      <x:c r="H652" t="str"/>
      <x:c r="I652" t="str">
        <x:v>Årlig beregnet, ikke målt</x:v>
      </x:c>
      <x:c r="J652" t="str">
        <x:v>01012016_31122016enova.csv</x:v>
      </x:c>
    </x:row>
    <x:row r="653" ht="22" customHeight="1">
      <x:c r="A653" t="str">
        <x:v>0778be071f18</x:v>
      </x:c>
      <x:c r="B653" t="n">
        <x:v>2016</x:v>
      </x:c>
      <x:c r="C653" t="str">
        <x:v>Skolebygg</x:v>
      </x:c>
      <x:c r="D653" t="str">
        <x:v>C</x:v>
      </x:c>
      <x:c r="E653" t="n">
        <x:v>2010</x:v>
      </x:c>
      <x:c r="F653" t="n">
        <x:v>121.2</x:v>
      </x:c>
      <x:c r="G653" t="str">
        <x:v>Simple</x:v>
      </x:c>
      <x:c r="H653" t="str"/>
      <x:c r="I653" t="str">
        <x:v>Årlig beregnet, ikke målt</x:v>
      </x:c>
      <x:c r="J653" t="str">
        <x:v>01012016_31122016enova.csv</x:v>
      </x:c>
    </x:row>
    <x:row r="654" ht="22" customHeight="1">
      <x:c r="A654" t="str">
        <x:v>81c70fe4b8ed</x:v>
      </x:c>
      <x:c r="B654" t="n">
        <x:v>2016</x:v>
      </x:c>
      <x:c r="C654" t="str">
        <x:v>Skolebygg</x:v>
      </x:c>
      <x:c r="D654" t="str">
        <x:v>C</x:v>
      </x:c>
      <x:c r="E654" t="n">
        <x:v>2010</x:v>
      </x:c>
      <x:c r="F654" t="n">
        <x:v>122.9</x:v>
      </x:c>
      <x:c r="G654" t="str">
        <x:v>Simple</x:v>
      </x:c>
      <x:c r="H654" t="str"/>
      <x:c r="I654" t="str">
        <x:v>Årlig beregnet, ikke målt</x:v>
      </x:c>
      <x:c r="J654" t="str">
        <x:v>01012016_31122016enova.csv</x:v>
      </x:c>
    </x:row>
    <x:row r="655" ht="22" customHeight="1">
      <x:c r="A655" t="str">
        <x:v>c2665d18a901</x:v>
      </x:c>
      <x:c r="B655" t="n">
        <x:v>2016</x:v>
      </x:c>
      <x:c r="C655" t="str">
        <x:v>Skolebygg</x:v>
      </x:c>
      <x:c r="D655" t="str">
        <x:v>C</x:v>
      </x:c>
      <x:c r="E655" t="n">
        <x:v>1997</x:v>
      </x:c>
      <x:c r="F655" t="n">
        <x:v>114.5</x:v>
      </x:c>
      <x:c r="G655" t="str">
        <x:v>Simple</x:v>
      </x:c>
      <x:c r="H655" t="str"/>
      <x:c r="I655" t="str">
        <x:v>Årlig beregnet, ikke målt</x:v>
      </x:c>
      <x:c r="J655" t="str">
        <x:v>01012016_31122016enova.csv</x:v>
      </x:c>
    </x:row>
    <x:row r="656" ht="22" customHeight="1">
      <x:c r="A656" t="str">
        <x:v>17884c7e4cca</x:v>
      </x:c>
      <x:c r="B656" t="n">
        <x:v>2016</x:v>
      </x:c>
      <x:c r="C656" t="str">
        <x:v>Skolebygg</x:v>
      </x:c>
      <x:c r="D656" t="str">
        <x:v>C</x:v>
      </x:c>
      <x:c r="E656" t="n">
        <x:v>2000</x:v>
      </x:c>
      <x:c r="F656" t="n">
        <x:v>115.5</x:v>
      </x:c>
      <x:c r="G656" t="str">
        <x:v>Simple</x:v>
      </x:c>
      <x:c r="H656" t="str"/>
      <x:c r="I656" t="str">
        <x:v>Årlig beregnet, ikke målt</x:v>
      </x:c>
      <x:c r="J656" t="str">
        <x:v>01012016_31122016enova.csv</x:v>
      </x:c>
    </x:row>
    <x:row r="657" ht="22" customHeight="1">
      <x:c r="A657" t="str">
        <x:v>d4450ccb875c</x:v>
      </x:c>
      <x:c r="B657" t="n">
        <x:v>2016</x:v>
      </x:c>
      <x:c r="C657" t="str">
        <x:v>Skolebygg</x:v>
      </x:c>
      <x:c r="D657" t="str">
        <x:v>D</x:v>
      </x:c>
      <x:c r="E657" t="n">
        <x:v>2006</x:v>
      </x:c>
      <x:c r="F657" t="n">
        <x:v>149.9</x:v>
      </x:c>
      <x:c r="G657" t="str">
        <x:v>Simple</x:v>
      </x:c>
      <x:c r="H657" t="str"/>
      <x:c r="I657" t="str">
        <x:v>Årlig beregnet, ikke målt</x:v>
      </x:c>
      <x:c r="J657" t="str">
        <x:v>01012016_31122016enova.csv</x:v>
      </x:c>
    </x:row>
    <x:row r="658" ht="22" customHeight="1">
      <x:c r="A658" t="str">
        <x:v>d3ebdf834823</x:v>
      </x:c>
      <x:c r="B658" t="n">
        <x:v>2016</x:v>
      </x:c>
      <x:c r="C658" t="str">
        <x:v>Skolebygg</x:v>
      </x:c>
      <x:c r="D658" t="str">
        <x:v>D</x:v>
      </x:c>
      <x:c r="E658" t="n">
        <x:v>2012</x:v>
      </x:c>
      <x:c r="F658" t="n">
        <x:v>165.5</x:v>
      </x:c>
      <x:c r="G658" t="str">
        <x:v>Simple</x:v>
      </x:c>
      <x:c r="H658" t="str"/>
      <x:c r="I658" t="str">
        <x:v>Årlig beregnet, ikke målt</x:v>
      </x:c>
      <x:c r="J658" t="str">
        <x:v>01012016_31122016enova.csv</x:v>
      </x:c>
    </x:row>
    <x:row r="659" ht="22" customHeight="1">
      <x:c r="A659" t="str">
        <x:v>4ed38b39a6b7</x:v>
      </x:c>
      <x:c r="B659" t="n">
        <x:v>2016</x:v>
      </x:c>
      <x:c r="C659" t="str">
        <x:v>Skolebygg</x:v>
      </x:c>
      <x:c r="D659" t="str">
        <x:v>D</x:v>
      </x:c>
      <x:c r="E659" t="n">
        <x:v>1972</x:v>
      </x:c>
      <x:c r="F659" t="n">
        <x:v>160.1</x:v>
      </x:c>
      <x:c r="G659" t="str">
        <x:v>Simple</x:v>
      </x:c>
      <x:c r="H659" t="str"/>
      <x:c r="I659" t="str">
        <x:v>Årlig beregnet, ikke målt</x:v>
      </x:c>
      <x:c r="J659" t="str">
        <x:v>01012016_31122016enova.csv</x:v>
      </x:c>
    </x:row>
    <x:row r="660" ht="22" customHeight="1">
      <x:c r="A660" t="str">
        <x:v>931026841d47</x:v>
      </x:c>
      <x:c r="B660" t="n">
        <x:v>2016</x:v>
      </x:c>
      <x:c r="C660" t="str">
        <x:v>Skolebygg</x:v>
      </x:c>
      <x:c r="D660" t="str">
        <x:v>D</x:v>
      </x:c>
      <x:c r="E660" t="n">
        <x:v>2003</x:v>
      </x:c>
      <x:c r="F660" t="n">
        <x:v>145.8</x:v>
      </x:c>
      <x:c r="G660" t="str">
        <x:v>Simple</x:v>
      </x:c>
      <x:c r="H660" t="str"/>
      <x:c r="I660" t="str">
        <x:v>Årlig beregnet, ikke målt</x:v>
      </x:c>
      <x:c r="J660" t="str">
        <x:v>01012016_31122016enova.csv</x:v>
      </x:c>
    </x:row>
    <x:row r="661" ht="22" customHeight="1">
      <x:c r="A661" t="str">
        <x:v>459a0e6e451c</x:v>
      </x:c>
      <x:c r="B661" t="n">
        <x:v>2016</x:v>
      </x:c>
      <x:c r="C661" t="str">
        <x:v>Skolebygg</x:v>
      </x:c>
      <x:c r="D661" t="str">
        <x:v>D</x:v>
      </x:c>
      <x:c r="E661" t="n">
        <x:v>1984</x:v>
      </x:c>
      <x:c r="F661" t="n">
        <x:v>139.8</x:v>
      </x:c>
      <x:c r="G661" t="str">
        <x:v>Advanced</x:v>
      </x:c>
      <x:c r="H661" t="str"/>
      <x:c r="I661" t="str">
        <x:v>Årlig beregnet, ikke målt</x:v>
      </x:c>
      <x:c r="J661" t="str">
        <x:v>01012016_31122016enova.csv</x:v>
      </x:c>
    </x:row>
    <x:row r="662" ht="22" customHeight="1">
      <x:c r="A662" t="str">
        <x:v>73b05334bbb1</x:v>
      </x:c>
      <x:c r="B662" t="n">
        <x:v>2016</x:v>
      </x:c>
      <x:c r="C662" t="str">
        <x:v>Skolebygg</x:v>
      </x:c>
      <x:c r="D662" t="str">
        <x:v>E</x:v>
      </x:c>
      <x:c r="E662" t="n">
        <x:v>1965</x:v>
      </x:c>
      <x:c r="F662" t="n">
        <x:v>197.3</x:v>
      </x:c>
      <x:c r="G662" t="str">
        <x:v>Simple</x:v>
      </x:c>
      <x:c r="H662" t="str"/>
      <x:c r="I662" t="str">
        <x:v>Årlig beregnet, ikke målt</x:v>
      </x:c>
      <x:c r="J662" t="str">
        <x:v>01012016_31122016enova.csv</x:v>
      </x:c>
    </x:row>
    <x:row r="663" ht="22" customHeight="1">
      <x:c r="A663" t="str">
        <x:v>30635d51e94a</x:v>
      </x:c>
      <x:c r="B663" t="n">
        <x:v>2016</x:v>
      </x:c>
      <x:c r="C663" t="str">
        <x:v>Skolebygg</x:v>
      </x:c>
      <x:c r="D663" t="str">
        <x:v>E</x:v>
      </x:c>
      <x:c r="E663" t="n">
        <x:v>1974</x:v>
      </x:c>
      <x:c r="F663" t="n">
        <x:v>213.3</x:v>
      </x:c>
      <x:c r="G663" t="str">
        <x:v>Advanced</x:v>
      </x:c>
      <x:c r="H663" t="str"/>
      <x:c r="I663" t="str">
        <x:v>Årlig beregnet, ikke målt</x:v>
      </x:c>
      <x:c r="J663" t="str">
        <x:v>01012016_31122016enova.csv</x:v>
      </x:c>
    </x:row>
    <x:row r="664" ht="22" customHeight="1">
      <x:c r="A664" t="str">
        <x:v>7c5675305ba6</x:v>
      </x:c>
      <x:c r="B664" t="n">
        <x:v>2016</x:v>
      </x:c>
      <x:c r="C664" t="str">
        <x:v>Skolebygg</x:v>
      </x:c>
      <x:c r="D664" t="str">
        <x:v>E</x:v>
      </x:c>
      <x:c r="E664" t="n">
        <x:v>1979</x:v>
      </x:c>
      <x:c r="F664" t="n">
        <x:v>198.6</x:v>
      </x:c>
      <x:c r="G664" t="str">
        <x:v>Advanced</x:v>
      </x:c>
      <x:c r="H664" t="str"/>
      <x:c r="I664" t="str">
        <x:v>Årlig beregnet, ikke målt</x:v>
      </x:c>
      <x:c r="J664" t="str">
        <x:v>01012016_31122016enova.csv</x:v>
      </x:c>
    </x:row>
    <x:row r="665" ht="22" customHeight="1">
      <x:c r="A665" t="str">
        <x:v>296775a87bb7</x:v>
      </x:c>
      <x:c r="B665" t="n">
        <x:v>2016</x:v>
      </x:c>
      <x:c r="C665" t="str">
        <x:v>Skolebygg</x:v>
      </x:c>
      <x:c r="D665" t="str">
        <x:v>E</x:v>
      </x:c>
      <x:c r="E665" t="n">
        <x:v>2000</x:v>
      </x:c>
      <x:c r="F665" t="n">
        <x:v>207.6</x:v>
      </x:c>
      <x:c r="G665" t="str">
        <x:v>Simple</x:v>
      </x:c>
      <x:c r="H665" t="str"/>
      <x:c r="I665" t="str">
        <x:v>Årlig beregnet, ikke målt</x:v>
      </x:c>
      <x:c r="J665" t="str">
        <x:v>01012016_31122016enova.csv</x:v>
      </x:c>
    </x:row>
    <x:row r="666" ht="22" customHeight="1">
      <x:c r="A666" t="str">
        <x:v>b5e4f7a3dbe3</x:v>
      </x:c>
      <x:c r="B666" t="n">
        <x:v>2016</x:v>
      </x:c>
      <x:c r="C666" t="str">
        <x:v>Skolebygg</x:v>
      </x:c>
      <x:c r="D666" t="str">
        <x:v>E</x:v>
      </x:c>
      <x:c r="E666" t="n">
        <x:v>1966</x:v>
      </x:c>
      <x:c r="F666" t="n">
        <x:v>191</x:v>
      </x:c>
      <x:c r="G666" t="str">
        <x:v>Simple</x:v>
      </x:c>
      <x:c r="H666" t="str"/>
      <x:c r="I666" t="str">
        <x:v>Årlig beregnet, ikke målt</x:v>
      </x:c>
      <x:c r="J666" t="str">
        <x:v>01012016_31122016enova.csv</x:v>
      </x:c>
    </x:row>
    <x:row r="667" ht="22" customHeight="1">
      <x:c r="A667" t="str">
        <x:v>d7a6ce334e75</x:v>
      </x:c>
      <x:c r="B667" t="n">
        <x:v>2016</x:v>
      </x:c>
      <x:c r="C667" t="str">
        <x:v>Skolebygg</x:v>
      </x:c>
      <x:c r="D667" t="str">
        <x:v>F</x:v>
      </x:c>
      <x:c r="E667" t="n">
        <x:v>2002</x:v>
      </x:c>
      <x:c r="F667" t="n">
        <x:v>224.9</x:v>
      </x:c>
      <x:c r="G667" t="str">
        <x:v>Simple</x:v>
      </x:c>
      <x:c r="H667" t="str"/>
      <x:c r="I667" t="str">
        <x:v>Årlig beregnet, ikke målt</x:v>
      </x:c>
      <x:c r="J667" t="str">
        <x:v>01012016_31122016enova.csv</x:v>
      </x:c>
    </x:row>
    <x:row r="668" ht="22" customHeight="1">
      <x:c r="A668" t="str">
        <x:v>544ac54bcfce</x:v>
      </x:c>
      <x:c r="B668" t="n">
        <x:v>2016</x:v>
      </x:c>
      <x:c r="C668" t="str">
        <x:v>Skolebygg</x:v>
      </x:c>
      <x:c r="D668" t="str">
        <x:v>F</x:v>
      </x:c>
      <x:c r="E668" t="n">
        <x:v>1890</x:v>
      </x:c>
      <x:c r="F668" t="n">
        <x:v>269.8</x:v>
      </x:c>
      <x:c r="G668" t="str">
        <x:v>Advanced</x:v>
      </x:c>
      <x:c r="H668" t="str"/>
      <x:c r="I668" t="str">
        <x:v>Årlig beregnet, ikke målt</x:v>
      </x:c>
      <x:c r="J668" t="str">
        <x:v>01012016_31122016enova.csv</x:v>
      </x:c>
    </x:row>
    <x:row r="669" ht="22" customHeight="1">
      <x:c r="A669" t="str">
        <x:v>a75f4bf2b3fb</x:v>
      </x:c>
      <x:c r="B669" t="n">
        <x:v>2016</x:v>
      </x:c>
      <x:c r="C669" t="str">
        <x:v>Skolebygg</x:v>
      </x:c>
      <x:c r="D669" t="str">
        <x:v>F</x:v>
      </x:c>
      <x:c r="E669" t="n">
        <x:v>1974</x:v>
      </x:c>
      <x:c r="F669" t="n">
        <x:v>270.2</x:v>
      </x:c>
      <x:c r="G669" t="str">
        <x:v>Simple</x:v>
      </x:c>
      <x:c r="H669" t="str"/>
      <x:c r="I669" t="str">
        <x:v>Årlig beregnet, ikke målt</x:v>
      </x:c>
      <x:c r="J669" t="str">
        <x:v>01012016_31122016enova.csv</x:v>
      </x:c>
    </x:row>
    <x:row r="670" ht="22" customHeight="1">
      <x:c r="A670" t="str">
        <x:v>0742402bb2a7</x:v>
      </x:c>
      <x:c r="B670" t="n">
        <x:v>2016</x:v>
      </x:c>
      <x:c r="C670" t="str">
        <x:v>Skolebygg</x:v>
      </x:c>
      <x:c r="D670" t="str">
        <x:v>F</x:v>
      </x:c>
      <x:c r="E670" t="n">
        <x:v>1919</x:v>
      </x:c>
      <x:c r="F670" t="n">
        <x:v>253.9</x:v>
      </x:c>
      <x:c r="G670" t="str">
        <x:v>Simple</x:v>
      </x:c>
      <x:c r="H670" t="str"/>
      <x:c r="I670" t="str">
        <x:v>Årlig beregnet, ikke målt</x:v>
      </x:c>
      <x:c r="J670" t="str">
        <x:v>01012016_31122016enova.csv</x:v>
      </x:c>
    </x:row>
    <x:row r="671" ht="22" customHeight="1">
      <x:c r="A671" t="str">
        <x:v>1c69249e9e73</x:v>
      </x:c>
      <x:c r="B671" t="n">
        <x:v>2016</x:v>
      </x:c>
      <x:c r="C671" t="str">
        <x:v>Skolebygg</x:v>
      </x:c>
      <x:c r="D671" t="str">
        <x:v>F</x:v>
      </x:c>
      <x:c r="E671" t="n">
        <x:v>1960</x:v>
      </x:c>
      <x:c r="F671" t="n">
        <x:v>243.6</x:v>
      </x:c>
      <x:c r="G671" t="str">
        <x:v>Simple</x:v>
      </x:c>
      <x:c r="H671" t="str"/>
      <x:c r="I671" t="str">
        <x:v>Årlig beregnet, ikke målt</x:v>
      </x:c>
      <x:c r="J671" t="str">
        <x:v>01012016_31122016enova.csv</x:v>
      </x:c>
    </x:row>
    <x:row r="672" ht="22" customHeight="1">
      <x:c r="A672" t="str">
        <x:v>0f0e110ad33b</x:v>
      </x:c>
      <x:c r="B672" t="n">
        <x:v>2016</x:v>
      </x:c>
      <x:c r="C672" t="str">
        <x:v>Skolebygg</x:v>
      </x:c>
      <x:c r="D672" t="str">
        <x:v>G</x:v>
      </x:c>
      <x:c r="E672" t="n">
        <x:v>1960</x:v>
      </x:c>
      <x:c r="F672" t="n">
        <x:v>531.58</x:v>
      </x:c>
      <x:c r="G672" t="str">
        <x:v>Simple</x:v>
      </x:c>
      <x:c r="H672" t="str">
        <x:v>Mur/tegl</x:v>
      </x:c>
      <x:c r="I672" t="str">
        <x:v>Årlig beregnet, ikke målt</x:v>
      </x:c>
      <x:c r="J672" t="str">
        <x:v>01012016_31122016enova.csv</x:v>
      </x:c>
    </x:row>
    <x:row r="673" ht="22" customHeight="1">
      <x:c r="A673" t="str">
        <x:v>6da8c283155f</x:v>
      </x:c>
      <x:c r="B673" t="n">
        <x:v>2016</x:v>
      </x:c>
      <x:c r="C673" t="str">
        <x:v>Skolebygg</x:v>
      </x:c>
      <x:c r="D673" t="str">
        <x:v>G</x:v>
      </x:c>
      <x:c r="E673" t="n">
        <x:v>1954</x:v>
      </x:c>
      <x:c r="F673" t="n">
        <x:v>435.9</x:v>
      </x:c>
      <x:c r="G673" t="str">
        <x:v>Simple</x:v>
      </x:c>
      <x:c r="H673" t="str">
        <x:v>Tre</x:v>
      </x:c>
      <x:c r="I673" t="str">
        <x:v>Årlig beregnet, ikke målt</x:v>
      </x:c>
      <x:c r="J673" t="str">
        <x:v>01012016_31122016enova.csv</x:v>
      </x:c>
    </x:row>
    <x:row r="674" ht="22" customHeight="1">
      <x:c r="A674" t="str">
        <x:v>6715513801f9</x:v>
      </x:c>
      <x:c r="B674" t="n">
        <x:v>2016</x:v>
      </x:c>
      <x:c r="C674" t="str">
        <x:v>Skolebygg</x:v>
      </x:c>
      <x:c r="D674" t="str">
        <x:v>G</x:v>
      </x:c>
      <x:c r="E674" t="n">
        <x:v>2010</x:v>
      </x:c>
      <x:c r="F674" t="n">
        <x:v>316.7</x:v>
      </x:c>
      <x:c r="G674" t="str">
        <x:v>Simple</x:v>
      </x:c>
      <x:c r="H674" t="str"/>
      <x:c r="I674" t="str">
        <x:v>Årlig beregnet, ikke målt</x:v>
      </x:c>
      <x:c r="J674" t="str">
        <x:v>01012016_31122016enova.csv</x:v>
      </x:c>
    </x:row>
    <x:row r="675" ht="22" customHeight="1">
      <x:c r="A675" t="str">
        <x:v>87ed603b18dd</x:v>
      </x:c>
      <x:c r="B675" t="n">
        <x:v>2016</x:v>
      </x:c>
      <x:c r="C675" t="str">
        <x:v>Skolebygg</x:v>
      </x:c>
      <x:c r="D675" t="str">
        <x:v>G</x:v>
      </x:c>
      <x:c r="E675" t="n">
        <x:v>1959</x:v>
      </x:c>
      <x:c r="F675" t="n">
        <x:v>395.3</x:v>
      </x:c>
      <x:c r="G675" t="str">
        <x:v>Simple</x:v>
      </x:c>
      <x:c r="H675" t="str"/>
      <x:c r="I675" t="str">
        <x:v>Årlig beregnet, ikke målt</x:v>
      </x:c>
      <x:c r="J675" t="str">
        <x:v>01012016_31122016enova.csv</x:v>
      </x:c>
    </x:row>
    <x:row r="676" ht="22" customHeight="1">
      <x:c r="A676" t="str">
        <x:v>ac5d6b99c405</x:v>
      </x:c>
      <x:c r="B676" t="n">
        <x:v>2016</x:v>
      </x:c>
      <x:c r="C676" t="str">
        <x:v>Skolebygg</x:v>
      </x:c>
      <x:c r="D676" t="str">
        <x:v>G</x:v>
      </x:c>
      <x:c r="E676" t="n">
        <x:v>1960</x:v>
      </x:c>
      <x:c r="F676" t="n">
        <x:v>427.1</x:v>
      </x:c>
      <x:c r="G676" t="str">
        <x:v>Simple</x:v>
      </x:c>
      <x:c r="H676" t="str"/>
      <x:c r="I676" t="str">
        <x:v>Årlig beregnet, ikke målt</x:v>
      </x:c>
      <x:c r="J676" t="str">
        <x:v>01012016_31122016enova.csv</x:v>
      </x:c>
    </x:row>
    <x:row r="677" ht="22" customHeight="1">
      <x:c r="A677" t="str">
        <x:v>b802570914a2</x:v>
      </x:c>
      <x:c r="B677" t="n">
        <x:v>2016</x:v>
      </x:c>
      <x:c r="C677" t="str">
        <x:v>Småhus</x:v>
      </x:c>
      <x:c r="D677" t="str">
        <x:v>A</x:v>
      </x:c>
      <x:c r="E677" t="n">
        <x:v>2016</x:v>
      </x:c>
      <x:c r="F677" t="n">
        <x:v>99.3</x:v>
      </x:c>
      <x:c r="G677" t="str">
        <x:v>Simple</x:v>
      </x:c>
      <x:c r="H677" t="str"/>
      <x:c r="I677" t="str">
        <x:v>Årlig beregnet, ikke målt</x:v>
      </x:c>
      <x:c r="J677" t="str">
        <x:v>01012016_31122016enova.csv</x:v>
      </x:c>
    </x:row>
    <x:row r="678" ht="22" customHeight="1">
      <x:c r="A678" t="str">
        <x:v>a03d896ff384</x:v>
      </x:c>
      <x:c r="B678" t="n">
        <x:v>2016</x:v>
      </x:c>
      <x:c r="C678" t="str">
        <x:v>Småhus</x:v>
      </x:c>
      <x:c r="D678" t="str">
        <x:v>A</x:v>
      </x:c>
      <x:c r="E678" t="n">
        <x:v>2016</x:v>
      </x:c>
      <x:c r="F678" t="n">
        <x:v>101.4</x:v>
      </x:c>
      <x:c r="G678" t="str">
        <x:v>Simple</x:v>
      </x:c>
      <x:c r="H678" t="str"/>
      <x:c r="I678" t="str">
        <x:v>Årlig beregnet, ikke målt</x:v>
      </x:c>
      <x:c r="J678" t="str">
        <x:v>01012016_31122016enova.csv</x:v>
      </x:c>
    </x:row>
    <x:row r="679" ht="22" customHeight="1">
      <x:c r="A679" t="str">
        <x:v>a826300e62eb</x:v>
      </x:c>
      <x:c r="B679" t="n">
        <x:v>2016</x:v>
      </x:c>
      <x:c r="C679" t="str">
        <x:v>Småhus</x:v>
      </x:c>
      <x:c r="D679" t="str">
        <x:v>A</x:v>
      </x:c>
      <x:c r="E679" t="n">
        <x:v>2016</x:v>
      </x:c>
      <x:c r="F679" t="n">
        <x:v>88.4</x:v>
      </x:c>
      <x:c r="G679" t="str">
        <x:v>Simple</x:v>
      </x:c>
      <x:c r="H679" t="str"/>
      <x:c r="I679" t="str">
        <x:v>Årlig beregnet, ikke målt</x:v>
      </x:c>
      <x:c r="J679" t="str">
        <x:v>01012016_31122016enova.csv</x:v>
      </x:c>
    </x:row>
    <x:row r="680" ht="22" customHeight="1">
      <x:c r="A680" t="str">
        <x:v>7a8d70b408f9</x:v>
      </x:c>
      <x:c r="B680" t="n">
        <x:v>2016</x:v>
      </x:c>
      <x:c r="C680" t="str">
        <x:v>Småhus</x:v>
      </x:c>
      <x:c r="D680" t="str">
        <x:v>A</x:v>
      </x:c>
      <x:c r="E680" t="n">
        <x:v>2016</x:v>
      </x:c>
      <x:c r="F680" t="n">
        <x:v>93.2</x:v>
      </x:c>
      <x:c r="G680" t="str">
        <x:v>Simple</x:v>
      </x:c>
      <x:c r="H680" t="str"/>
      <x:c r="I680" t="str">
        <x:v>Årlig beregnet, ikke målt</x:v>
      </x:c>
      <x:c r="J680" t="str">
        <x:v>01012016_31122016enova.csv</x:v>
      </x:c>
    </x:row>
    <x:row r="681" ht="22" customHeight="1">
      <x:c r="A681" t="str">
        <x:v>c77055eaf543</x:v>
      </x:c>
      <x:c r="B681" t="n">
        <x:v>2016</x:v>
      </x:c>
      <x:c r="C681" t="str">
        <x:v>Småhus</x:v>
      </x:c>
      <x:c r="D681" t="str">
        <x:v>A</x:v>
      </x:c>
      <x:c r="E681" t="n">
        <x:v>2016</x:v>
      </x:c>
      <x:c r="F681" t="n">
        <x:v>80.3</x:v>
      </x:c>
      <x:c r="G681" t="str">
        <x:v>Simple</x:v>
      </x:c>
      <x:c r="H681" t="str"/>
      <x:c r="I681" t="str">
        <x:v>Årlig beregnet, ikke målt</x:v>
      </x:c>
      <x:c r="J681" t="str">
        <x:v>01012016_31122016enova.csv</x:v>
      </x:c>
    </x:row>
    <x:row r="682" ht="22" customHeight="1">
      <x:c r="A682" t="str">
        <x:v>e54d71d84e9e</x:v>
      </x:c>
      <x:c r="B682" t="n">
        <x:v>2016</x:v>
      </x:c>
      <x:c r="C682" t="str">
        <x:v>Småhus</x:v>
      </x:c>
      <x:c r="D682" t="str">
        <x:v>B</x:v>
      </x:c>
      <x:c r="E682" t="n">
        <x:v>2012</x:v>
      </x:c>
      <x:c r="F682" t="n">
        <x:v>116.19</x:v>
      </x:c>
      <x:c r="G682" t="str">
        <x:v>Simple</x:v>
      </x:c>
      <x:c r="H682" t="str">
        <x:v>Tre</x:v>
      </x:c>
      <x:c r="I682" t="str">
        <x:v>Årlig beregnet, ikke målt</x:v>
      </x:c>
      <x:c r="J682" t="str">
        <x:v>01012016_31122016enova.csv</x:v>
      </x:c>
    </x:row>
    <x:row r="683" ht="22" customHeight="1">
      <x:c r="A683" t="str">
        <x:v>7f059b3ea55e</x:v>
      </x:c>
      <x:c r="B683" t="n">
        <x:v>2016</x:v>
      </x:c>
      <x:c r="C683" t="str">
        <x:v>Småhus</x:v>
      </x:c>
      <x:c r="D683" t="str">
        <x:v>B</x:v>
      </x:c>
      <x:c r="E683" t="n">
        <x:v>2016</x:v>
      </x:c>
      <x:c r="F683" t="n">
        <x:v>129.6</x:v>
      </x:c>
      <x:c r="G683" t="str">
        <x:v>Simple</x:v>
      </x:c>
      <x:c r="H683" t="str"/>
      <x:c r="I683" t="str">
        <x:v>Årlig beregnet, ikke målt</x:v>
      </x:c>
      <x:c r="J683" t="str">
        <x:v>01012016_31122016enova.csv</x:v>
      </x:c>
    </x:row>
    <x:row r="684" ht="22" customHeight="1">
      <x:c r="A684" t="str">
        <x:v>7c83bf9152d6</x:v>
      </x:c>
      <x:c r="B684" t="n">
        <x:v>2016</x:v>
      </x:c>
      <x:c r="C684" t="str">
        <x:v>Småhus</x:v>
      </x:c>
      <x:c r="D684" t="str">
        <x:v>B</x:v>
      </x:c>
      <x:c r="E684" t="n">
        <x:v>2016</x:v>
      </x:c>
      <x:c r="F684" t="n">
        <x:v>115</x:v>
      </x:c>
      <x:c r="G684" t="str">
        <x:v>Simple</x:v>
      </x:c>
      <x:c r="H684" t="str">
        <x:v>Tre</x:v>
      </x:c>
      <x:c r="I684" t="str">
        <x:v>Årlig beregnet, ikke målt</x:v>
      </x:c>
      <x:c r="J684" t="str">
        <x:v>01012016_31122016enova.csv</x:v>
      </x:c>
    </x:row>
    <x:row r="685" ht="22" customHeight="1">
      <x:c r="A685" t="str">
        <x:v>5169b09877cd</x:v>
      </x:c>
      <x:c r="B685" t="n">
        <x:v>2016</x:v>
      </x:c>
      <x:c r="C685" t="str">
        <x:v>Småhus</x:v>
      </x:c>
      <x:c r="D685" t="str">
        <x:v>B</x:v>
      </x:c>
      <x:c r="E685" t="n">
        <x:v>2011</x:v>
      </x:c>
      <x:c r="F685" t="n">
        <x:v>124.71</x:v>
      </x:c>
      <x:c r="G685" t="str">
        <x:v>Simple</x:v>
      </x:c>
      <x:c r="H685" t="str">
        <x:v>Tre</x:v>
      </x:c>
      <x:c r="I685" t="str">
        <x:v>Årlig beregnet, ikke målt</x:v>
      </x:c>
      <x:c r="J685" t="str">
        <x:v>01012016_31122016enova.csv</x:v>
      </x:c>
    </x:row>
    <x:row r="686" ht="22" customHeight="1">
      <x:c r="A686" t="str">
        <x:v>8c68f807a1c9</x:v>
      </x:c>
      <x:c r="B686" t="n">
        <x:v>2016</x:v>
      </x:c>
      <x:c r="C686" t="str">
        <x:v>Småhus</x:v>
      </x:c>
      <x:c r="D686" t="str">
        <x:v>B</x:v>
      </x:c>
      <x:c r="E686" t="n">
        <x:v>2015</x:v>
      </x:c>
      <x:c r="F686" t="n">
        <x:v>136</x:v>
      </x:c>
      <x:c r="G686" t="str">
        <x:v>Schema</x:v>
      </x:c>
      <x:c r="H686" t="str">
        <x:v>Tre</x:v>
      </x:c>
      <x:c r="I686" t="str">
        <x:v>Årlig beregnet, ikke målt</x:v>
      </x:c>
      <x:c r="J686" t="str">
        <x:v>01012016_31122016enova.csv</x:v>
      </x:c>
    </x:row>
    <x:row r="687" ht="22" customHeight="1">
      <x:c r="A687" t="str">
        <x:v>e61cafaae3cc</x:v>
      </x:c>
      <x:c r="B687" t="n">
        <x:v>2016</x:v>
      </x:c>
      <x:c r="C687" t="str">
        <x:v>Småhus</x:v>
      </x:c>
      <x:c r="D687" t="str">
        <x:v>C</x:v>
      </x:c>
      <x:c r="E687" t="n">
        <x:v>2013</x:v>
      </x:c>
      <x:c r="F687" t="n">
        <x:v>165.39</x:v>
      </x:c>
      <x:c r="G687" t="str">
        <x:v>Simple</x:v>
      </x:c>
      <x:c r="H687" t="str">
        <x:v>Tre</x:v>
      </x:c>
      <x:c r="I687" t="str">
        <x:v>Årlig beregnet, ikke målt</x:v>
      </x:c>
      <x:c r="J687" t="str">
        <x:v>01012016_31122016enova.csv</x:v>
      </x:c>
    </x:row>
    <x:row r="688" ht="22" customHeight="1">
      <x:c r="A688" t="str">
        <x:v>c4a141cc4f00</x:v>
      </x:c>
      <x:c r="B688" t="n">
        <x:v>2016</x:v>
      </x:c>
      <x:c r="C688" t="str">
        <x:v>Småhus</x:v>
      </x:c>
      <x:c r="D688" t="str">
        <x:v>C</x:v>
      </x:c>
      <x:c r="E688" t="n">
        <x:v>2005</x:v>
      </x:c>
      <x:c r="F688" t="n">
        <x:v>146.57</x:v>
      </x:c>
      <x:c r="G688" t="str">
        <x:v>Simple</x:v>
      </x:c>
      <x:c r="H688" t="str">
        <x:v>Tre</x:v>
      </x:c>
      <x:c r="I688" t="str">
        <x:v>Årlig beregnet, ikke målt</x:v>
      </x:c>
      <x:c r="J688" t="str">
        <x:v>01012016_31122016enova.csv</x:v>
      </x:c>
    </x:row>
    <x:row r="689" ht="22" customHeight="1">
      <x:c r="A689" t="str">
        <x:v>2219846fd52f</x:v>
      </x:c>
      <x:c r="B689" t="n">
        <x:v>2016</x:v>
      </x:c>
      <x:c r="C689" t="str">
        <x:v>Småhus</x:v>
      </x:c>
      <x:c r="D689" t="str">
        <x:v>C</x:v>
      </x:c>
      <x:c r="E689" t="n">
        <x:v>2014</x:v>
      </x:c>
      <x:c r="F689" t="n">
        <x:v>151.25</x:v>
      </x:c>
      <x:c r="G689" t="str">
        <x:v>Simple</x:v>
      </x:c>
      <x:c r="H689" t="str">
        <x:v>Betong</x:v>
      </x:c>
      <x:c r="I689" t="str">
        <x:v>Årlig beregnet, ikke målt</x:v>
      </x:c>
      <x:c r="J689" t="str">
        <x:v>01012016_31122016enova.csv</x:v>
      </x:c>
    </x:row>
    <x:row r="690" ht="22" customHeight="1">
      <x:c r="A690" t="str">
        <x:v>f6c2e33bb1b8</x:v>
      </x:c>
      <x:c r="B690" t="n">
        <x:v>2016</x:v>
      </x:c>
      <x:c r="C690" t="str">
        <x:v>Småhus</x:v>
      </x:c>
      <x:c r="D690" t="str">
        <x:v>C</x:v>
      </x:c>
      <x:c r="E690" t="n">
        <x:v>2006</x:v>
      </x:c>
      <x:c r="F690" t="n">
        <x:v>160.15</x:v>
      </x:c>
      <x:c r="G690" t="str">
        <x:v>Simple</x:v>
      </x:c>
      <x:c r="H690" t="str">
        <x:v>Tre</x:v>
      </x:c>
      <x:c r="I690" t="str">
        <x:v>Årlig beregnet, ikke målt</x:v>
      </x:c>
      <x:c r="J690" t="str">
        <x:v>01012016_31122016enova.csv</x:v>
      </x:c>
    </x:row>
    <x:row r="691" ht="22" customHeight="1">
      <x:c r="A691" t="str">
        <x:v>0b14cc6affff</x:v>
      </x:c>
      <x:c r="B691" t="n">
        <x:v>2016</x:v>
      </x:c>
      <x:c r="C691" t="str">
        <x:v>Småhus</x:v>
      </x:c>
      <x:c r="D691" t="str">
        <x:v>C</x:v>
      </x:c>
      <x:c r="E691" t="n">
        <x:v>2011</x:v>
      </x:c>
      <x:c r="F691" t="n">
        <x:v>146.02</x:v>
      </x:c>
      <x:c r="G691" t="str">
        <x:v>Simple</x:v>
      </x:c>
      <x:c r="H691" t="str">
        <x:v>Tre</x:v>
      </x:c>
      <x:c r="I691" t="str">
        <x:v>Årlig beregnet, ikke målt</x:v>
      </x:c>
      <x:c r="J691" t="str">
        <x:v>01012016_31122016enova.csv</x:v>
      </x:c>
    </x:row>
    <x:row r="692" ht="22" customHeight="1">
      <x:c r="A692" t="str">
        <x:v>7fad93827a02</x:v>
      </x:c>
      <x:c r="B692" t="n">
        <x:v>2016</x:v>
      </x:c>
      <x:c r="C692" t="str">
        <x:v>Småhus</x:v>
      </x:c>
      <x:c r="D692" t="str">
        <x:v>D</x:v>
      </x:c>
      <x:c r="E692" t="n">
        <x:v>1909</x:v>
      </x:c>
      <x:c r="F692" t="n">
        <x:v>173.17</x:v>
      </x:c>
      <x:c r="G692" t="str">
        <x:v>Simple</x:v>
      </x:c>
      <x:c r="H692" t="str">
        <x:v>Tre</x:v>
      </x:c>
      <x:c r="I692" t="str">
        <x:v>Årlig beregnet, ikke målt</x:v>
      </x:c>
      <x:c r="J692" t="str">
        <x:v>01012016_31122016enova.csv</x:v>
      </x:c>
    </x:row>
    <x:row r="693" ht="22" customHeight="1">
      <x:c r="A693" t="str">
        <x:v>d036e43f71c8</x:v>
      </x:c>
      <x:c r="B693" t="n">
        <x:v>2016</x:v>
      </x:c>
      <x:c r="C693" t="str">
        <x:v>Småhus</x:v>
      </x:c>
      <x:c r="D693" t="str">
        <x:v>D</x:v>
      </x:c>
      <x:c r="E693" t="n">
        <x:v>2009</x:v>
      </x:c>
      <x:c r="F693" t="n">
        <x:v>178.31</x:v>
      </x:c>
      <x:c r="G693" t="str">
        <x:v>Simple</x:v>
      </x:c>
      <x:c r="H693" t="str">
        <x:v>Tre</x:v>
      </x:c>
      <x:c r="I693" t="str">
        <x:v>Årlig beregnet, ikke målt</x:v>
      </x:c>
      <x:c r="J693" t="str">
        <x:v>01012016_31122016enova.csv</x:v>
      </x:c>
    </x:row>
    <x:row r="694" ht="22" customHeight="1">
      <x:c r="A694" t="str">
        <x:v>6b760e01bfd9</x:v>
      </x:c>
      <x:c r="B694" t="n">
        <x:v>2016</x:v>
      </x:c>
      <x:c r="C694" t="str">
        <x:v>Småhus</x:v>
      </x:c>
      <x:c r="D694" t="str">
        <x:v>D</x:v>
      </x:c>
      <x:c r="E694" t="n">
        <x:v>2001</x:v>
      </x:c>
      <x:c r="F694" t="n">
        <x:v>173.3</x:v>
      </x:c>
      <x:c r="G694" t="str">
        <x:v>Simple</x:v>
      </x:c>
      <x:c r="H694" t="str">
        <x:v>Tre</x:v>
      </x:c>
      <x:c r="I694" t="str">
        <x:v>Årlig beregnet, ikke målt</x:v>
      </x:c>
      <x:c r="J694" t="str">
        <x:v>01012016_31122016enova.csv</x:v>
      </x:c>
    </x:row>
    <x:row r="695" ht="22" customHeight="1">
      <x:c r="A695" t="str">
        <x:v>78d1435c8c8a</x:v>
      </x:c>
      <x:c r="B695" t="n">
        <x:v>2016</x:v>
      </x:c>
      <x:c r="C695" t="str">
        <x:v>Småhus</x:v>
      </x:c>
      <x:c r="D695" t="str">
        <x:v>D</x:v>
      </x:c>
      <x:c r="E695" t="n">
        <x:v>1983</x:v>
      </x:c>
      <x:c r="F695" t="n">
        <x:v>200.9</x:v>
      </x:c>
      <x:c r="G695" t="str">
        <x:v>Advanced</x:v>
      </x:c>
      <x:c r="H695" t="str"/>
      <x:c r="I695" t="str">
        <x:v>Årlig beregnet, ikke målt</x:v>
      </x:c>
      <x:c r="J695" t="str">
        <x:v>01012016_31122016enova.csv</x:v>
      </x:c>
    </x:row>
    <x:row r="696" ht="22" customHeight="1">
      <x:c r="A696" t="str">
        <x:v>9be35c74c010</x:v>
      </x:c>
      <x:c r="B696" t="n">
        <x:v>2016</x:v>
      </x:c>
      <x:c r="C696" t="str">
        <x:v>Småhus</x:v>
      </x:c>
      <x:c r="D696" t="str">
        <x:v>D</x:v>
      </x:c>
      <x:c r="E696" t="n">
        <x:v>2005</x:v>
      </x:c>
      <x:c r="F696" t="n">
        <x:v>199.36</x:v>
      </x:c>
      <x:c r="G696" t="str">
        <x:v>Simple</x:v>
      </x:c>
      <x:c r="H696" t="str">
        <x:v>Tre</x:v>
      </x:c>
      <x:c r="I696" t="str">
        <x:v>Årlig beregnet, ikke målt</x:v>
      </x:c>
      <x:c r="J696" t="str">
        <x:v>01012016_31122016enova.csv</x:v>
      </x:c>
    </x:row>
    <x:row r="697" ht="22" customHeight="1">
      <x:c r="A697" t="str">
        <x:v>87cca974eed4</x:v>
      </x:c>
      <x:c r="B697" t="n">
        <x:v>2016</x:v>
      </x:c>
      <x:c r="C697" t="str">
        <x:v>Småhus</x:v>
      </x:c>
      <x:c r="D697" t="str">
        <x:v>E</x:v>
      </x:c>
      <x:c r="E697" t="n">
        <x:v>1989</x:v>
      </x:c>
      <x:c r="F697" t="n">
        <x:v>223.22</x:v>
      </x:c>
      <x:c r="G697" t="str">
        <x:v>Simple</x:v>
      </x:c>
      <x:c r="H697" t="str">
        <x:v>Tre</x:v>
      </x:c>
      <x:c r="I697" t="str">
        <x:v>Årlig beregnet, ikke målt</x:v>
      </x:c>
      <x:c r="J697" t="str">
        <x:v>01012016_31122016enova.csv</x:v>
      </x:c>
    </x:row>
    <x:row r="698" ht="22" customHeight="1">
      <x:c r="A698" t="str">
        <x:v>84bbec2ad064</x:v>
      </x:c>
      <x:c r="B698" t="n">
        <x:v>2016</x:v>
      </x:c>
      <x:c r="C698" t="str">
        <x:v>Småhus</x:v>
      </x:c>
      <x:c r="D698" t="str">
        <x:v>E</x:v>
      </x:c>
      <x:c r="E698" t="n">
        <x:v>1965</x:v>
      </x:c>
      <x:c r="F698" t="n">
        <x:v>219.77</x:v>
      </x:c>
      <x:c r="G698" t="str">
        <x:v>Simple</x:v>
      </x:c>
      <x:c r="H698" t="str">
        <x:v>Tre</x:v>
      </x:c>
      <x:c r="I698" t="str">
        <x:v>Årlig beregnet, ikke målt</x:v>
      </x:c>
      <x:c r="J698" t="str">
        <x:v>01012016_31122016enova.csv</x:v>
      </x:c>
    </x:row>
    <x:row r="699" ht="22" customHeight="1">
      <x:c r="A699" t="str">
        <x:v>bf678d3cc308</x:v>
      </x:c>
      <x:c r="B699" t="n">
        <x:v>2016</x:v>
      </x:c>
      <x:c r="C699" t="str">
        <x:v>Småhus</x:v>
      </x:c>
      <x:c r="D699" t="str">
        <x:v>E</x:v>
      </x:c>
      <x:c r="E699" t="n">
        <x:v>1975</x:v>
      </x:c>
      <x:c r="F699" t="n">
        <x:v>225.3</x:v>
      </x:c>
      <x:c r="G699" t="str">
        <x:v>Simple</x:v>
      </x:c>
      <x:c r="H699" t="str">
        <x:v>Tre</x:v>
      </x:c>
      <x:c r="I699" t="str">
        <x:v>Årlig beregnet, ikke målt</x:v>
      </x:c>
      <x:c r="J699" t="str">
        <x:v>01012016_31122016enova.csv</x:v>
      </x:c>
    </x:row>
    <x:row r="700" ht="22" customHeight="1">
      <x:c r="A700" t="str">
        <x:v>b1728e90741a</x:v>
      </x:c>
      <x:c r="B700" t="n">
        <x:v>2016</x:v>
      </x:c>
      <x:c r="C700" t="str">
        <x:v>Småhus</x:v>
      </x:c>
      <x:c r="D700" t="str">
        <x:v>E</x:v>
      </x:c>
      <x:c r="E700" t="n">
        <x:v>1995</x:v>
      </x:c>
      <x:c r="F700" t="n">
        <x:v>202.27</x:v>
      </x:c>
      <x:c r="G700" t="str">
        <x:v>Simple</x:v>
      </x:c>
      <x:c r="H700" t="str">
        <x:v>Tre</x:v>
      </x:c>
      <x:c r="I700" t="str">
        <x:v>Årlig beregnet, ikke målt</x:v>
      </x:c>
      <x:c r="J700" t="str">
        <x:v>01012016_31122016enova.csv</x:v>
      </x:c>
    </x:row>
    <x:row r="701" ht="22" customHeight="1">
      <x:c r="A701" t="str">
        <x:v>893ecac6496e</x:v>
      </x:c>
      <x:c r="B701" t="n">
        <x:v>2016</x:v>
      </x:c>
      <x:c r="C701" t="str">
        <x:v>Småhus</x:v>
      </x:c>
      <x:c r="D701" t="str">
        <x:v>E</x:v>
      </x:c>
      <x:c r="E701" t="n">
        <x:v>1982</x:v>
      </x:c>
      <x:c r="F701" t="n">
        <x:v>222.7</x:v>
      </x:c>
      <x:c r="G701" t="str">
        <x:v>Simple</x:v>
      </x:c>
      <x:c r="H701" t="str">
        <x:v>Tre</x:v>
      </x:c>
      <x:c r="I701" t="str">
        <x:v>Årlig beregnet, ikke målt</x:v>
      </x:c>
      <x:c r="J701" t="str">
        <x:v>01012016_31122016enova.csv</x:v>
      </x:c>
    </x:row>
    <x:row r="702" ht="22" customHeight="1">
      <x:c r="A702" t="str">
        <x:v>8154ce05c887</x:v>
      </x:c>
      <x:c r="B702" t="n">
        <x:v>2016</x:v>
      </x:c>
      <x:c r="C702" t="str">
        <x:v>Småhus</x:v>
      </x:c>
      <x:c r="D702" t="str">
        <x:v>F</x:v>
      </x:c>
      <x:c r="E702" t="n">
        <x:v>1974</x:v>
      </x:c>
      <x:c r="F702" t="n">
        <x:v>281.37</x:v>
      </x:c>
      <x:c r="G702" t="str">
        <x:v>Simple</x:v>
      </x:c>
      <x:c r="H702" t="str">
        <x:v>Tre</x:v>
      </x:c>
      <x:c r="I702" t="str">
        <x:v>Årlig beregnet, ikke målt</x:v>
      </x:c>
      <x:c r="J702" t="str">
        <x:v>01012016_31122016enova.csv</x:v>
      </x:c>
    </x:row>
    <x:row r="703" ht="22" customHeight="1">
      <x:c r="A703" t="str">
        <x:v>87407c0dfd51</x:v>
      </x:c>
      <x:c r="B703" t="n">
        <x:v>2016</x:v>
      </x:c>
      <x:c r="C703" t="str">
        <x:v>Småhus</x:v>
      </x:c>
      <x:c r="D703" t="str">
        <x:v>F</x:v>
      </x:c>
      <x:c r="E703" t="n">
        <x:v>1983</x:v>
      </x:c>
      <x:c r="F703" t="n">
        <x:v>254.69</x:v>
      </x:c>
      <x:c r="G703" t="str">
        <x:v>Simple</x:v>
      </x:c>
      <x:c r="H703" t="str">
        <x:v>Tre</x:v>
      </x:c>
      <x:c r="I703" t="str">
        <x:v>Årlig beregnet, ikke målt</x:v>
      </x:c>
      <x:c r="J703" t="str">
        <x:v>01012016_31122016enova.csv</x:v>
      </x:c>
    </x:row>
    <x:row r="704" ht="22" customHeight="1">
      <x:c r="A704" t="str">
        <x:v>4dc77206523f</x:v>
      </x:c>
      <x:c r="B704" t="n">
        <x:v>2016</x:v>
      </x:c>
      <x:c r="C704" t="str">
        <x:v>Småhus</x:v>
      </x:c>
      <x:c r="D704" t="str">
        <x:v>F</x:v>
      </x:c>
      <x:c r="E704" t="n">
        <x:v>1993</x:v>
      </x:c>
      <x:c r="F704" t="n">
        <x:v>259.63</x:v>
      </x:c>
      <x:c r="G704" t="str">
        <x:v>Simple</x:v>
      </x:c>
      <x:c r="H704" t="str">
        <x:v>Tre</x:v>
      </x:c>
      <x:c r="I704" t="str">
        <x:v>Årlig beregnet, ikke målt</x:v>
      </x:c>
      <x:c r="J704" t="str">
        <x:v>01012016_31122016enova.csv</x:v>
      </x:c>
    </x:row>
    <x:row r="705" ht="22" customHeight="1">
      <x:c r="A705" t="str">
        <x:v>15c42e6485ee</x:v>
      </x:c>
      <x:c r="B705" t="n">
        <x:v>2016</x:v>
      </x:c>
      <x:c r="C705" t="str">
        <x:v>Småhus</x:v>
      </x:c>
      <x:c r="D705" t="str">
        <x:v>F</x:v>
      </x:c>
      <x:c r="E705" t="n">
        <x:v>1967</x:v>
      </x:c>
      <x:c r="F705" t="n">
        <x:v>261.8</x:v>
      </x:c>
      <x:c r="G705" t="str">
        <x:v>Simple</x:v>
      </x:c>
      <x:c r="H705" t="str">
        <x:v>Tre</x:v>
      </x:c>
      <x:c r="I705" t="str">
        <x:v>Årlig beregnet, ikke målt</x:v>
      </x:c>
      <x:c r="J705" t="str">
        <x:v>01012016_31122016enova.csv</x:v>
      </x:c>
    </x:row>
    <x:row r="706" ht="22" customHeight="1">
      <x:c r="A706" t="str">
        <x:v>e4faf8f10693</x:v>
      </x:c>
      <x:c r="B706" t="n">
        <x:v>2016</x:v>
      </x:c>
      <x:c r="C706" t="str">
        <x:v>Småhus</x:v>
      </x:c>
      <x:c r="D706" t="str">
        <x:v>F</x:v>
      </x:c>
      <x:c r="E706" t="n">
        <x:v>1987</x:v>
      </x:c>
      <x:c r="F706" t="n">
        <x:v>264.68</x:v>
      </x:c>
      <x:c r="G706" t="str">
        <x:v>Simple</x:v>
      </x:c>
      <x:c r="H706" t="str">
        <x:v>Tre</x:v>
      </x:c>
      <x:c r="I706" t="str">
        <x:v>Årlig beregnet, ikke målt</x:v>
      </x:c>
      <x:c r="J706" t="str">
        <x:v>01012016_31122016enova.csv</x:v>
      </x:c>
    </x:row>
    <x:row r="707" ht="22" customHeight="1">
      <x:c r="A707" t="str">
        <x:v>8bf0bd746516</x:v>
      </x:c>
      <x:c r="B707" t="n">
        <x:v>2016</x:v>
      </x:c>
      <x:c r="C707" t="str">
        <x:v>Småhus</x:v>
      </x:c>
      <x:c r="D707" t="str">
        <x:v>G</x:v>
      </x:c>
      <x:c r="E707" t="n">
        <x:v>1965</x:v>
      </x:c>
      <x:c r="F707" t="n">
        <x:v>343</x:v>
      </x:c>
      <x:c r="G707" t="str">
        <x:v>Simple</x:v>
      </x:c>
      <x:c r="H707" t="str">
        <x:v>Tre</x:v>
      </x:c>
      <x:c r="I707" t="str">
        <x:v>Årlig beregnet, ikke målt</x:v>
      </x:c>
      <x:c r="J707" t="str">
        <x:v>01012016_31122016enova.csv</x:v>
      </x:c>
    </x:row>
    <x:row r="708" ht="22" customHeight="1">
      <x:c r="A708" t="str">
        <x:v>a211f7bb1fdf</x:v>
      </x:c>
      <x:c r="B708" t="n">
        <x:v>2016</x:v>
      </x:c>
      <x:c r="C708" t="str">
        <x:v>Småhus</x:v>
      </x:c>
      <x:c r="D708" t="str">
        <x:v>G</x:v>
      </x:c>
      <x:c r="E708" t="n">
        <x:v>1955</x:v>
      </x:c>
      <x:c r="F708" t="n">
        <x:v>391.05</x:v>
      </x:c>
      <x:c r="G708" t="str">
        <x:v>Simple</x:v>
      </x:c>
      <x:c r="H708" t="str">
        <x:v>Tre</x:v>
      </x:c>
      <x:c r="I708" t="str">
        <x:v>Årlig beregnet, ikke målt</x:v>
      </x:c>
      <x:c r="J708" t="str">
        <x:v>01012016_31122016enova.csv</x:v>
      </x:c>
    </x:row>
    <x:row r="709" ht="22" customHeight="1">
      <x:c r="A709" t="str">
        <x:v>7b9fe7c434ad</x:v>
      </x:c>
      <x:c r="B709" t="n">
        <x:v>2016</x:v>
      </x:c>
      <x:c r="C709" t="str">
        <x:v>Småhus</x:v>
      </x:c>
      <x:c r="D709" t="str">
        <x:v>G</x:v>
      </x:c>
      <x:c r="E709" t="n">
        <x:v>1979</x:v>
      </x:c>
      <x:c r="F709" t="n">
        <x:v>357.09</x:v>
      </x:c>
      <x:c r="G709" t="str">
        <x:v>Simple</x:v>
      </x:c>
      <x:c r="H709" t="str">
        <x:v>Tre</x:v>
      </x:c>
      <x:c r="I709" t="str">
        <x:v>Årlig beregnet, ikke målt</x:v>
      </x:c>
      <x:c r="J709" t="str">
        <x:v>01012016_31122016enova.csv</x:v>
      </x:c>
    </x:row>
    <x:row r="710" ht="22" customHeight="1">
      <x:c r="A710" t="str">
        <x:v>3f34a4130a4f</x:v>
      </x:c>
      <x:c r="B710" t="n">
        <x:v>2016</x:v>
      </x:c>
      <x:c r="C710" t="str">
        <x:v>Småhus</x:v>
      </x:c>
      <x:c r="D710" t="str">
        <x:v>G</x:v>
      </x:c>
      <x:c r="E710" t="n">
        <x:v>1973</x:v>
      </x:c>
      <x:c r="F710" t="n">
        <x:v>677.33</x:v>
      </x:c>
      <x:c r="G710" t="str">
        <x:v>Simple</x:v>
      </x:c>
      <x:c r="H710" t="str">
        <x:v>Tre</x:v>
      </x:c>
      <x:c r="I710" t="str">
        <x:v>Årlig beregnet, ikke målt</x:v>
      </x:c>
      <x:c r="J710" t="str">
        <x:v>01012016_31122016enova.csv</x:v>
      </x:c>
    </x:row>
    <x:row r="711" ht="22" customHeight="1">
      <x:c r="A711" t="str">
        <x:v>583ee64cd6fb</x:v>
      </x:c>
      <x:c r="B711" t="n">
        <x:v>2016</x:v>
      </x:c>
      <x:c r="C711" t="str">
        <x:v>Småhus</x:v>
      </x:c>
      <x:c r="D711" t="str">
        <x:v>G</x:v>
      </x:c>
      <x:c r="E711" t="n">
        <x:v>1938</x:v>
      </x:c>
      <x:c r="F711" t="n">
        <x:v>497.02</x:v>
      </x:c>
      <x:c r="G711" t="str">
        <x:v>Simple</x:v>
      </x:c>
      <x:c r="H711" t="str">
        <x:v>Tre</x:v>
      </x:c>
      <x:c r="I711" t="str">
        <x:v>Årlig beregnet, ikke målt</x:v>
      </x:c>
      <x:c r="J711" t="str">
        <x:v>01012016_31122016enova.csv</x:v>
      </x:c>
    </x:row>
    <x:row r="712" ht="22" customHeight="1">
      <x:c r="A712" t="str">
        <x:v>347a7a26a025</x:v>
      </x:c>
      <x:c r="B712" t="n">
        <x:v>2016</x:v>
      </x:c>
      <x:c r="C712" t="str">
        <x:v>Sykehjem</x:v>
      </x:c>
      <x:c r="D712" t="str">
        <x:v>B</x:v>
      </x:c>
      <x:c r="E712" t="n">
        <x:v>1978</x:v>
      </x:c>
      <x:c r="F712" t="n">
        <x:v>190.3</x:v>
      </x:c>
      <x:c r="G712" t="str">
        <x:v>Simple</x:v>
      </x:c>
      <x:c r="H712" t="str"/>
      <x:c r="I712" t="str">
        <x:v>Årlig beregnet, ikke målt</x:v>
      </x:c>
      <x:c r="J712" t="str">
        <x:v>01012016_31122016enova.csv</x:v>
      </x:c>
    </x:row>
    <x:row r="713" ht="22" customHeight="1">
      <x:c r="A713" t="str">
        <x:v>58560125c232</x:v>
      </x:c>
      <x:c r="B713" t="n">
        <x:v>2016</x:v>
      </x:c>
      <x:c r="C713" t="str">
        <x:v>Sykehjem</x:v>
      </x:c>
      <x:c r="D713" t="str">
        <x:v>B</x:v>
      </x:c>
      <x:c r="E713" t="n">
        <x:v>2000</x:v>
      </x:c>
      <x:c r="F713" t="n">
        <x:v>168.4</x:v>
      </x:c>
      <x:c r="G713" t="str">
        <x:v>Simple</x:v>
      </x:c>
      <x:c r="H713" t="str"/>
      <x:c r="I713" t="str">
        <x:v>Årlig beregnet, ikke målt</x:v>
      </x:c>
      <x:c r="J713" t="str">
        <x:v>01012016_31122016enova.csv</x:v>
      </x:c>
    </x:row>
    <x:row r="714" ht="22" customHeight="1">
      <x:c r="A714" t="str">
        <x:v>0d9beced2677</x:v>
      </x:c>
      <x:c r="B714" t="n">
        <x:v>2016</x:v>
      </x:c>
      <x:c r="C714" t="str">
        <x:v>Sykehjem</x:v>
      </x:c>
      <x:c r="D714" t="str">
        <x:v>B</x:v>
      </x:c>
      <x:c r="E714" t="n">
        <x:v>2016</x:v>
      </x:c>
      <x:c r="F714" t="n">
        <x:v>154.3</x:v>
      </x:c>
      <x:c r="G714" t="str">
        <x:v>Simple</x:v>
      </x:c>
      <x:c r="H714" t="str"/>
      <x:c r="I714" t="str">
        <x:v>Årlig beregnet, ikke målt</x:v>
      </x:c>
      <x:c r="J714" t="str">
        <x:v>01012016_31122016enova.csv</x:v>
      </x:c>
    </x:row>
    <x:row r="715" ht="22" customHeight="1">
      <x:c r="A715" t="str">
        <x:v>55074d0c30a6</x:v>
      </x:c>
      <x:c r="B715" t="n">
        <x:v>2016</x:v>
      </x:c>
      <x:c r="C715" t="str">
        <x:v>Sykehjem</x:v>
      </x:c>
      <x:c r="D715" t="str">
        <x:v>B</x:v>
      </x:c>
      <x:c r="E715" t="n">
        <x:v>2016</x:v>
      </x:c>
      <x:c r="F715" t="n">
        <x:v>179.5</x:v>
      </x:c>
      <x:c r="G715" t="str">
        <x:v>Simple</x:v>
      </x:c>
      <x:c r="H715" t="str"/>
      <x:c r="I715" t="str">
        <x:v>Årlig beregnet, ikke målt</x:v>
      </x:c>
      <x:c r="J715" t="str">
        <x:v>01012016_31122016enova.csv</x:v>
      </x:c>
    </x:row>
    <x:row r="716" ht="22" customHeight="1">
      <x:c r="A716" t="str">
        <x:v>c6845edb3a83</x:v>
      </x:c>
      <x:c r="B716" t="n">
        <x:v>2016</x:v>
      </x:c>
      <x:c r="C716" t="str">
        <x:v>Sykehjem</x:v>
      </x:c>
      <x:c r="D716" t="str">
        <x:v>B</x:v>
      </x:c>
      <x:c r="E716" t="n">
        <x:v>2016</x:v>
      </x:c>
      <x:c r="F716" t="n">
        <x:v>174.3</x:v>
      </x:c>
      <x:c r="G716" t="str">
        <x:v>Simple</x:v>
      </x:c>
      <x:c r="H716" t="str"/>
      <x:c r="I716" t="str">
        <x:v>Årlig beregnet, ikke målt</x:v>
      </x:c>
      <x:c r="J716" t="str">
        <x:v>01012016_31122016enova.csv</x:v>
      </x:c>
    </x:row>
    <x:row r="717" ht="22" customHeight="1">
      <x:c r="A717" t="str">
        <x:v>237fbc379303</x:v>
      </x:c>
      <x:c r="B717" t="n">
        <x:v>2016</x:v>
      </x:c>
      <x:c r="C717" t="str">
        <x:v>Sykehjem</x:v>
      </x:c>
      <x:c r="D717" t="str">
        <x:v>C</x:v>
      </x:c>
      <x:c r="E717" t="n">
        <x:v>1986</x:v>
      </x:c>
      <x:c r="F717" t="n">
        <x:v>234</x:v>
      </x:c>
      <x:c r="G717" t="str">
        <x:v>Simple</x:v>
      </x:c>
      <x:c r="H717" t="str"/>
      <x:c r="I717" t="str">
        <x:v>Årlig beregnet, ikke målt</x:v>
      </x:c>
      <x:c r="J717" t="str">
        <x:v>01012016_31122016enova.csv</x:v>
      </x:c>
    </x:row>
    <x:row r="718" ht="22" customHeight="1">
      <x:c r="A718" t="str">
        <x:v>4af2cd6dea05</x:v>
      </x:c>
      <x:c r="B718" t="n">
        <x:v>2016</x:v>
      </x:c>
      <x:c r="C718" t="str">
        <x:v>Sykehjem</x:v>
      </x:c>
      <x:c r="D718" t="str">
        <x:v>C</x:v>
      </x:c>
      <x:c r="E718" t="n">
        <x:v>2012</x:v>
      </x:c>
      <x:c r="F718" t="n">
        <x:v>213.8</x:v>
      </x:c>
      <x:c r="G718" t="str">
        <x:v>Simple</x:v>
      </x:c>
      <x:c r="H718" t="str"/>
      <x:c r="I718" t="str">
        <x:v>Årlig beregnet, ikke målt</x:v>
      </x:c>
      <x:c r="J718" t="str">
        <x:v>01012016_31122016enova.csv</x:v>
      </x:c>
    </x:row>
    <x:row r="719" ht="22" customHeight="1">
      <x:c r="A719" t="str">
        <x:v>2c76339594f7</x:v>
      </x:c>
      <x:c r="B719" t="n">
        <x:v>2016</x:v>
      </x:c>
      <x:c r="C719" t="str">
        <x:v>Sykehjem</x:v>
      </x:c>
      <x:c r="D719" t="str">
        <x:v>C</x:v>
      </x:c>
      <x:c r="E719" t="n">
        <x:v>2003</x:v>
      </x:c>
      <x:c r="F719" t="n">
        <x:v>201</x:v>
      </x:c>
      <x:c r="G719" t="str">
        <x:v>Simple</x:v>
      </x:c>
      <x:c r="H719" t="str"/>
      <x:c r="I719" t="str">
        <x:v>Årlig beregnet, ikke målt</x:v>
      </x:c>
      <x:c r="J719" t="str">
        <x:v>01012016_31122016enova.csv</x:v>
      </x:c>
    </x:row>
    <x:row r="720" ht="22" customHeight="1">
      <x:c r="A720" t="str">
        <x:v>97f3a87b7b58</x:v>
      </x:c>
      <x:c r="B720" t="n">
        <x:v>2016</x:v>
      </x:c>
      <x:c r="C720" t="str">
        <x:v>Sykehjem</x:v>
      </x:c>
      <x:c r="D720" t="str">
        <x:v>C</x:v>
      </x:c>
      <x:c r="E720" t="n">
        <x:v>2000</x:v>
      </x:c>
      <x:c r="F720" t="n">
        <x:v>220</x:v>
      </x:c>
      <x:c r="G720" t="str">
        <x:v>Simple</x:v>
      </x:c>
      <x:c r="H720" t="str"/>
      <x:c r="I720" t="str">
        <x:v>Årlig beregnet, ikke målt</x:v>
      </x:c>
      <x:c r="J720" t="str">
        <x:v>01012016_31122016enova.csv</x:v>
      </x:c>
    </x:row>
    <x:row r="721" ht="22" customHeight="1">
      <x:c r="A721" t="str">
        <x:v>5d9ec8f68668</x:v>
      </x:c>
      <x:c r="B721" t="n">
        <x:v>2016</x:v>
      </x:c>
      <x:c r="C721" t="str">
        <x:v>Sykehjem</x:v>
      </x:c>
      <x:c r="D721" t="str">
        <x:v>C</x:v>
      </x:c>
      <x:c r="E721" t="n">
        <x:v>2010</x:v>
      </x:c>
      <x:c r="F721" t="n">
        <x:v>217.2</x:v>
      </x:c>
      <x:c r="G721" t="str">
        <x:v>Simple</x:v>
      </x:c>
      <x:c r="H721" t="str"/>
      <x:c r="I721" t="str">
        <x:v>Årlig beregnet, ikke målt</x:v>
      </x:c>
      <x:c r="J721" t="str">
        <x:v>01012016_31122016enova.csv</x:v>
      </x:c>
    </x:row>
    <x:row r="722" ht="22" customHeight="1">
      <x:c r="A722" t="str">
        <x:v>2f0100527a67</x:v>
      </x:c>
      <x:c r="B722" t="n">
        <x:v>2016</x:v>
      </x:c>
      <x:c r="C722" t="str">
        <x:v>Sykehjem</x:v>
      </x:c>
      <x:c r="D722" t="str">
        <x:v>D</x:v>
      </x:c>
      <x:c r="E722" t="n">
        <x:v>2003</x:v>
      </x:c>
      <x:c r="F722" t="n">
        <x:v>248.8</x:v>
      </x:c>
      <x:c r="G722" t="str">
        <x:v>Simple</x:v>
      </x:c>
      <x:c r="H722" t="str"/>
      <x:c r="I722" t="str">
        <x:v>Årlig beregnet, ikke målt</x:v>
      </x:c>
      <x:c r="J722" t="str">
        <x:v>01012016_31122016enova.csv</x:v>
      </x:c>
    </x:row>
    <x:row r="723" ht="22" customHeight="1">
      <x:c r="A723" t="str">
        <x:v>d0d6983cf10f</x:v>
      </x:c>
      <x:c r="B723" t="n">
        <x:v>2016</x:v>
      </x:c>
      <x:c r="C723" t="str">
        <x:v>Sykehjem</x:v>
      </x:c>
      <x:c r="D723" t="str">
        <x:v>D</x:v>
      </x:c>
      <x:c r="E723" t="n">
        <x:v>1965</x:v>
      </x:c>
      <x:c r="F723" t="n">
        <x:v>267.7</x:v>
      </x:c>
      <x:c r="G723" t="str">
        <x:v>Simple</x:v>
      </x:c>
      <x:c r="H723" t="str"/>
      <x:c r="I723" t="str">
        <x:v>Årlig beregnet, ikke målt</x:v>
      </x:c>
      <x:c r="J723" t="str">
        <x:v>01012016_31122016enova.csv</x:v>
      </x:c>
    </x:row>
    <x:row r="724" ht="22" customHeight="1">
      <x:c r="A724" t="str">
        <x:v>0b77bc0c2bbf</x:v>
      </x:c>
      <x:c r="B724" t="n">
        <x:v>2016</x:v>
      </x:c>
      <x:c r="C724" t="str">
        <x:v>Sykehjem</x:v>
      </x:c>
      <x:c r="D724" t="str">
        <x:v>D</x:v>
      </x:c>
      <x:c r="E724" t="n">
        <x:v>1996</x:v>
      </x:c>
      <x:c r="F724" t="n">
        <x:v>285.3</x:v>
      </x:c>
      <x:c r="G724" t="str">
        <x:v>Simple</x:v>
      </x:c>
      <x:c r="H724" t="str"/>
      <x:c r="I724" t="str">
        <x:v>Årlig beregnet, ikke målt</x:v>
      </x:c>
      <x:c r="J724" t="str">
        <x:v>01012016_31122016enova.csv</x:v>
      </x:c>
    </x:row>
    <x:row r="725" ht="22" customHeight="1">
      <x:c r="A725" t="str">
        <x:v>d9fe15be7d33</x:v>
      </x:c>
      <x:c r="B725" t="n">
        <x:v>2016</x:v>
      </x:c>
      <x:c r="C725" t="str">
        <x:v>Sykehjem</x:v>
      </x:c>
      <x:c r="D725" t="str">
        <x:v>D</x:v>
      </x:c>
      <x:c r="E725" t="n">
        <x:v>1969</x:v>
      </x:c>
      <x:c r="F725" t="n">
        <x:v>284.9</x:v>
      </x:c>
      <x:c r="G725" t="str">
        <x:v>Simple</x:v>
      </x:c>
      <x:c r="H725" t="str"/>
      <x:c r="I725" t="str">
        <x:v>Årlig beregnet, ikke målt</x:v>
      </x:c>
      <x:c r="J725" t="str">
        <x:v>01012016_31122016enova.csv</x:v>
      </x:c>
    </x:row>
    <x:row r="726" ht="22" customHeight="1">
      <x:c r="A726" t="str">
        <x:v>07af4e0292ec</x:v>
      </x:c>
      <x:c r="B726" t="n">
        <x:v>2016</x:v>
      </x:c>
      <x:c r="C726" t="str">
        <x:v>Sykehjem</x:v>
      </x:c>
      <x:c r="D726" t="str">
        <x:v>D</x:v>
      </x:c>
      <x:c r="E726" t="n">
        <x:v>2000</x:v>
      </x:c>
      <x:c r="F726" t="n">
        <x:v>257.1</x:v>
      </x:c>
      <x:c r="G726" t="str">
        <x:v>Simple</x:v>
      </x:c>
      <x:c r="H726" t="str"/>
      <x:c r="I726" t="str">
        <x:v>Årlig beregnet, ikke målt</x:v>
      </x:c>
      <x:c r="J726" t="str">
        <x:v>01012016_31122016enova.csv</x:v>
      </x:c>
    </x:row>
    <x:row r="727" ht="22" customHeight="1">
      <x:c r="A727" t="str">
        <x:v>de495afb95fd</x:v>
      </x:c>
      <x:c r="B727" t="n">
        <x:v>2016</x:v>
      </x:c>
      <x:c r="C727" t="str">
        <x:v>Sykehjem</x:v>
      </x:c>
      <x:c r="D727" t="str">
        <x:v>E</x:v>
      </x:c>
      <x:c r="E727" t="n">
        <x:v>2000</x:v>
      </x:c>
      <x:c r="F727" t="n">
        <x:v>322.8</x:v>
      </x:c>
      <x:c r="G727" t="str">
        <x:v>Simple</x:v>
      </x:c>
      <x:c r="H727" t="str"/>
      <x:c r="I727" t="str">
        <x:v>Årlig beregnet, ikke målt</x:v>
      </x:c>
      <x:c r="J727" t="str">
        <x:v>01012016_31122016enova.csv</x:v>
      </x:c>
    </x:row>
    <x:row r="728" ht="22" customHeight="1">
      <x:c r="A728" t="str">
        <x:v>95f53da52217</x:v>
      </x:c>
      <x:c r="B728" t="n">
        <x:v>2016</x:v>
      </x:c>
      <x:c r="C728" t="str">
        <x:v>Sykehjem</x:v>
      </x:c>
      <x:c r="D728" t="str">
        <x:v>E</x:v>
      </x:c>
      <x:c r="E728" t="n">
        <x:v>2000</x:v>
      </x:c>
      <x:c r="F728" t="n">
        <x:v>322.8</x:v>
      </x:c>
      <x:c r="G728" t="str">
        <x:v>Simple</x:v>
      </x:c>
      <x:c r="H728" t="str"/>
      <x:c r="I728" t="str">
        <x:v>Årlig beregnet, ikke målt</x:v>
      </x:c>
      <x:c r="J728" t="str">
        <x:v>01012016_31122016enova.csv</x:v>
      </x:c>
    </x:row>
    <x:row r="729" ht="22" customHeight="1">
      <x:c r="A729" t="str">
        <x:v>abdf07f815ad</x:v>
      </x:c>
      <x:c r="B729" t="n">
        <x:v>2016</x:v>
      </x:c>
      <x:c r="C729" t="str">
        <x:v>Sykehjem</x:v>
      </x:c>
      <x:c r="D729" t="str">
        <x:v>E</x:v>
      </x:c>
      <x:c r="E729" t="n">
        <x:v>2004</x:v>
      </x:c>
      <x:c r="F729" t="n">
        <x:v>295.2</x:v>
      </x:c>
      <x:c r="G729" t="str">
        <x:v>Simple</x:v>
      </x:c>
      <x:c r="H729" t="str"/>
      <x:c r="I729" t="str">
        <x:v>Årlig beregnet, ikke målt</x:v>
      </x:c>
      <x:c r="J729" t="str">
        <x:v>01012016_31122016enova.csv</x:v>
      </x:c>
    </x:row>
    <x:row r="730" ht="22" customHeight="1">
      <x:c r="A730" t="str">
        <x:v>0dc6f573f736</x:v>
      </x:c>
      <x:c r="B730" t="n">
        <x:v>2016</x:v>
      </x:c>
      <x:c r="C730" t="str">
        <x:v>Sykehjem</x:v>
      </x:c>
      <x:c r="D730" t="str">
        <x:v>E</x:v>
      </x:c>
      <x:c r="E730" t="n">
        <x:v>1957</x:v>
      </x:c>
      <x:c r="F730" t="n">
        <x:v>348</x:v>
      </x:c>
      <x:c r="G730" t="str">
        <x:v>Simple</x:v>
      </x:c>
      <x:c r="H730" t="str"/>
      <x:c r="I730" t="str">
        <x:v>Årlig beregnet, ikke målt</x:v>
      </x:c>
      <x:c r="J730" t="str">
        <x:v>01012016_31122016enova.csv</x:v>
      </x:c>
    </x:row>
    <x:row r="731" ht="22" customHeight="1">
      <x:c r="A731" t="str">
        <x:v>70c264803545</x:v>
      </x:c>
      <x:c r="B731" t="n">
        <x:v>2016</x:v>
      </x:c>
      <x:c r="C731" t="str">
        <x:v>Sykehjem</x:v>
      </x:c>
      <x:c r="D731" t="str">
        <x:v>F</x:v>
      </x:c>
      <x:c r="E731" t="n">
        <x:v>1984</x:v>
      </x:c>
      <x:c r="F731" t="n">
        <x:v>398.6</x:v>
      </x:c>
      <x:c r="G731" t="str">
        <x:v>Advanced</x:v>
      </x:c>
      <x:c r="H731" t="str"/>
      <x:c r="I731" t="str">
        <x:v>Årlig beregnet, ikke målt</x:v>
      </x:c>
      <x:c r="J731" t="str">
        <x:v>01012016_31122016enova.csv</x:v>
      </x:c>
    </x:row>
    <x:row r="732" ht="22" customHeight="1">
      <x:c r="A732" t="str">
        <x:v>d8a6115a7460</x:v>
      </x:c>
      <x:c r="B732" t="n">
        <x:v>2016</x:v>
      </x:c>
      <x:c r="C732" t="str">
        <x:v>Sykehjem</x:v>
      </x:c>
      <x:c r="D732" t="str">
        <x:v>F</x:v>
      </x:c>
      <x:c r="E732" t="n">
        <x:v>1984</x:v>
      </x:c>
      <x:c r="F732" t="n">
        <x:v>398.6</x:v>
      </x:c>
      <x:c r="G732" t="str">
        <x:v>Advanced</x:v>
      </x:c>
      <x:c r="H732" t="str"/>
      <x:c r="I732" t="str">
        <x:v>Årlig beregnet, ikke målt</x:v>
      </x:c>
      <x:c r="J732" t="str">
        <x:v>01012016_31122016enova.csv</x:v>
      </x:c>
    </x:row>
    <x:row r="733" ht="22" customHeight="1">
      <x:c r="A733" t="str">
        <x:v>d238bf769ab4</x:v>
      </x:c>
      <x:c r="B733" t="n">
        <x:v>2016</x:v>
      </x:c>
      <x:c r="C733" t="str">
        <x:v>Sykehjem</x:v>
      </x:c>
      <x:c r="D733" t="str">
        <x:v>F</x:v>
      </x:c>
      <x:c r="E733" t="n">
        <x:v>1983</x:v>
      </x:c>
      <x:c r="F733" t="n">
        <x:v>357.6</x:v>
      </x:c>
      <x:c r="G733" t="str">
        <x:v>Simple</x:v>
      </x:c>
      <x:c r="H733" t="str"/>
      <x:c r="I733" t="str">
        <x:v>Årlig beregnet, ikke målt</x:v>
      </x:c>
      <x:c r="J733" t="str">
        <x:v>01012016_31122016enova.csv</x:v>
      </x:c>
    </x:row>
    <x:row r="734" ht="22" customHeight="1">
      <x:c r="A734" t="str">
        <x:v>b7744098828a</x:v>
      </x:c>
      <x:c r="B734" t="n">
        <x:v>2016</x:v>
      </x:c>
      <x:c r="C734" t="str">
        <x:v>Sykehjem</x:v>
      </x:c>
      <x:c r="D734" t="str">
        <x:v>F</x:v>
      </x:c>
      <x:c r="E734" t="n">
        <x:v>2000</x:v>
      </x:c>
      <x:c r="F734" t="n">
        <x:v>406.9</x:v>
      </x:c>
      <x:c r="G734" t="str">
        <x:v>Simple</x:v>
      </x:c>
      <x:c r="H734" t="str"/>
      <x:c r="I734" t="str">
        <x:v>Årlig beregnet, ikke målt</x:v>
      </x:c>
      <x:c r="J734" t="str">
        <x:v>01012016_31122016enova.csv</x:v>
      </x:c>
    </x:row>
    <x:row r="735" ht="22" customHeight="1">
      <x:c r="A735" t="str">
        <x:v>48b46f690ded</x:v>
      </x:c>
      <x:c r="B735" t="n">
        <x:v>2016</x:v>
      </x:c>
      <x:c r="C735" t="str">
        <x:v>Sykehjem</x:v>
      </x:c>
      <x:c r="D735" t="str">
        <x:v>F</x:v>
      </x:c>
      <x:c r="E735" t="n">
        <x:v>2000</x:v>
      </x:c>
      <x:c r="F735" t="n">
        <x:v>366.9</x:v>
      </x:c>
      <x:c r="G735" t="str">
        <x:v>Simple</x:v>
      </x:c>
      <x:c r="H735" t="str"/>
      <x:c r="I735" t="str">
        <x:v>Årlig beregnet, ikke målt</x:v>
      </x:c>
      <x:c r="J735" t="str">
        <x:v>01012016_31122016enova.csv</x:v>
      </x:c>
    </x:row>
    <x:row r="736" ht="22" customHeight="1">
      <x:c r="A736" t="str">
        <x:v>eafc94323146</x:v>
      </x:c>
      <x:c r="B736" t="n">
        <x:v>2016</x:v>
      </x:c>
      <x:c r="C736" t="str">
        <x:v>Sykehus</x:v>
      </x:c>
      <x:c r="D736" t="str">
        <x:v>C</x:v>
      </x:c>
      <x:c r="E736" t="n">
        <x:v>2016</x:v>
      </x:c>
      <x:c r="F736" t="n">
        <x:v>279</x:v>
      </x:c>
      <x:c r="G736" t="str">
        <x:v>Advanced</x:v>
      </x:c>
      <x:c r="H736" t="str"/>
      <x:c r="I736" t="str">
        <x:v>Årlig beregnet, ikke målt</x:v>
      </x:c>
      <x:c r="J736" t="str">
        <x:v>01012016_31122016enova.csv</x:v>
      </x:c>
    </x:row>
    <x:row r="737" ht="22" customHeight="1">
      <x:c r="A737" t="str">
        <x:v>5ec81346b549</x:v>
      </x:c>
      <x:c r="B737" t="n">
        <x:v>2016</x:v>
      </x:c>
      <x:c r="C737" t="str">
        <x:v>Sykehus</x:v>
      </x:c>
      <x:c r="D737" t="str">
        <x:v>C</x:v>
      </x:c>
      <x:c r="E737" t="n">
        <x:v>2008</x:v>
      </x:c>
      <x:c r="F737" t="n">
        <x:v>250.4</x:v>
      </x:c>
      <x:c r="G737" t="str">
        <x:v>Simple</x:v>
      </x:c>
      <x:c r="H737" t="str"/>
      <x:c r="I737" t="str">
        <x:v>Årlig beregnet, ikke målt</x:v>
      </x:c>
      <x:c r="J737" t="str">
        <x:v>01012016_31122016enova.csv</x:v>
      </x:c>
    </x:row>
    <x:row r="738" ht="22" customHeight="1">
      <x:c r="A738" t="str">
        <x:v>4f9dfefbb9c9</x:v>
      </x:c>
      <x:c r="B738" t="n">
        <x:v>2016</x:v>
      </x:c>
      <x:c r="C738" t="str">
        <x:v>Sykehus</x:v>
      </x:c>
      <x:c r="D738" t="str">
        <x:v>C</x:v>
      </x:c>
      <x:c r="E738" t="n">
        <x:v>2003</x:v>
      </x:c>
      <x:c r="F738" t="n">
        <x:v>294.3</x:v>
      </x:c>
      <x:c r="G738" t="str">
        <x:v>Simple</x:v>
      </x:c>
      <x:c r="H738" t="str"/>
      <x:c r="I738" t="str">
        <x:v>Årlig beregnet, ikke målt</x:v>
      </x:c>
      <x:c r="J738" t="str">
        <x:v>01012016_31122016enova.csv</x:v>
      </x:c>
    </x:row>
    <x:row r="739" ht="22" customHeight="1">
      <x:c r="A739" t="str">
        <x:v>2e20e8249b05</x:v>
      </x:c>
      <x:c r="B739" t="n">
        <x:v>2016</x:v>
      </x:c>
      <x:c r="C739" t="str">
        <x:v>Sykehus</x:v>
      </x:c>
      <x:c r="D739" t="str">
        <x:v>C</x:v>
      </x:c>
      <x:c r="E739" t="n">
        <x:v>2016</x:v>
      </x:c>
      <x:c r="F739" t="n">
        <x:v>304</x:v>
      </x:c>
      <x:c r="G739" t="str">
        <x:v>Advanced</x:v>
      </x:c>
      <x:c r="H739" t="str"/>
      <x:c r="I739" t="str">
        <x:v>Årlig beregnet, ikke målt</x:v>
      </x:c>
      <x:c r="J739" t="str">
        <x:v>01012016_31122016enova.csv</x:v>
      </x:c>
    </x:row>
    <x:row r="740" ht="22" customHeight="1">
      <x:c r="A740" t="str">
        <x:v>5222aa4b7319</x:v>
      </x:c>
      <x:c r="B740" t="n">
        <x:v>2016</x:v>
      </x:c>
      <x:c r="C740" t="str">
        <x:v>Sykehus</x:v>
      </x:c>
      <x:c r="D740" t="str">
        <x:v>C</x:v>
      </x:c>
      <x:c r="E740" t="n">
        <x:v>2015</x:v>
      </x:c>
      <x:c r="F740" t="n">
        <x:v>284.8</x:v>
      </x:c>
      <x:c r="G740" t="str">
        <x:v>Simple</x:v>
      </x:c>
      <x:c r="H740" t="str"/>
      <x:c r="I740" t="str">
        <x:v>Årlig beregnet, ikke målt</x:v>
      </x:c>
      <x:c r="J740" t="str">
        <x:v>01012016_31122016enova.csv</x:v>
      </x:c>
    </x:row>
    <x:row r="741" ht="22" customHeight="1">
      <x:c r="A741" t="str">
        <x:v>19e7ac9bda33</x:v>
      </x:c>
      <x:c r="B741" t="n">
        <x:v>2016</x:v>
      </x:c>
      <x:c r="C741" t="str">
        <x:v>Sykehus</x:v>
      </x:c>
      <x:c r="D741" t="str">
        <x:v>D</x:v>
      </x:c>
      <x:c r="E741" t="n">
        <x:v>2002</x:v>
      </x:c>
      <x:c r="F741" t="n">
        <x:v>320</x:v>
      </x:c>
      <x:c r="G741" t="str">
        <x:v>Simple</x:v>
      </x:c>
      <x:c r="H741" t="str"/>
      <x:c r="I741" t="str">
        <x:v>Årlig beregnet, ikke målt</x:v>
      </x:c>
      <x:c r="J741" t="str">
        <x:v>01012016_31122016enova.csv</x:v>
      </x:c>
    </x:row>
    <x:row r="742" ht="22" customHeight="1">
      <x:c r="A742" t="str">
        <x:v>2c356fc1e4c1</x:v>
      </x:c>
      <x:c r="B742" t="n">
        <x:v>2016</x:v>
      </x:c>
      <x:c r="C742" t="str">
        <x:v>Sykehus</x:v>
      </x:c>
      <x:c r="D742" t="str">
        <x:v>D</x:v>
      </x:c>
      <x:c r="E742" t="n">
        <x:v>1963</x:v>
      </x:c>
      <x:c r="F742" t="n">
        <x:v>344.9</x:v>
      </x:c>
      <x:c r="G742" t="str">
        <x:v>Simple</x:v>
      </x:c>
      <x:c r="H742" t="str"/>
      <x:c r="I742" t="str">
        <x:v>Årlig beregnet, ikke målt</x:v>
      </x:c>
      <x:c r="J742" t="str">
        <x:v>01012016_31122016enova.csv</x:v>
      </x:c>
    </x:row>
    <x:row r="743" ht="22" customHeight="1">
      <x:c r="A743" t="str">
        <x:v>a332b49fc4ec</x:v>
      </x:c>
      <x:c r="B743" t="n">
        <x:v>2016</x:v>
      </x:c>
      <x:c r="C743" t="str">
        <x:v>Sykehus</x:v>
      </x:c>
      <x:c r="D743" t="str">
        <x:v>D</x:v>
      </x:c>
      <x:c r="E743" t="n">
        <x:v>1955</x:v>
      </x:c>
      <x:c r="F743" t="n">
        <x:v>313.1</x:v>
      </x:c>
      <x:c r="G743" t="str">
        <x:v>Simple</x:v>
      </x:c>
      <x:c r="H743" t="str"/>
      <x:c r="I743" t="str">
        <x:v>Årlig beregnet, ikke målt</x:v>
      </x:c>
      <x:c r="J743" t="str">
        <x:v>01012016_31122016enova.csv</x:v>
      </x:c>
    </x:row>
    <x:row r="744" ht="22" customHeight="1">
      <x:c r="A744" t="str">
        <x:v>96112fcf8974</x:v>
      </x:c>
      <x:c r="B744" t="n">
        <x:v>2016</x:v>
      </x:c>
      <x:c r="C744" t="str">
        <x:v>Sykehus</x:v>
      </x:c>
      <x:c r="D744" t="str">
        <x:v>D</x:v>
      </x:c>
      <x:c r="E744" t="n">
        <x:v>1857</x:v>
      </x:c>
      <x:c r="F744" t="n">
        <x:v>319.3</x:v>
      </x:c>
      <x:c r="G744" t="str">
        <x:v>Simple</x:v>
      </x:c>
      <x:c r="H744" t="str"/>
      <x:c r="I744" t="str">
        <x:v>Årlig beregnet, ikke målt</x:v>
      </x:c>
      <x:c r="J744" t="str">
        <x:v>01012016_31122016enova.csv</x:v>
      </x:c>
    </x:row>
    <x:row r="745" ht="22" customHeight="1">
      <x:c r="A745" t="str">
        <x:v>5d23e6f3b1dd</x:v>
      </x:c>
      <x:c r="B745" t="n">
        <x:v>2016</x:v>
      </x:c>
      <x:c r="C745" t="str">
        <x:v>Sykehus</x:v>
      </x:c>
      <x:c r="D745" t="str">
        <x:v>E</x:v>
      </x:c>
      <x:c r="E745" t="n">
        <x:v>1952</x:v>
      </x:c>
      <x:c r="F745" t="n">
        <x:v>383.5</x:v>
      </x:c>
      <x:c r="G745" t="str">
        <x:v>Advanced</x:v>
      </x:c>
      <x:c r="H745" t="str"/>
      <x:c r="I745" t="str">
        <x:v>Årlig beregnet, ikke målt</x:v>
      </x:c>
      <x:c r="J745" t="str">
        <x:v>01012016_31122016enova.csv</x:v>
      </x:c>
    </x:row>
    <x:row r="746" ht="22" customHeight="1">
      <x:c r="A746" t="str">
        <x:v>c481cfea139c</x:v>
      </x:c>
      <x:c r="B746" t="n">
        <x:v>2016</x:v>
      </x:c>
      <x:c r="C746" t="str">
        <x:v>Universitets- Og Høgskolebygg</x:v>
      </x:c>
      <x:c r="D746" t="str">
        <x:v>A</x:v>
      </x:c>
      <x:c r="E746" t="n">
        <x:v>2015</x:v>
      </x:c>
      <x:c r="F746" t="n">
        <x:v>85.6</x:v>
      </x:c>
      <x:c r="G746" t="str">
        <x:v>Simple</x:v>
      </x:c>
      <x:c r="H746" t="str"/>
      <x:c r="I746" t="str">
        <x:v>Årlig beregnet, ikke målt</x:v>
      </x:c>
      <x:c r="J746" t="str">
        <x:v>01012016_31122016enova.csv</x:v>
      </x:c>
    </x:row>
    <x:row r="747" ht="22" customHeight="1">
      <x:c r="A747" t="str">
        <x:v>c75d3d46ab8b</x:v>
      </x:c>
      <x:c r="B747" t="n">
        <x:v>2016</x:v>
      </x:c>
      <x:c r="C747" t="str">
        <x:v>Universitets- Og Høgskolebygg</x:v>
      </x:c>
      <x:c r="D747" t="str">
        <x:v>D</x:v>
      </x:c>
      <x:c r="E747" t="n">
        <x:v>1996</x:v>
      </x:c>
      <x:c r="F747" t="n">
        <x:v>191</x:v>
      </x:c>
      <x:c r="G747" t="str">
        <x:v>Simple</x:v>
      </x:c>
      <x:c r="H747" t="str"/>
      <x:c r="I747" t="str">
        <x:v>Årlig beregnet, ikke målt</x:v>
      </x:c>
      <x:c r="J747" t="str">
        <x:v>01012016_31122016enova.csv</x:v>
      </x:c>
    </x:row>
    <x:row r="748" ht="22" customHeight="1">
      <x:c r="A748" t="str">
        <x:v>826d162d64de</x:v>
      </x:c>
      <x:c r="B748" t="n">
        <x:v>2016</x:v>
      </x:c>
      <x:c r="C748" t="str">
        <x:v>Universitets- Og Høgskolebygg</x:v>
      </x:c>
      <x:c r="D748" t="str">
        <x:v>E</x:v>
      </x:c>
      <x:c r="E748" t="n">
        <x:v>1979</x:v>
      </x:c>
      <x:c r="F748" t="n">
        <x:v>218</x:v>
      </x:c>
      <x:c r="G748" t="str">
        <x:v>Simple</x:v>
      </x:c>
      <x:c r="H748" t="str"/>
      <x:c r="I748" t="str">
        <x:v>Årlig beregnet, ikke målt</x:v>
      </x:c>
      <x:c r="J748" t="str">
        <x:v>01012016_31122016enova.csv</x:v>
      </x:c>
    </x:row>
    <x:row r="749" ht="22" customHeight="1">
      <x:c r="A749" t="str">
        <x:v>091f82d2db6b</x:v>
      </x:c>
      <x:c r="B749" t="n">
        <x:v>2016</x:v>
      </x:c>
      <x:c r="C749" t="str">
        <x:v>Universitets- Og Høgskolebygg</x:v>
      </x:c>
      <x:c r="D749" t="str">
        <x:v>E</x:v>
      </x:c>
      <x:c r="E749" t="n">
        <x:v>1990</x:v>
      </x:c>
      <x:c r="F749" t="n">
        <x:v>220.9</x:v>
      </x:c>
      <x:c r="G749" t="str">
        <x:v>Simple</x:v>
      </x:c>
      <x:c r="H749" t="str"/>
      <x:c r="I749" t="str">
        <x:v>Årlig beregnet, ikke målt</x:v>
      </x:c>
      <x:c r="J749" t="str">
        <x:v>01012016_31122016enova.csv</x:v>
      </x:c>
    </x:row>
    <x:row r="750" ht="22" customHeight="1">
      <x:c r="A750" t="str">
        <x:v>4185d07560ce</x:v>
      </x:c>
      <x:c r="B750" t="n">
        <x:v>2016</x:v>
      </x:c>
      <x:c r="C750" t="str">
        <x:v>Universitets- Og Høgskolebygg</x:v>
      </x:c>
      <x:c r="D750" t="str">
        <x:v>F</x:v>
      </x:c>
      <x:c r="E750" t="n">
        <x:v>1907</x:v>
      </x:c>
      <x:c r="F750" t="n">
        <x:v>285</x:v>
      </x:c>
      <x:c r="G750" t="str">
        <x:v>Simple</x:v>
      </x:c>
      <x:c r="H750" t="str"/>
      <x:c r="I750" t="str">
        <x:v>Årlig beregnet, ikke målt</x:v>
      </x:c>
      <x:c r="J750" t="str">
        <x:v>01012016_31122016enova.csv</x:v>
      </x:c>
    </x:row>
    <x:row r="751" ht="22" customHeight="1">
      <x:c r="A751" t="str">
        <x:v>370e78d0b9c1</x:v>
      </x:c>
      <x:c r="B751" t="n">
        <x:v>2016</x:v>
      </x:c>
      <x:c r="C751" t="str">
        <x:v>Universitets- Og Høgskolebygg</x:v>
      </x:c>
      <x:c r="D751" t="str">
        <x:v>F</x:v>
      </x:c>
      <x:c r="E751" t="n">
        <x:v>1900</x:v>
      </x:c>
      <x:c r="F751" t="n">
        <x:v>269.8</x:v>
      </x:c>
      <x:c r="G751" t="str">
        <x:v>Simple</x:v>
      </x:c>
      <x:c r="H751" t="str"/>
      <x:c r="I751" t="str">
        <x:v>Årlig beregnet, ikke målt</x:v>
      </x:c>
      <x:c r="J751" t="str">
        <x:v>01012016_31122016enova.csv</x:v>
      </x:c>
    </x:row>
    <x:row r="752" ht="22" customHeight="1">
      <x:c r="A752" t="str">
        <x:v>a35a496e6ca4</x:v>
      </x:c>
      <x:c r="B752" t="n">
        <x:v>2016</x:v>
      </x:c>
      <x:c r="C752" t="str">
        <x:v>Universitets- Og Høgskolebygg</x:v>
      </x:c>
      <x:c r="D752" t="str">
        <x:v>G</x:v>
      </x:c>
      <x:c r="E752" t="n">
        <x:v>1987</x:v>
      </x:c>
      <x:c r="F752" t="n">
        <x:v>438</x:v>
      </x:c>
      <x:c r="G752" t="str">
        <x:v>Simple</x:v>
      </x:c>
      <x:c r="H752" t="str"/>
      <x:c r="I752" t="str">
        <x:v>Årlig beregnet, ikke målt</x:v>
      </x:c>
      <x:c r="J752" t="str">
        <x:v>01012016_31122016enova.csv</x:v>
      </x:c>
    </x:row>
    <x:row r="753" ht="22" customHeight="1">
      <x:c r="A753" t="str">
        <x:v>312b94c56942</x:v>
      </x:c>
      <x:c r="B753" t="n">
        <x:v>2025</x:v>
      </x:c>
      <x:c r="C753" t="str">
        <x:v>Barnehager</x:v>
      </x:c>
      <x:c r="D753" t="str">
        <x:v>A</x:v>
      </x:c>
      <x:c r="E753" t="n">
        <x:v>2025</x:v>
      </x:c>
      <x:c r="F753" t="n">
        <x:v>39.64</x:v>
      </x:c>
      <x:c r="G753" t="str">
        <x:v>Advanced</x:v>
      </x:c>
      <x:c r="H753" t="str"/>
      <x:c r="I753" t="str">
        <x:v>Årlig beregnet, ikke målt</x:v>
      </x:c>
      <x:c r="J753" t="str">
        <x:v>01012025_17082025_2025.csv</x:v>
      </x:c>
    </x:row>
    <x:row r="754" ht="22" customHeight="1">
      <x:c r="A754" t="str">
        <x:v>bde97a1247a8</x:v>
      </x:c>
      <x:c r="B754" t="n">
        <x:v>2025</x:v>
      </x:c>
      <x:c r="C754" t="str">
        <x:v>Barnehager</x:v>
      </x:c>
      <x:c r="D754" t="str">
        <x:v>A</x:v>
      </x:c>
      <x:c r="E754" t="n">
        <x:v>2025</x:v>
      </x:c>
      <x:c r="F754" t="n">
        <x:v>66.48</x:v>
      </x:c>
      <x:c r="G754" t="str">
        <x:v>Advanced</x:v>
      </x:c>
      <x:c r="H754" t="str"/>
      <x:c r="I754" t="str">
        <x:v>Årlig beregnet, ikke målt</x:v>
      </x:c>
      <x:c r="J754" t="str">
        <x:v>01012025_17082025_2025.csv</x:v>
      </x:c>
    </x:row>
    <x:row r="755" ht="22" customHeight="1">
      <x:c r="A755" t="str">
        <x:v>656524a4072e</x:v>
      </x:c>
      <x:c r="B755" t="n">
        <x:v>2025</x:v>
      </x:c>
      <x:c r="C755" t="str">
        <x:v>Barnehager</x:v>
      </x:c>
      <x:c r="D755" t="str">
        <x:v>A</x:v>
      </x:c>
      <x:c r="E755" t="n">
        <x:v>2000</x:v>
      </x:c>
      <x:c r="F755" t="n">
        <x:v>70.63</x:v>
      </x:c>
      <x:c r="G755" t="str">
        <x:v>Advanced</x:v>
      </x:c>
      <x:c r="H755" t="str"/>
      <x:c r="I755" t="str">
        <x:v>Årlig beregnet, ikke målt</x:v>
      </x:c>
      <x:c r="J755" t="str">
        <x:v>01012025_17082025_2025.csv</x:v>
      </x:c>
    </x:row>
    <x:row r="756" ht="22" customHeight="1">
      <x:c r="A756" t="str">
        <x:v>bfed2b70f244</x:v>
      </x:c>
      <x:c r="B756" t="n">
        <x:v>2025</x:v>
      </x:c>
      <x:c r="C756" t="str">
        <x:v>Barnehager</x:v>
      </x:c>
      <x:c r="D756" t="str">
        <x:v>A</x:v>
      </x:c>
      <x:c r="E756" t="n">
        <x:v>2025</x:v>
      </x:c>
      <x:c r="F756" t="n">
        <x:v>33.82</x:v>
      </x:c>
      <x:c r="G756" t="str">
        <x:v>Advanced</x:v>
      </x:c>
      <x:c r="H756" t="str"/>
      <x:c r="I756" t="str">
        <x:v>Årlig beregnet, ikke målt</x:v>
      </x:c>
      <x:c r="J756" t="str">
        <x:v>01012025_17082025_2025.csv</x:v>
      </x:c>
    </x:row>
    <x:row r="757" ht="22" customHeight="1">
      <x:c r="A757" t="str">
        <x:v>2f9ace541daf</x:v>
      </x:c>
      <x:c r="B757" t="n">
        <x:v>2025</x:v>
      </x:c>
      <x:c r="C757" t="str">
        <x:v>Barnehager</x:v>
      </x:c>
      <x:c r="D757" t="str">
        <x:v>A</x:v>
      </x:c>
      <x:c r="E757" t="n">
        <x:v>2025</x:v>
      </x:c>
      <x:c r="F757" t="n">
        <x:v>73.43</x:v>
      </x:c>
      <x:c r="G757" t="str">
        <x:v>Advanced</x:v>
      </x:c>
      <x:c r="H757" t="str"/>
      <x:c r="I757" t="str">
        <x:v>Årlig beregnet, ikke målt</x:v>
      </x:c>
      <x:c r="J757" t="str">
        <x:v>01012025_17082025_2025.csv</x:v>
      </x:c>
    </x:row>
    <x:row r="758" ht="22" customHeight="1">
      <x:c r="A758" t="str">
        <x:v>e0802fcf7ea3</x:v>
      </x:c>
      <x:c r="B758" t="n">
        <x:v>2025</x:v>
      </x:c>
      <x:c r="C758" t="str">
        <x:v>Barnehager</x:v>
      </x:c>
      <x:c r="D758" t="str">
        <x:v>B</x:v>
      </x:c>
      <x:c r="E758" t="n">
        <x:v>2005</x:v>
      </x:c>
      <x:c r="F758" t="n">
        <x:v>98.26</x:v>
      </x:c>
      <x:c r="G758" t="str">
        <x:v>Advanced</x:v>
      </x:c>
      <x:c r="H758" t="str"/>
      <x:c r="I758" t="str">
        <x:v>Årlig beregnet, ikke målt</x:v>
      </x:c>
      <x:c r="J758" t="str">
        <x:v>01012025_17082025_2025.csv</x:v>
      </x:c>
    </x:row>
    <x:row r="759" ht="22" customHeight="1">
      <x:c r="A759" t="str">
        <x:v>9309e6b73c31</x:v>
      </x:c>
      <x:c r="B759" t="n">
        <x:v>2025</x:v>
      </x:c>
      <x:c r="C759" t="str">
        <x:v>Barnehager</x:v>
      </x:c>
      <x:c r="D759" t="str">
        <x:v>B</x:v>
      </x:c>
      <x:c r="E759" t="n">
        <x:v>2012</x:v>
      </x:c>
      <x:c r="F759" t="n">
        <x:v>87.61</x:v>
      </x:c>
      <x:c r="G759" t="str">
        <x:v>Advanced</x:v>
      </x:c>
      <x:c r="H759" t="str"/>
      <x:c r="I759" t="str">
        <x:v>Årlig beregnet, ikke målt</x:v>
      </x:c>
      <x:c r="J759" t="str">
        <x:v>01012025_17082025_2025.csv</x:v>
      </x:c>
    </x:row>
    <x:row r="760" ht="22" customHeight="1">
      <x:c r="A760" t="str">
        <x:v>a94f6994a8c5</x:v>
      </x:c>
      <x:c r="B760" t="n">
        <x:v>2025</x:v>
      </x:c>
      <x:c r="C760" t="str">
        <x:v>Barnehager</x:v>
      </x:c>
      <x:c r="D760" t="str">
        <x:v>B</x:v>
      </x:c>
      <x:c r="E760" t="n">
        <x:v>2008</x:v>
      </x:c>
      <x:c r="F760" t="n">
        <x:v>105.32</x:v>
      </x:c>
      <x:c r="G760" t="str">
        <x:v>Advanced</x:v>
      </x:c>
      <x:c r="H760" t="str"/>
      <x:c r="I760" t="str">
        <x:v>Årlig beregnet, ikke målt</x:v>
      </x:c>
      <x:c r="J760" t="str">
        <x:v>01012025_17082025_2025.csv</x:v>
      </x:c>
    </x:row>
    <x:row r="761" ht="22" customHeight="1">
      <x:c r="A761" t="str">
        <x:v>8db3589e6909</x:v>
      </x:c>
      <x:c r="B761" t="n">
        <x:v>2025</x:v>
      </x:c>
      <x:c r="C761" t="str">
        <x:v>Barnehager</x:v>
      </x:c>
      <x:c r="D761" t="str">
        <x:v>B</x:v>
      </x:c>
      <x:c r="E761" t="n">
        <x:v>2004</x:v>
      </x:c>
      <x:c r="F761" t="n">
        <x:v>101.06</x:v>
      </x:c>
      <x:c r="G761" t="str">
        <x:v>Advanced</x:v>
      </x:c>
      <x:c r="H761" t="str"/>
      <x:c r="I761" t="str">
        <x:v>Årlig beregnet, ikke målt</x:v>
      </x:c>
      <x:c r="J761" t="str">
        <x:v>01012025_17082025_2025.csv</x:v>
      </x:c>
    </x:row>
    <x:row r="762" ht="22" customHeight="1">
      <x:c r="A762" t="str">
        <x:v>e2d83eae5264</x:v>
      </x:c>
      <x:c r="B762" t="n">
        <x:v>2025</x:v>
      </x:c>
      <x:c r="C762" t="str">
        <x:v>Barnehager</x:v>
      </x:c>
      <x:c r="D762" t="str">
        <x:v>B</x:v>
      </x:c>
      <x:c r="E762" t="n">
        <x:v>2007</x:v>
      </x:c>
      <x:c r="F762" t="n">
        <x:v>111.03</x:v>
      </x:c>
      <x:c r="G762" t="str">
        <x:v>Advanced</x:v>
      </x:c>
      <x:c r="H762" t="str"/>
      <x:c r="I762" t="str">
        <x:v>Årlig beregnet, ikke målt</x:v>
      </x:c>
      <x:c r="J762" t="str">
        <x:v>01012025_17082025_2025.csv</x:v>
      </x:c>
    </x:row>
    <x:row r="763" ht="22" customHeight="1">
      <x:c r="A763" t="str">
        <x:v>9e635f8ac105</x:v>
      </x:c>
      <x:c r="B763" t="n">
        <x:v>2025</x:v>
      </x:c>
      <x:c r="C763" t="str">
        <x:v>Barnehager</x:v>
      </x:c>
      <x:c r="D763" t="str">
        <x:v>C</x:v>
      </x:c>
      <x:c r="E763" t="n">
        <x:v>2008</x:v>
      </x:c>
      <x:c r="F763" t="n">
        <x:v>127.88</x:v>
      </x:c>
      <x:c r="G763" t="str">
        <x:v>Advanced</x:v>
      </x:c>
      <x:c r="H763" t="str"/>
      <x:c r="I763" t="str">
        <x:v>Årlig beregnet, ikke målt</x:v>
      </x:c>
      <x:c r="J763" t="str">
        <x:v>01012025_17082025_2025.csv</x:v>
      </x:c>
    </x:row>
    <x:row r="764" ht="22" customHeight="1">
      <x:c r="A764" t="str">
        <x:v>19c56923ec21</x:v>
      </x:c>
      <x:c r="B764" t="n">
        <x:v>2025</x:v>
      </x:c>
      <x:c r="C764" t="str">
        <x:v>Barnehager</x:v>
      </x:c>
      <x:c r="D764" t="str">
        <x:v>C</x:v>
      </x:c>
      <x:c r="E764" t="n">
        <x:v>2005</x:v>
      </x:c>
      <x:c r="F764" t="n">
        <x:v>119.47</x:v>
      </x:c>
      <x:c r="G764" t="str">
        <x:v>Advanced</x:v>
      </x:c>
      <x:c r="H764" t="str"/>
      <x:c r="I764" t="str">
        <x:v>Årlig beregnet, ikke målt</x:v>
      </x:c>
      <x:c r="J764" t="str">
        <x:v>01012025_17082025_2025.csv</x:v>
      </x:c>
    </x:row>
    <x:row r="765" ht="22" customHeight="1">
      <x:c r="A765" t="str">
        <x:v>c46cb8ee406e</x:v>
      </x:c>
      <x:c r="B765" t="n">
        <x:v>2025</x:v>
      </x:c>
      <x:c r="C765" t="str">
        <x:v>Barnehager</x:v>
      </x:c>
      <x:c r="D765" t="str">
        <x:v>C</x:v>
      </x:c>
      <x:c r="E765" t="n">
        <x:v>2005</x:v>
      </x:c>
      <x:c r="F765" t="n">
        <x:v>133.18</x:v>
      </x:c>
      <x:c r="G765" t="str">
        <x:v>Advanced</x:v>
      </x:c>
      <x:c r="H765" t="str"/>
      <x:c r="I765" t="str">
        <x:v>Årlig beregnet, ikke målt</x:v>
      </x:c>
      <x:c r="J765" t="str">
        <x:v>01012025_17082025_2025.csv</x:v>
      </x:c>
    </x:row>
    <x:row r="766" ht="22" customHeight="1">
      <x:c r="A766" t="str">
        <x:v>3333de7f9b65</x:v>
      </x:c>
      <x:c r="B766" t="n">
        <x:v>2025</x:v>
      </x:c>
      <x:c r="C766" t="str">
        <x:v>Barnehager</x:v>
      </x:c>
      <x:c r="D766" t="str">
        <x:v>C</x:v>
      </x:c>
      <x:c r="E766" t="n">
        <x:v>2011</x:v>
      </x:c>
      <x:c r="F766" t="n">
        <x:v>130.59</x:v>
      </x:c>
      <x:c r="G766" t="str">
        <x:v>Advanced</x:v>
      </x:c>
      <x:c r="H766" t="str"/>
      <x:c r="I766" t="str">
        <x:v>Årlig beregnet, ikke målt</x:v>
      </x:c>
      <x:c r="J766" t="str">
        <x:v>01012025_17082025_2025.csv</x:v>
      </x:c>
    </x:row>
    <x:row r="767" ht="22" customHeight="1">
      <x:c r="A767" t="str">
        <x:v>5c1fca37cfa7</x:v>
      </x:c>
      <x:c r="B767" t="n">
        <x:v>2025</x:v>
      </x:c>
      <x:c r="C767" t="str">
        <x:v>Barnehager</x:v>
      </x:c>
      <x:c r="D767" t="str">
        <x:v>C</x:v>
      </x:c>
      <x:c r="E767" t="n">
        <x:v>2008</x:v>
      </x:c>
      <x:c r="F767" t="n">
        <x:v>122.62</x:v>
      </x:c>
      <x:c r="G767" t="str">
        <x:v>Advanced</x:v>
      </x:c>
      <x:c r="H767" t="str"/>
      <x:c r="I767" t="str">
        <x:v>Årlig beregnet, ikke målt</x:v>
      </x:c>
      <x:c r="J767" t="str">
        <x:v>01012025_17082025_2025.csv</x:v>
      </x:c>
    </x:row>
    <x:row r="768" ht="22" customHeight="1">
      <x:c r="A768" t="str">
        <x:v>46a2f5d05aae</x:v>
      </x:c>
      <x:c r="B768" t="n">
        <x:v>2025</x:v>
      </x:c>
      <x:c r="C768" t="str">
        <x:v>Barnehager</x:v>
      </x:c>
      <x:c r="D768" t="str">
        <x:v>D</x:v>
      </x:c>
      <x:c r="E768" t="n">
        <x:v>1983</x:v>
      </x:c>
      <x:c r="F768" t="n">
        <x:v>148.83</x:v>
      </x:c>
      <x:c r="G768" t="str">
        <x:v>Advanced</x:v>
      </x:c>
      <x:c r="H768" t="str"/>
      <x:c r="I768" t="str">
        <x:v>Årlig beregnet, ikke målt</x:v>
      </x:c>
      <x:c r="J768" t="str">
        <x:v>01012025_17082025_2025.csv</x:v>
      </x:c>
    </x:row>
    <x:row r="769" ht="22" customHeight="1">
      <x:c r="A769" t="str">
        <x:v>8d14635ac1b8</x:v>
      </x:c>
      <x:c r="B769" t="n">
        <x:v>2025</x:v>
      </x:c>
      <x:c r="C769" t="str">
        <x:v>Barnehager</x:v>
      </x:c>
      <x:c r="D769" t="str">
        <x:v>D</x:v>
      </x:c>
      <x:c r="E769" t="n">
        <x:v>2005</x:v>
      </x:c>
      <x:c r="F769" t="n">
        <x:v>175.09</x:v>
      </x:c>
      <x:c r="G769" t="str">
        <x:v>Advanced</x:v>
      </x:c>
      <x:c r="H769" t="str"/>
      <x:c r="I769" t="str">
        <x:v>Årlig beregnet, ikke målt</x:v>
      </x:c>
      <x:c r="J769" t="str">
        <x:v>01012025_17082025_2025.csv</x:v>
      </x:c>
    </x:row>
    <x:row r="770" ht="22" customHeight="1">
      <x:c r="A770" t="str">
        <x:v>0613b96f3e37</x:v>
      </x:c>
      <x:c r="B770" t="n">
        <x:v>2025</x:v>
      </x:c>
      <x:c r="C770" t="str">
        <x:v>Barnehager</x:v>
      </x:c>
      <x:c r="D770" t="str">
        <x:v>D</x:v>
      </x:c>
      <x:c r="E770" t="n">
        <x:v>2000</x:v>
      </x:c>
      <x:c r="F770" t="n">
        <x:v>147.61</x:v>
      </x:c>
      <x:c r="G770" t="str">
        <x:v>Advanced</x:v>
      </x:c>
      <x:c r="H770" t="str"/>
      <x:c r="I770" t="str">
        <x:v>Årlig beregnet, ikke målt</x:v>
      </x:c>
      <x:c r="J770" t="str">
        <x:v>01012025_17082025_2025.csv</x:v>
      </x:c>
    </x:row>
    <x:row r="771" ht="22" customHeight="1">
      <x:c r="A771" t="str">
        <x:v>bc16b0dbc560</x:v>
      </x:c>
      <x:c r="B771" t="n">
        <x:v>2025</x:v>
      </x:c>
      <x:c r="C771" t="str">
        <x:v>Barnehager</x:v>
      </x:c>
      <x:c r="D771" t="str">
        <x:v>D</x:v>
      </x:c>
      <x:c r="E771" t="n">
        <x:v>2005</x:v>
      </x:c>
      <x:c r="F771" t="n">
        <x:v>174.71</x:v>
      </x:c>
      <x:c r="G771" t="str">
        <x:v>Advanced</x:v>
      </x:c>
      <x:c r="H771" t="str"/>
      <x:c r="I771" t="str">
        <x:v>Årlig beregnet, ikke målt</x:v>
      </x:c>
      <x:c r="J771" t="str">
        <x:v>01012025_17082025_2025.csv</x:v>
      </x:c>
    </x:row>
    <x:row r="772" ht="22" customHeight="1">
      <x:c r="A772" t="str">
        <x:v>e5feac8ebcb4</x:v>
      </x:c>
      <x:c r="B772" t="n">
        <x:v>2025</x:v>
      </x:c>
      <x:c r="C772" t="str">
        <x:v>Barnehager</x:v>
      </x:c>
      <x:c r="D772" t="str">
        <x:v>D</x:v>
      </x:c>
      <x:c r="E772" t="n">
        <x:v>2010</x:v>
      </x:c>
      <x:c r="F772" t="n">
        <x:v>176.38</x:v>
      </x:c>
      <x:c r="G772" t="str">
        <x:v>Advanced</x:v>
      </x:c>
      <x:c r="H772" t="str"/>
      <x:c r="I772" t="str">
        <x:v>Årlig beregnet, ikke målt</x:v>
      </x:c>
      <x:c r="J772" t="str">
        <x:v>01012025_17082025_2025.csv</x:v>
      </x:c>
    </x:row>
    <x:row r="773" ht="22" customHeight="1">
      <x:c r="A773" t="str">
        <x:v>977bef8757dc</x:v>
      </x:c>
      <x:c r="B773" t="n">
        <x:v>2025</x:v>
      </x:c>
      <x:c r="C773" t="str">
        <x:v>Barnehager</x:v>
      </x:c>
      <x:c r="D773" t="str">
        <x:v>E</x:v>
      </x:c>
      <x:c r="E773" t="n">
        <x:v>2003</x:v>
      </x:c>
      <x:c r="F773" t="n">
        <x:v>195.78</x:v>
      </x:c>
      <x:c r="G773" t="str">
        <x:v>Advanced</x:v>
      </x:c>
      <x:c r="H773" t="str"/>
      <x:c r="I773" t="str">
        <x:v>Årlig beregnet, ikke målt</x:v>
      </x:c>
      <x:c r="J773" t="str">
        <x:v>01012025_17082025_2025.csv</x:v>
      </x:c>
    </x:row>
    <x:row r="774" ht="22" customHeight="1">
      <x:c r="A774" t="str">
        <x:v>b42045500bd6</x:v>
      </x:c>
      <x:c r="B774" t="n">
        <x:v>2025</x:v>
      </x:c>
      <x:c r="C774" t="str">
        <x:v>Barnehager</x:v>
      </x:c>
      <x:c r="D774" t="str">
        <x:v>E</x:v>
      </x:c>
      <x:c r="E774" t="n">
        <x:v>1998</x:v>
      </x:c>
      <x:c r="F774" t="n">
        <x:v>186.54</x:v>
      </x:c>
      <x:c r="G774" t="str">
        <x:v>Advanced</x:v>
      </x:c>
      <x:c r="H774" t="str"/>
      <x:c r="I774" t="str">
        <x:v>Årlig beregnet, ikke målt</x:v>
      </x:c>
      <x:c r="J774" t="str">
        <x:v>01012025_17082025_2025.csv</x:v>
      </x:c>
    </x:row>
    <x:row r="775" ht="22" customHeight="1">
      <x:c r="A775" t="str">
        <x:v>4589c55fff0c</x:v>
      </x:c>
      <x:c r="B775" t="n">
        <x:v>2025</x:v>
      </x:c>
      <x:c r="C775" t="str">
        <x:v>Barnehager</x:v>
      </x:c>
      <x:c r="D775" t="str">
        <x:v>E</x:v>
      </x:c>
      <x:c r="E775" t="n">
        <x:v>2004</x:v>
      </x:c>
      <x:c r="F775" t="n">
        <x:v>196.45</x:v>
      </x:c>
      <x:c r="G775" t="str">
        <x:v>Advanced</x:v>
      </x:c>
      <x:c r="H775" t="str"/>
      <x:c r="I775" t="str">
        <x:v>Årlig beregnet, ikke målt</x:v>
      </x:c>
      <x:c r="J775" t="str">
        <x:v>01012025_17082025_2025.csv</x:v>
      </x:c>
    </x:row>
    <x:row r="776" ht="22" customHeight="1">
      <x:c r="A776" t="str">
        <x:v>f8855e4fec30</x:v>
      </x:c>
      <x:c r="B776" t="n">
        <x:v>2025</x:v>
      </x:c>
      <x:c r="C776" t="str">
        <x:v>Barnehager</x:v>
      </x:c>
      <x:c r="D776" t="str">
        <x:v>E</x:v>
      </x:c>
      <x:c r="E776" t="n">
        <x:v>1970</x:v>
      </x:c>
      <x:c r="F776" t="n">
        <x:v>193.41</x:v>
      </x:c>
      <x:c r="G776" t="str">
        <x:v>Advanced</x:v>
      </x:c>
      <x:c r="H776" t="str"/>
      <x:c r="I776" t="str">
        <x:v>Årlig beregnet, ikke målt</x:v>
      </x:c>
      <x:c r="J776" t="str">
        <x:v>01012025_17082025_2025.csv</x:v>
      </x:c>
    </x:row>
    <x:row r="777" ht="22" customHeight="1">
      <x:c r="A777" t="str">
        <x:v>7ba9762aac1c</x:v>
      </x:c>
      <x:c r="B777" t="n">
        <x:v>2025</x:v>
      </x:c>
      <x:c r="C777" t="str">
        <x:v>Barnehager</x:v>
      </x:c>
      <x:c r="D777" t="str">
        <x:v>E</x:v>
      </x:c>
      <x:c r="E777" t="n">
        <x:v>1996</x:v>
      </x:c>
      <x:c r="F777" t="n">
        <x:v>204.05</x:v>
      </x:c>
      <x:c r="G777" t="str">
        <x:v>Advanced</x:v>
      </x:c>
      <x:c r="H777" t="str"/>
      <x:c r="I777" t="str">
        <x:v>Årlig beregnet, ikke målt</x:v>
      </x:c>
      <x:c r="J777" t="str">
        <x:v>01012025_17082025_2025.csv</x:v>
      </x:c>
    </x:row>
    <x:row r="778" ht="22" customHeight="1">
      <x:c r="A778" t="str">
        <x:v>5c8fcce8a3a4</x:v>
      </x:c>
      <x:c r="B778" t="n">
        <x:v>2025</x:v>
      </x:c>
      <x:c r="C778" t="str">
        <x:v>Barnehager</x:v>
      </x:c>
      <x:c r="D778" t="str">
        <x:v>F</x:v>
      </x:c>
      <x:c r="E778" t="n">
        <x:v>1992</x:v>
      </x:c>
      <x:c r="F778" t="n">
        <x:v>234.01</x:v>
      </x:c>
      <x:c r="G778" t="str">
        <x:v>Advanced</x:v>
      </x:c>
      <x:c r="H778" t="str"/>
      <x:c r="I778" t="str">
        <x:v>Årlig beregnet, ikke målt</x:v>
      </x:c>
      <x:c r="J778" t="str">
        <x:v>01012025_17082025_2025.csv</x:v>
      </x:c>
    </x:row>
    <x:row r="779" ht="22" customHeight="1">
      <x:c r="A779" t="str">
        <x:v>f4fca004efc6</x:v>
      </x:c>
      <x:c r="B779" t="n">
        <x:v>2025</x:v>
      </x:c>
      <x:c r="C779" t="str">
        <x:v>Barnehager</x:v>
      </x:c>
      <x:c r="D779" t="str">
        <x:v>F</x:v>
      </x:c>
      <x:c r="E779" t="n">
        <x:v>2007</x:v>
      </x:c>
      <x:c r="F779" t="n">
        <x:v>268.8</x:v>
      </x:c>
      <x:c r="G779" t="str">
        <x:v>Advanced</x:v>
      </x:c>
      <x:c r="H779" t="str"/>
      <x:c r="I779" t="str">
        <x:v>Årlig beregnet, ikke målt</x:v>
      </x:c>
      <x:c r="J779" t="str">
        <x:v>01012025_17082025_2025.csv</x:v>
      </x:c>
    </x:row>
    <x:row r="780" ht="22" customHeight="1">
      <x:c r="A780" t="str">
        <x:v>9c057d451c42</x:v>
      </x:c>
      <x:c r="B780" t="n">
        <x:v>2025</x:v>
      </x:c>
      <x:c r="C780" t="str">
        <x:v>Barnehager</x:v>
      </x:c>
      <x:c r="D780" t="str">
        <x:v>F</x:v>
      </x:c>
      <x:c r="E780" t="n">
        <x:v>2006</x:v>
      </x:c>
      <x:c r="F780" t="n">
        <x:v>228.18</x:v>
      </x:c>
      <x:c r="G780" t="str">
        <x:v>Advanced</x:v>
      </x:c>
      <x:c r="H780" t="str"/>
      <x:c r="I780" t="str">
        <x:v>Årlig beregnet, ikke målt</x:v>
      </x:c>
      <x:c r="J780" t="str">
        <x:v>01012025_17082025_2025.csv</x:v>
      </x:c>
    </x:row>
    <x:row r="781" ht="22" customHeight="1">
      <x:c r="A781" t="str">
        <x:v>9575dca5c10e</x:v>
      </x:c>
      <x:c r="B781" t="n">
        <x:v>2025</x:v>
      </x:c>
      <x:c r="C781" t="str">
        <x:v>Barnehager</x:v>
      </x:c>
      <x:c r="D781" t="str">
        <x:v>F</x:v>
      </x:c>
      <x:c r="E781" t="n">
        <x:v>1960</x:v>
      </x:c>
      <x:c r="F781" t="n">
        <x:v>273.9</x:v>
      </x:c>
      <x:c r="G781" t="str">
        <x:v>Advanced</x:v>
      </x:c>
      <x:c r="H781" t="str"/>
      <x:c r="I781" t="str">
        <x:v>Årlig beregnet, ikke målt</x:v>
      </x:c>
      <x:c r="J781" t="str">
        <x:v>01012025_17082025_2025.csv</x:v>
      </x:c>
    </x:row>
    <x:row r="782" ht="22" customHeight="1">
      <x:c r="A782" t="str">
        <x:v>30bcf6b7c617</x:v>
      </x:c>
      <x:c r="B782" t="n">
        <x:v>2025</x:v>
      </x:c>
      <x:c r="C782" t="str">
        <x:v>Barnehager</x:v>
      </x:c>
      <x:c r="D782" t="str">
        <x:v>F</x:v>
      </x:c>
      <x:c r="E782" t="n">
        <x:v>2000</x:v>
      </x:c>
      <x:c r="F782" t="n">
        <x:v>226.04</x:v>
      </x:c>
      <x:c r="G782" t="str">
        <x:v>Advanced</x:v>
      </x:c>
      <x:c r="H782" t="str"/>
      <x:c r="I782" t="str">
        <x:v>Årlig beregnet, ikke målt</x:v>
      </x:c>
      <x:c r="J782" t="str">
        <x:v>01012025_17082025_2025.csv</x:v>
      </x:c>
    </x:row>
    <x:row r="783" ht="22" customHeight="1">
      <x:c r="A783" t="str">
        <x:v>52d6a84285f0</x:v>
      </x:c>
      <x:c r="B783" t="n">
        <x:v>2025</x:v>
      </x:c>
      <x:c r="C783" t="str">
        <x:v>Barnehager</x:v>
      </x:c>
      <x:c r="D783" t="str">
        <x:v>G</x:v>
      </x:c>
      <x:c r="E783" t="n">
        <x:v>1960</x:v>
      </x:c>
      <x:c r="F783" t="n">
        <x:v>290.25</x:v>
      </x:c>
      <x:c r="G783" t="str">
        <x:v>Advanced</x:v>
      </x:c>
      <x:c r="H783" t="str"/>
      <x:c r="I783" t="str">
        <x:v>Årlig beregnet, ikke målt</x:v>
      </x:c>
      <x:c r="J783" t="str">
        <x:v>01012025_17082025_2025.csv</x:v>
      </x:c>
    </x:row>
    <x:row r="784" ht="22" customHeight="1">
      <x:c r="A784" t="str">
        <x:v>241a5032e588</x:v>
      </x:c>
      <x:c r="B784" t="n">
        <x:v>2025</x:v>
      </x:c>
      <x:c r="C784" t="str">
        <x:v>Barnehager</x:v>
      </x:c>
      <x:c r="D784" t="str">
        <x:v>G</x:v>
      </x:c>
      <x:c r="E784" t="n">
        <x:v>1959</x:v>
      </x:c>
      <x:c r="F784" t="n">
        <x:v>336.31</x:v>
      </x:c>
      <x:c r="G784" t="str">
        <x:v>Advanced</x:v>
      </x:c>
      <x:c r="H784" t="str"/>
      <x:c r="I784" t="str">
        <x:v>Årlig beregnet, ikke målt</x:v>
      </x:c>
      <x:c r="J784" t="str">
        <x:v>01012025_17082025_2025.csv</x:v>
      </x:c>
    </x:row>
    <x:row r="785" ht="22" customHeight="1">
      <x:c r="A785" t="str">
        <x:v>807aac4fdaf1</x:v>
      </x:c>
      <x:c r="B785" t="n">
        <x:v>2025</x:v>
      </x:c>
      <x:c r="C785" t="str">
        <x:v>Barnehager</x:v>
      </x:c>
      <x:c r="D785" t="str">
        <x:v>G</x:v>
      </x:c>
      <x:c r="E785" t="n">
        <x:v>1851</x:v>
      </x:c>
      <x:c r="F785" t="n">
        <x:v>445.4</x:v>
      </x:c>
      <x:c r="G785" t="str">
        <x:v>Advanced</x:v>
      </x:c>
      <x:c r="H785" t="str"/>
      <x:c r="I785" t="str">
        <x:v>Årlig beregnet, ikke målt</x:v>
      </x:c>
      <x:c r="J785" t="str">
        <x:v>01012025_17082025_2025.csv</x:v>
      </x:c>
    </x:row>
    <x:row r="786" ht="22" customHeight="1">
      <x:c r="A786" t="str">
        <x:v>c2364e6645df</x:v>
      </x:c>
      <x:c r="B786" t="n">
        <x:v>2025</x:v>
      </x:c>
      <x:c r="C786" t="str">
        <x:v>Barnehager</x:v>
      </x:c>
      <x:c r="D786" t="str">
        <x:v>G</x:v>
      </x:c>
      <x:c r="E786" t="n">
        <x:v>2000</x:v>
      </x:c>
      <x:c r="F786" t="n">
        <x:v>437.34</x:v>
      </x:c>
      <x:c r="G786" t="str">
        <x:v>Advanced</x:v>
      </x:c>
      <x:c r="H786" t="str"/>
      <x:c r="I786" t="str">
        <x:v>Årlig beregnet, ikke målt</x:v>
      </x:c>
      <x:c r="J786" t="str">
        <x:v>01012025_17082025_2025.csv</x:v>
      </x:c>
    </x:row>
    <x:row r="787" ht="22" customHeight="1">
      <x:c r="A787" t="str">
        <x:v>e39978db62a9</x:v>
      </x:c>
      <x:c r="B787" t="n">
        <x:v>2025</x:v>
      </x:c>
      <x:c r="C787" t="str">
        <x:v>Barnehager</x:v>
      </x:c>
      <x:c r="D787" t="str">
        <x:v>G</x:v>
      </x:c>
      <x:c r="E787" t="n">
        <x:v>1838</x:v>
      </x:c>
      <x:c r="F787" t="n">
        <x:v>348.85</x:v>
      </x:c>
      <x:c r="G787" t="str">
        <x:v>Advanced</x:v>
      </x:c>
      <x:c r="H787" t="str"/>
      <x:c r="I787" t="str">
        <x:v>Årlig beregnet, ikke målt</x:v>
      </x:c>
      <x:c r="J787" t="str">
        <x:v>01012025_17082025_2025.csv</x:v>
      </x:c>
    </x:row>
    <x:row r="788" ht="22" customHeight="1">
      <x:c r="A788" t="str">
        <x:v>c15d4dae4ed9</x:v>
      </x:c>
      <x:c r="B788" t="n">
        <x:v>2025</x:v>
      </x:c>
      <x:c r="C788" t="str">
        <x:v>Boligblokker</x:v>
      </x:c>
      <x:c r="D788" t="str">
        <x:v>A</x:v>
      </x:c>
      <x:c r="E788" t="n">
        <x:v>2025</x:v>
      </x:c>
      <x:c r="F788" t="n">
        <x:v>75.95</x:v>
      </x:c>
      <x:c r="G788" t="str">
        <x:v>Advanced</x:v>
      </x:c>
      <x:c r="H788" t="str"/>
      <x:c r="I788" t="str">
        <x:v>Årlig beregnet, ikke målt</x:v>
      </x:c>
      <x:c r="J788" t="str">
        <x:v>01012025_17082025_2025.csv</x:v>
      </x:c>
    </x:row>
    <x:row r="789" ht="22" customHeight="1">
      <x:c r="A789" t="str">
        <x:v>d95190593737</x:v>
      </x:c>
      <x:c r="B789" t="n">
        <x:v>2025</x:v>
      </x:c>
      <x:c r="C789" t="str">
        <x:v>Boligblokker</x:v>
      </x:c>
      <x:c r="D789" t="str">
        <x:v>A</x:v>
      </x:c>
      <x:c r="E789" t="n">
        <x:v>2024</x:v>
      </x:c>
      <x:c r="F789" t="n">
        <x:v>75.9</x:v>
      </x:c>
      <x:c r="G789" t="str">
        <x:v>Advanced</x:v>
      </x:c>
      <x:c r="H789" t="str"/>
      <x:c r="I789" t="str">
        <x:v>Årlig beregnet, ikke målt</x:v>
      </x:c>
      <x:c r="J789" t="str">
        <x:v>01012025_17082025_2025.csv</x:v>
      </x:c>
    </x:row>
    <x:row r="790" ht="22" customHeight="1">
      <x:c r="A790" t="str">
        <x:v>b8a32d6a0b5c</x:v>
      </x:c>
      <x:c r="B790" t="n">
        <x:v>2025</x:v>
      </x:c>
      <x:c r="C790" t="str">
        <x:v>Boligblokker</x:v>
      </x:c>
      <x:c r="D790" t="str">
        <x:v>A</x:v>
      </x:c>
      <x:c r="E790" t="n">
        <x:v>2025</x:v>
      </x:c>
      <x:c r="F790" t="n">
        <x:v>90.81</x:v>
      </x:c>
      <x:c r="G790" t="str">
        <x:v>Advanced</x:v>
      </x:c>
      <x:c r="H790" t="str"/>
      <x:c r="I790" t="str">
        <x:v>Årlig beregnet, ikke målt</x:v>
      </x:c>
      <x:c r="J790" t="str">
        <x:v>01012025_17082025_2025.csv</x:v>
      </x:c>
    </x:row>
    <x:row r="791" ht="22" customHeight="1">
      <x:c r="A791" t="str">
        <x:v>569a61aba503</x:v>
      </x:c>
      <x:c r="B791" t="n">
        <x:v>2025</x:v>
      </x:c>
      <x:c r="C791" t="str">
        <x:v>Boligblokker</x:v>
      </x:c>
      <x:c r="D791" t="str">
        <x:v>A</x:v>
      </x:c>
      <x:c r="E791" t="n">
        <x:v>2025</x:v>
      </x:c>
      <x:c r="F791" t="n">
        <x:v>94.34</x:v>
      </x:c>
      <x:c r="G791" t="str">
        <x:v>Advanced</x:v>
      </x:c>
      <x:c r="H791" t="str"/>
      <x:c r="I791" t="str">
        <x:v>Årlig beregnet, ikke målt</x:v>
      </x:c>
      <x:c r="J791" t="str">
        <x:v>01012025_17082025_2025.csv</x:v>
      </x:c>
    </x:row>
    <x:row r="792" ht="22" customHeight="1">
      <x:c r="A792" t="str">
        <x:v>8b1d9d854223</x:v>
      </x:c>
      <x:c r="B792" t="n">
        <x:v>2025</x:v>
      </x:c>
      <x:c r="C792" t="str">
        <x:v>Boligblokker</x:v>
      </x:c>
      <x:c r="D792" t="str">
        <x:v>A</x:v>
      </x:c>
      <x:c r="E792" t="n">
        <x:v>2025</x:v>
      </x:c>
      <x:c r="F792" t="n">
        <x:v>81.37</x:v>
      </x:c>
      <x:c r="G792" t="str">
        <x:v>Advanced</x:v>
      </x:c>
      <x:c r="H792" t="str"/>
      <x:c r="I792" t="str">
        <x:v>Årlig beregnet, ikke målt</x:v>
      </x:c>
      <x:c r="J792" t="str">
        <x:v>01012025_17082025_2025.csv</x:v>
      </x:c>
    </x:row>
    <x:row r="793" ht="22" customHeight="1">
      <x:c r="A793" t="str">
        <x:v>a4c8a80c2e1b</x:v>
      </x:c>
      <x:c r="B793" t="n">
        <x:v>2025</x:v>
      </x:c>
      <x:c r="C793" t="str">
        <x:v>Boligblokker</x:v>
      </x:c>
      <x:c r="D793" t="str">
        <x:v>B</x:v>
      </x:c>
      <x:c r="E793" t="n">
        <x:v>2024</x:v>
      </x:c>
      <x:c r="F793" t="n">
        <x:v>97.42</x:v>
      </x:c>
      <x:c r="G793" t="str">
        <x:v>Simple</x:v>
      </x:c>
      <x:c r="H793" t="str">
        <x:v>Betong</x:v>
      </x:c>
      <x:c r="I793" t="str">
        <x:v>Årlig beregnet, ikke målt</x:v>
      </x:c>
      <x:c r="J793" t="str">
        <x:v>01012025_17082025_2025.csv</x:v>
      </x:c>
    </x:row>
    <x:row r="794" ht="22" customHeight="1">
      <x:c r="A794" t="str">
        <x:v>4d8197d7d84b</x:v>
      </x:c>
      <x:c r="B794" t="n">
        <x:v>2025</x:v>
      </x:c>
      <x:c r="C794" t="str">
        <x:v>Boligblokker</x:v>
      </x:c>
      <x:c r="D794" t="str">
        <x:v>B</x:v>
      </x:c>
      <x:c r="E794" t="n">
        <x:v>2025</x:v>
      </x:c>
      <x:c r="F794" t="n">
        <x:v>94.51</x:v>
      </x:c>
      <x:c r="G794" t="str">
        <x:v>Advanced</x:v>
      </x:c>
      <x:c r="H794" t="str"/>
      <x:c r="I794" t="str">
        <x:v>Årlig beregnet, ikke målt</x:v>
      </x:c>
      <x:c r="J794" t="str">
        <x:v>01012025_17082025_2025.csv</x:v>
      </x:c>
    </x:row>
    <x:row r="795" ht="22" customHeight="1">
      <x:c r="A795" t="str">
        <x:v>28980c1b8ebf</x:v>
      </x:c>
      <x:c r="B795" t="n">
        <x:v>2025</x:v>
      </x:c>
      <x:c r="C795" t="str">
        <x:v>Boligblokker</x:v>
      </x:c>
      <x:c r="D795" t="str">
        <x:v>B</x:v>
      </x:c>
      <x:c r="E795" t="n">
        <x:v>1957</x:v>
      </x:c>
      <x:c r="F795" t="n">
        <x:v>101.64</x:v>
      </x:c>
      <x:c r="G795" t="str">
        <x:v>Advanced</x:v>
      </x:c>
      <x:c r="H795" t="str"/>
      <x:c r="I795" t="str">
        <x:v>Årlig beregnet, ikke målt</x:v>
      </x:c>
      <x:c r="J795" t="str">
        <x:v>01012025_17082025_2025.csv</x:v>
      </x:c>
    </x:row>
    <x:row r="796" ht="22" customHeight="1">
      <x:c r="A796" t="str">
        <x:v>2f325e9525c2</x:v>
      </x:c>
      <x:c r="B796" t="n">
        <x:v>2025</x:v>
      </x:c>
      <x:c r="C796" t="str">
        <x:v>Boligblokker</x:v>
      </x:c>
      <x:c r="D796" t="str">
        <x:v>B</x:v>
      </x:c>
      <x:c r="E796" t="n">
        <x:v>2023</x:v>
      </x:c>
      <x:c r="F796" t="n">
        <x:v>118.81</x:v>
      </x:c>
      <x:c r="G796" t="str">
        <x:v>Simple</x:v>
      </x:c>
      <x:c r="H796" t="str">
        <x:v>Betong</x:v>
      </x:c>
      <x:c r="I796" t="str">
        <x:v>Årlig beregnet, ikke målt</x:v>
      </x:c>
      <x:c r="J796" t="str">
        <x:v>01012025_17082025_2025.csv</x:v>
      </x:c>
    </x:row>
    <x:row r="797" ht="22" customHeight="1">
      <x:c r="A797" t="str">
        <x:v>1a416f7e87ad</x:v>
      </x:c>
      <x:c r="B797" t="n">
        <x:v>2025</x:v>
      </x:c>
      <x:c r="C797" t="str">
        <x:v>Boligblokker</x:v>
      </x:c>
      <x:c r="D797" t="str">
        <x:v>B</x:v>
      </x:c>
      <x:c r="E797" t="n">
        <x:v>2015</x:v>
      </x:c>
      <x:c r="F797" t="n">
        <x:v>107.15</x:v>
      </x:c>
      <x:c r="G797" t="str">
        <x:v>Simple</x:v>
      </x:c>
      <x:c r="H797" t="str">
        <x:v>Tre</x:v>
      </x:c>
      <x:c r="I797" t="str">
        <x:v>Årlig beregnet, ikke målt</x:v>
      </x:c>
      <x:c r="J797" t="str">
        <x:v>01012025_17082025_2025.csv</x:v>
      </x:c>
    </x:row>
    <x:row r="798" ht="22" customHeight="1">
      <x:c r="A798" t="str">
        <x:v>d16187a51d8d</x:v>
      </x:c>
      <x:c r="B798" t="n">
        <x:v>2025</x:v>
      </x:c>
      <x:c r="C798" t="str">
        <x:v>Boligblokker</x:v>
      </x:c>
      <x:c r="D798" t="str">
        <x:v>C</x:v>
      </x:c>
      <x:c r="E798" t="n">
        <x:v>2015</x:v>
      </x:c>
      <x:c r="F798" t="n">
        <x:v>122.74</x:v>
      </x:c>
      <x:c r="G798" t="str">
        <x:v>Simple</x:v>
      </x:c>
      <x:c r="H798" t="str">
        <x:v>Betong</x:v>
      </x:c>
      <x:c r="I798" t="str">
        <x:v>Årlig beregnet, ikke målt</x:v>
      </x:c>
      <x:c r="J798" t="str">
        <x:v>01012025_17082025_2025.csv</x:v>
      </x:c>
    </x:row>
    <x:row r="799" ht="22" customHeight="1">
      <x:c r="A799" t="str">
        <x:v>5b3432bba38c</x:v>
      </x:c>
      <x:c r="B799" t="n">
        <x:v>2025</x:v>
      </x:c>
      <x:c r="C799" t="str">
        <x:v>Boligblokker</x:v>
      </x:c>
      <x:c r="D799" t="str">
        <x:v>C</x:v>
      </x:c>
      <x:c r="E799" t="n">
        <x:v>2018</x:v>
      </x:c>
      <x:c r="F799" t="n">
        <x:v>114.16</x:v>
      </x:c>
      <x:c r="G799" t="str">
        <x:v>Simple</x:v>
      </x:c>
      <x:c r="H799" t="str">
        <x:v>Betong</x:v>
      </x:c>
      <x:c r="I799" t="str">
        <x:v>Årlig beregnet, ikke målt</x:v>
      </x:c>
      <x:c r="J799" t="str">
        <x:v>01012025_17082025_2025.csv</x:v>
      </x:c>
    </x:row>
    <x:row r="800" ht="22" customHeight="1">
      <x:c r="A800" t="str">
        <x:v>d42709540d18</x:v>
      </x:c>
      <x:c r="B800" t="n">
        <x:v>2025</x:v>
      </x:c>
      <x:c r="C800" t="str">
        <x:v>Boligblokker</x:v>
      </x:c>
      <x:c r="D800" t="str">
        <x:v>C</x:v>
      </x:c>
      <x:c r="E800" t="n">
        <x:v>2014</x:v>
      </x:c>
      <x:c r="F800" t="n">
        <x:v>128.07</x:v>
      </x:c>
      <x:c r="G800" t="str">
        <x:v>Simple</x:v>
      </x:c>
      <x:c r="H800" t="str">
        <x:v>Betong</x:v>
      </x:c>
      <x:c r="I800" t="str">
        <x:v>Årlig beregnet, ikke målt</x:v>
      </x:c>
      <x:c r="J800" t="str">
        <x:v>01012025_17082025_2025.csv</x:v>
      </x:c>
    </x:row>
    <x:row r="801" ht="22" customHeight="1">
      <x:c r="A801" t="str">
        <x:v>d08f7ce307c4</x:v>
      </x:c>
      <x:c r="B801" t="n">
        <x:v>2025</x:v>
      </x:c>
      <x:c r="C801" t="str">
        <x:v>Boligblokker</x:v>
      </x:c>
      <x:c r="D801" t="str">
        <x:v>C</x:v>
      </x:c>
      <x:c r="E801" t="n">
        <x:v>1960</x:v>
      </x:c>
      <x:c r="F801" t="n">
        <x:v>133.17</x:v>
      </x:c>
      <x:c r="G801" t="str">
        <x:v>Simple</x:v>
      </x:c>
      <x:c r="H801" t="str">
        <x:v>Betong</x:v>
      </x:c>
      <x:c r="I801" t="str">
        <x:v>Årlig beregnet, ikke målt</x:v>
      </x:c>
      <x:c r="J801" t="str">
        <x:v>01012025_17082025_2025.csv</x:v>
      </x:c>
    </x:row>
    <x:row r="802" ht="22" customHeight="1">
      <x:c r="A802" t="str">
        <x:v>15cd0f4467d0</x:v>
      </x:c>
      <x:c r="B802" t="n">
        <x:v>2025</x:v>
      </x:c>
      <x:c r="C802" t="str">
        <x:v>Boligblokker</x:v>
      </x:c>
      <x:c r="D802" t="str">
        <x:v>C</x:v>
      </x:c>
      <x:c r="E802" t="n">
        <x:v>2009</x:v>
      </x:c>
      <x:c r="F802" t="n">
        <x:v>127.43</x:v>
      </x:c>
      <x:c r="G802" t="str">
        <x:v>Advanced</x:v>
      </x:c>
      <x:c r="H802" t="str"/>
      <x:c r="I802" t="str">
        <x:v>Årlig beregnet, ikke målt</x:v>
      </x:c>
      <x:c r="J802" t="str">
        <x:v>01012025_17082025_2025.csv</x:v>
      </x:c>
    </x:row>
    <x:row r="803" ht="22" customHeight="1">
      <x:c r="A803" t="str">
        <x:v>ef8fbd5e8371</x:v>
      </x:c>
      <x:c r="B803" t="n">
        <x:v>2025</x:v>
      </x:c>
      <x:c r="C803" t="str">
        <x:v>Boligblokker</x:v>
      </x:c>
      <x:c r="D803" t="str">
        <x:v>D</x:v>
      </x:c>
      <x:c r="E803" t="n">
        <x:v>1999</x:v>
      </x:c>
      <x:c r="F803" t="n">
        <x:v>168.8</x:v>
      </x:c>
      <x:c r="G803" t="str">
        <x:v>Simple</x:v>
      </x:c>
      <x:c r="H803" t="str">
        <x:v>Tre</x:v>
      </x:c>
      <x:c r="I803" t="str">
        <x:v>Årlig beregnet, ikke målt</x:v>
      </x:c>
      <x:c r="J803" t="str">
        <x:v>01012025_17082025_2025.csv</x:v>
      </x:c>
    </x:row>
    <x:row r="804" ht="22" customHeight="1">
      <x:c r="A804" t="str">
        <x:v>e4f1dae1ac23</x:v>
      </x:c>
      <x:c r="B804" t="n">
        <x:v>2025</x:v>
      </x:c>
      <x:c r="C804" t="str">
        <x:v>Boligblokker</x:v>
      </x:c>
      <x:c r="D804" t="str">
        <x:v>D</x:v>
      </x:c>
      <x:c r="E804" t="n">
        <x:v>2006</x:v>
      </x:c>
      <x:c r="F804" t="n">
        <x:v>153.78</x:v>
      </x:c>
      <x:c r="G804" t="str">
        <x:v>Simple</x:v>
      </x:c>
      <x:c r="H804" t="str">
        <x:v>Tre</x:v>
      </x:c>
      <x:c r="I804" t="str">
        <x:v>Årlig beregnet, ikke målt</x:v>
      </x:c>
      <x:c r="J804" t="str">
        <x:v>01012025_17082025_2025.csv</x:v>
      </x:c>
    </x:row>
    <x:row r="805" ht="22" customHeight="1">
      <x:c r="A805" t="str">
        <x:v>de664c0f61cd</x:v>
      </x:c>
      <x:c r="B805" t="n">
        <x:v>2025</x:v>
      </x:c>
      <x:c r="C805" t="str">
        <x:v>Boligblokker</x:v>
      </x:c>
      <x:c r="D805" t="str">
        <x:v>D</x:v>
      </x:c>
      <x:c r="E805" t="n">
        <x:v>1958</x:v>
      </x:c>
      <x:c r="F805" t="n">
        <x:v>165.37</x:v>
      </x:c>
      <x:c r="G805" t="str">
        <x:v>Simple</x:v>
      </x:c>
      <x:c r="H805" t="str">
        <x:v>Betong</x:v>
      </x:c>
      <x:c r="I805" t="str">
        <x:v>Årlig beregnet, ikke målt</x:v>
      </x:c>
      <x:c r="J805" t="str">
        <x:v>01012025_17082025_2025.csv</x:v>
      </x:c>
    </x:row>
    <x:row r="806" ht="22" customHeight="1">
      <x:c r="A806" t="str">
        <x:v>16cc277e0bd0</x:v>
      </x:c>
      <x:c r="B806" t="n">
        <x:v>2025</x:v>
      </x:c>
      <x:c r="C806" t="str">
        <x:v>Boligblokker</x:v>
      </x:c>
      <x:c r="D806" t="str">
        <x:v>D</x:v>
      </x:c>
      <x:c r="E806" t="n">
        <x:v>2006</x:v>
      </x:c>
      <x:c r="F806" t="n">
        <x:v>144.65</x:v>
      </x:c>
      <x:c r="G806" t="str">
        <x:v>Simple</x:v>
      </x:c>
      <x:c r="H806" t="str">
        <x:v>Betong</x:v>
      </x:c>
      <x:c r="I806" t="str">
        <x:v>Årlig beregnet, ikke målt</x:v>
      </x:c>
      <x:c r="J806" t="str">
        <x:v>01012025_17082025_2025.csv</x:v>
      </x:c>
    </x:row>
    <x:row r="807" ht="22" customHeight="1">
      <x:c r="A807" t="str">
        <x:v>63bcf728514f</x:v>
      </x:c>
      <x:c r="B807" t="n">
        <x:v>2025</x:v>
      </x:c>
      <x:c r="C807" t="str">
        <x:v>Boligblokker</x:v>
      </x:c>
      <x:c r="D807" t="str">
        <x:v>D</x:v>
      </x:c>
      <x:c r="E807" t="n">
        <x:v>2000</x:v>
      </x:c>
      <x:c r="F807" t="n">
        <x:v>146.63</x:v>
      </x:c>
      <x:c r="G807" t="str">
        <x:v>Simple</x:v>
      </x:c>
      <x:c r="H807" t="str">
        <x:v>MurTeglstein</x:v>
      </x:c>
      <x:c r="I807" t="str">
        <x:v>Årlig beregnet, ikke målt</x:v>
      </x:c>
      <x:c r="J807" t="str">
        <x:v>01012025_17082025_2025.csv</x:v>
      </x:c>
    </x:row>
    <x:row r="808" ht="22" customHeight="1">
      <x:c r="A808" t="str">
        <x:v>6c861701afad</x:v>
      </x:c>
      <x:c r="B808" t="n">
        <x:v>2025</x:v>
      </x:c>
      <x:c r="C808" t="str">
        <x:v>Boligblokker</x:v>
      </x:c>
      <x:c r="D808" t="str">
        <x:v>E</x:v>
      </x:c>
      <x:c r="E808" t="n">
        <x:v>1981</x:v>
      </x:c>
      <x:c r="F808" t="n">
        <x:v>185.77</x:v>
      </x:c>
      <x:c r="G808" t="str">
        <x:v>Simple</x:v>
      </x:c>
      <x:c r="H808" t="str">
        <x:v>Betong</x:v>
      </x:c>
      <x:c r="I808" t="str">
        <x:v>Årlig beregnet, ikke målt</x:v>
      </x:c>
      <x:c r="J808" t="str">
        <x:v>01012025_17082025_2025.csv</x:v>
      </x:c>
    </x:row>
    <x:row r="809" ht="22" customHeight="1">
      <x:c r="A809" t="str">
        <x:v>b21d8e905bae</x:v>
      </x:c>
      <x:c r="B809" t="n">
        <x:v>2025</x:v>
      </x:c>
      <x:c r="C809" t="str">
        <x:v>Boligblokker</x:v>
      </x:c>
      <x:c r="D809" t="str">
        <x:v>E</x:v>
      </x:c>
      <x:c r="E809" t="n">
        <x:v>2000</x:v>
      </x:c>
      <x:c r="F809" t="n">
        <x:v>176.15</x:v>
      </x:c>
      <x:c r="G809" t="str">
        <x:v>Simple</x:v>
      </x:c>
      <x:c r="H809" t="str">
        <x:v>Tre</x:v>
      </x:c>
      <x:c r="I809" t="str">
        <x:v>Årlig beregnet, ikke målt</x:v>
      </x:c>
      <x:c r="J809" t="str">
        <x:v>01012025_17082025_2025.csv</x:v>
      </x:c>
    </x:row>
    <x:row r="810" ht="22" customHeight="1">
      <x:c r="A810" t="str">
        <x:v>1dfdf2a1d304</x:v>
      </x:c>
      <x:c r="B810" t="n">
        <x:v>2025</x:v>
      </x:c>
      <x:c r="C810" t="str">
        <x:v>Boligblokker</x:v>
      </x:c>
      <x:c r="D810" t="str">
        <x:v>E</x:v>
      </x:c>
      <x:c r="E810" t="n">
        <x:v>1962</x:v>
      </x:c>
      <x:c r="F810" t="n">
        <x:v>194.26</x:v>
      </x:c>
      <x:c r="G810" t="str">
        <x:v>Simple</x:v>
      </x:c>
      <x:c r="H810" t="str">
        <x:v>Betong</x:v>
      </x:c>
      <x:c r="I810" t="str">
        <x:v>Årlig beregnet, ikke målt</x:v>
      </x:c>
      <x:c r="J810" t="str">
        <x:v>01012025_17082025_2025.csv</x:v>
      </x:c>
    </x:row>
    <x:row r="811" ht="22" customHeight="1">
      <x:c r="A811" t="str">
        <x:v>fe76173f0cc1</x:v>
      </x:c>
      <x:c r="B811" t="n">
        <x:v>2025</x:v>
      </x:c>
      <x:c r="C811" t="str">
        <x:v>Boligblokker</x:v>
      </x:c>
      <x:c r="D811" t="str">
        <x:v>E</x:v>
      </x:c>
      <x:c r="E811" t="n">
        <x:v>1959</x:v>
      </x:c>
      <x:c r="F811" t="n">
        <x:v>197.89</x:v>
      </x:c>
      <x:c r="G811" t="str">
        <x:v>Simple</x:v>
      </x:c>
      <x:c r="H811" t="str">
        <x:v>Betong</x:v>
      </x:c>
      <x:c r="I811" t="str">
        <x:v>Årlig beregnet, ikke målt</x:v>
      </x:c>
      <x:c r="J811" t="str">
        <x:v>01012025_17082025_2025.csv</x:v>
      </x:c>
    </x:row>
    <x:row r="812" ht="22" customHeight="1">
      <x:c r="A812" t="str">
        <x:v>94a7a4d0b2cd</x:v>
      </x:c>
      <x:c r="B812" t="n">
        <x:v>2025</x:v>
      </x:c>
      <x:c r="C812" t="str">
        <x:v>Boligblokker</x:v>
      </x:c>
      <x:c r="D812" t="str">
        <x:v>E</x:v>
      </x:c>
      <x:c r="E812" t="n">
        <x:v>1936</x:v>
      </x:c>
      <x:c r="F812" t="n">
        <x:v>299.63</x:v>
      </x:c>
      <x:c r="G812" t="str">
        <x:v>Simple</x:v>
      </x:c>
      <x:c r="H812" t="str">
        <x:v>Betong</x:v>
      </x:c>
      <x:c r="I812" t="str">
        <x:v>Årlig beregnet, ikke målt</x:v>
      </x:c>
      <x:c r="J812" t="str">
        <x:v>01012025_17082025_2025.csv</x:v>
      </x:c>
    </x:row>
    <x:row r="813" ht="22" customHeight="1">
      <x:c r="A813" t="str">
        <x:v>dcc728cadb04</x:v>
      </x:c>
      <x:c r="B813" t="n">
        <x:v>2025</x:v>
      </x:c>
      <x:c r="C813" t="str">
        <x:v>Boligblokker</x:v>
      </x:c>
      <x:c r="D813" t="str">
        <x:v>F</x:v>
      </x:c>
      <x:c r="E813" t="n">
        <x:v>1972</x:v>
      </x:c>
      <x:c r="F813" t="n">
        <x:v>207.19</x:v>
      </x:c>
      <x:c r="G813" t="str">
        <x:v>Simple</x:v>
      </x:c>
      <x:c r="H813" t="str">
        <x:v>Betong</x:v>
      </x:c>
      <x:c r="I813" t="str">
        <x:v>Årlig beregnet, ikke målt</x:v>
      </x:c>
      <x:c r="J813" t="str">
        <x:v>01012025_17082025_2025.csv</x:v>
      </x:c>
    </x:row>
    <x:row r="814" ht="22" customHeight="1">
      <x:c r="A814" t="str">
        <x:v>90413ebd2182</x:v>
      </x:c>
      <x:c r="B814" t="n">
        <x:v>2025</x:v>
      </x:c>
      <x:c r="C814" t="str">
        <x:v>Boligblokker</x:v>
      </x:c>
      <x:c r="D814" t="str">
        <x:v>F</x:v>
      </x:c>
      <x:c r="E814" t="n">
        <x:v>1970</x:v>
      </x:c>
      <x:c r="F814" t="n">
        <x:v>186.09</x:v>
      </x:c>
      <x:c r="G814" t="str">
        <x:v>Advanced</x:v>
      </x:c>
      <x:c r="H814" t="str"/>
      <x:c r="I814" t="str">
        <x:v>Årlig beregnet, ikke målt</x:v>
      </x:c>
      <x:c r="J814" t="str">
        <x:v>01012025_17082025_2025.csv</x:v>
      </x:c>
    </x:row>
    <x:row r="815" ht="22" customHeight="1">
      <x:c r="A815" t="str">
        <x:v>71d38aa10269</x:v>
      </x:c>
      <x:c r="B815" t="n">
        <x:v>2025</x:v>
      </x:c>
      <x:c r="C815" t="str">
        <x:v>Boligblokker</x:v>
      </x:c>
      <x:c r="D815" t="str">
        <x:v>F</x:v>
      </x:c>
      <x:c r="E815" t="n">
        <x:v>1975</x:v>
      </x:c>
      <x:c r="F815" t="n">
        <x:v>193.08</x:v>
      </x:c>
      <x:c r="G815" t="str">
        <x:v>Simple</x:v>
      </x:c>
      <x:c r="H815" t="str">
        <x:v>Betong</x:v>
      </x:c>
      <x:c r="I815" t="str">
        <x:v>Årlig beregnet, ikke målt</x:v>
      </x:c>
      <x:c r="J815" t="str">
        <x:v>01012025_17082025_2025.csv</x:v>
      </x:c>
    </x:row>
    <x:row r="816" ht="22" customHeight="1">
      <x:c r="A816" t="str">
        <x:v>05f56d65aab8</x:v>
      </x:c>
      <x:c r="B816" t="n">
        <x:v>2025</x:v>
      </x:c>
      <x:c r="C816" t="str">
        <x:v>Boligblokker</x:v>
      </x:c>
      <x:c r="D816" t="str">
        <x:v>F</x:v>
      </x:c>
      <x:c r="E816" t="n">
        <x:v>1935</x:v>
      </x:c>
      <x:c r="F816" t="n">
        <x:v>273.46</x:v>
      </x:c>
      <x:c r="G816" t="str">
        <x:v>Simple</x:v>
      </x:c>
      <x:c r="H816" t="str">
        <x:v>Betong</x:v>
      </x:c>
      <x:c r="I816" t="str">
        <x:v>Årlig beregnet, ikke målt</x:v>
      </x:c>
      <x:c r="J816" t="str">
        <x:v>01012025_17082025_2025.csv</x:v>
      </x:c>
    </x:row>
    <x:row r="817" ht="22" customHeight="1">
      <x:c r="A817" t="str">
        <x:v>c968f8b71038</x:v>
      </x:c>
      <x:c r="B817" t="n">
        <x:v>2025</x:v>
      </x:c>
      <x:c r="C817" t="str">
        <x:v>Boligblokker</x:v>
      </x:c>
      <x:c r="D817" t="str">
        <x:v>F</x:v>
      </x:c>
      <x:c r="E817" t="n">
        <x:v>1960</x:v>
      </x:c>
      <x:c r="F817" t="n">
        <x:v>227.83</x:v>
      </x:c>
      <x:c r="G817" t="str">
        <x:v>Simple</x:v>
      </x:c>
      <x:c r="H817" t="str">
        <x:v>Betong</x:v>
      </x:c>
      <x:c r="I817" t="str">
        <x:v>Årlig beregnet, ikke målt</x:v>
      </x:c>
      <x:c r="J817" t="str">
        <x:v>01012025_17082025_2025.csv</x:v>
      </x:c>
    </x:row>
    <x:row r="818" ht="22" customHeight="1">
      <x:c r="A818" t="str">
        <x:v>b9608dbdc2fb</x:v>
      </x:c>
      <x:c r="B818" t="n">
        <x:v>2025</x:v>
      </x:c>
      <x:c r="C818" t="str">
        <x:v>Boligblokker</x:v>
      </x:c>
      <x:c r="D818" t="str">
        <x:v>G</x:v>
      </x:c>
      <x:c r="E818" t="n">
        <x:v>1954</x:v>
      </x:c>
      <x:c r="F818" t="n">
        <x:v>270.07</x:v>
      </x:c>
      <x:c r="G818" t="str">
        <x:v>Simple</x:v>
      </x:c>
      <x:c r="H818" t="str">
        <x:v>Betong</x:v>
      </x:c>
      <x:c r="I818" t="str">
        <x:v>Årlig beregnet, ikke målt</x:v>
      </x:c>
      <x:c r="J818" t="str">
        <x:v>01012025_17082025_2025.csv</x:v>
      </x:c>
    </x:row>
    <x:row r="819" ht="22" customHeight="1">
      <x:c r="A819" t="str">
        <x:v>e5bc2bc13b1b</x:v>
      </x:c>
      <x:c r="B819" t="n">
        <x:v>2025</x:v>
      </x:c>
      <x:c r="C819" t="str">
        <x:v>Boligblokker</x:v>
      </x:c>
      <x:c r="D819" t="str">
        <x:v>G</x:v>
      </x:c>
      <x:c r="E819" t="n">
        <x:v>1966</x:v>
      </x:c>
      <x:c r="F819" t="n">
        <x:v>245.41</x:v>
      </x:c>
      <x:c r="G819" t="str">
        <x:v>Advanced</x:v>
      </x:c>
      <x:c r="H819" t="str"/>
      <x:c r="I819" t="str">
        <x:v>Årlig beregnet, ikke målt</x:v>
      </x:c>
      <x:c r="J819" t="str">
        <x:v>01012025_17082025_2025.csv</x:v>
      </x:c>
    </x:row>
    <x:row r="820" ht="22" customHeight="1">
      <x:c r="A820" t="str">
        <x:v>732a1a5bd757</x:v>
      </x:c>
      <x:c r="B820" t="n">
        <x:v>2025</x:v>
      </x:c>
      <x:c r="C820" t="str">
        <x:v>Boligblokker</x:v>
      </x:c>
      <x:c r="D820" t="str">
        <x:v>G</x:v>
      </x:c>
      <x:c r="E820" t="n">
        <x:v>1936</x:v>
      </x:c>
      <x:c r="F820" t="n">
        <x:v>339.98</x:v>
      </x:c>
      <x:c r="G820" t="str">
        <x:v>Advanced</x:v>
      </x:c>
      <x:c r="H820" t="str"/>
      <x:c r="I820" t="str">
        <x:v>Årlig beregnet, ikke målt</x:v>
      </x:c>
      <x:c r="J820" t="str">
        <x:v>01012025_17082025_2025.csv</x:v>
      </x:c>
    </x:row>
    <x:row r="821" ht="22" customHeight="1">
      <x:c r="A821" t="str">
        <x:v>686b0dcbf70e</x:v>
      </x:c>
      <x:c r="B821" t="n">
        <x:v>2025</x:v>
      </x:c>
      <x:c r="C821" t="str">
        <x:v>Boligblokker</x:v>
      </x:c>
      <x:c r="D821" t="str">
        <x:v>G</x:v>
      </x:c>
      <x:c r="E821" t="n">
        <x:v>1981</x:v>
      </x:c>
      <x:c r="F821" t="n">
        <x:v>339.79</x:v>
      </x:c>
      <x:c r="G821" t="str">
        <x:v>Simple</x:v>
      </x:c>
      <x:c r="H821" t="str">
        <x:v>Betong</x:v>
      </x:c>
      <x:c r="I821" t="str">
        <x:v>Årlig beregnet, ikke målt</x:v>
      </x:c>
      <x:c r="J821" t="str">
        <x:v>01012025_17082025_2025.csv</x:v>
      </x:c>
    </x:row>
    <x:row r="822" ht="22" customHeight="1">
      <x:c r="A822" t="str">
        <x:v>1a135487888b</x:v>
      </x:c>
      <x:c r="B822" t="n">
        <x:v>2025</x:v>
      </x:c>
      <x:c r="C822" t="str">
        <x:v>Boligblokker</x:v>
      </x:c>
      <x:c r="D822" t="str">
        <x:v>G</x:v>
      </x:c>
      <x:c r="E822" t="n">
        <x:v>1974</x:v>
      </x:c>
      <x:c r="F822" t="n">
        <x:v>266.42</x:v>
      </x:c>
      <x:c r="G822" t="str">
        <x:v>Advanced</x:v>
      </x:c>
      <x:c r="H822" t="str"/>
      <x:c r="I822" t="str">
        <x:v>Årlig beregnet, ikke målt</x:v>
      </x:c>
      <x:c r="J822" t="str">
        <x:v>01012025_17082025_2025.csv</x:v>
      </x:c>
    </x:row>
    <x:row r="823" ht="22" customHeight="1">
      <x:c r="A823" t="str">
        <x:v>98988ba8f721</x:v>
      </x:c>
      <x:c r="B823" t="n">
        <x:v>2025</x:v>
      </x:c>
      <x:c r="C823" t="str">
        <x:v>Forretningsbygg</x:v>
      </x:c>
      <x:c r="D823" t="str">
        <x:v>A</x:v>
      </x:c>
      <x:c r="E823" t="n">
        <x:v>2021</x:v>
      </x:c>
      <x:c r="F823" t="n">
        <x:v>106.08</x:v>
      </x:c>
      <x:c r="G823" t="str">
        <x:v>Advanced</x:v>
      </x:c>
      <x:c r="H823" t="str"/>
      <x:c r="I823" t="str">
        <x:v>Årlig beregnet, ikke målt</x:v>
      </x:c>
      <x:c r="J823" t="str">
        <x:v>01012025_17082025_2025.csv</x:v>
      </x:c>
    </x:row>
    <x:row r="824" ht="22" customHeight="1">
      <x:c r="A824" t="str">
        <x:v>685c32369c43</x:v>
      </x:c>
      <x:c r="B824" t="n">
        <x:v>2025</x:v>
      </x:c>
      <x:c r="C824" t="str">
        <x:v>Forretningsbygg</x:v>
      </x:c>
      <x:c r="D824" t="str">
        <x:v>A</x:v>
      </x:c>
      <x:c r="E824" t="n">
        <x:v>2004</x:v>
      </x:c>
      <x:c r="F824" t="n">
        <x:v>106.81</x:v>
      </x:c>
      <x:c r="G824" t="str">
        <x:v>Advanced</x:v>
      </x:c>
      <x:c r="H824" t="str"/>
      <x:c r="I824" t="str">
        <x:v>Årlig beregnet, ikke målt</x:v>
      </x:c>
      <x:c r="J824" t="str">
        <x:v>01012025_17082025_2025.csv</x:v>
      </x:c>
    </x:row>
    <x:row r="825" ht="22" customHeight="1">
      <x:c r="A825" t="str">
        <x:v>6faae559f52a</x:v>
      </x:c>
      <x:c r="B825" t="n">
        <x:v>2025</x:v>
      </x:c>
      <x:c r="C825" t="str">
        <x:v>Forretningsbygg</x:v>
      </x:c>
      <x:c r="D825" t="str">
        <x:v>A</x:v>
      </x:c>
      <x:c r="E825" t="n">
        <x:v>2025</x:v>
      </x:c>
      <x:c r="F825" t="n">
        <x:v>85.65</x:v>
      </x:c>
      <x:c r="G825" t="str">
        <x:v>Advanced</x:v>
      </x:c>
      <x:c r="H825" t="str"/>
      <x:c r="I825" t="str">
        <x:v>Årlig beregnet, ikke målt</x:v>
      </x:c>
      <x:c r="J825" t="str">
        <x:v>01012025_17082025_2025.csv</x:v>
      </x:c>
    </x:row>
    <x:row r="826" ht="22" customHeight="1">
      <x:c r="A826" t="str">
        <x:v>305158a0257d</x:v>
      </x:c>
      <x:c r="B826" t="n">
        <x:v>2025</x:v>
      </x:c>
      <x:c r="C826" t="str">
        <x:v>Forretningsbygg</x:v>
      </x:c>
      <x:c r="D826" t="str">
        <x:v>A</x:v>
      </x:c>
      <x:c r="E826" t="n">
        <x:v>2025</x:v>
      </x:c>
      <x:c r="F826" t="n">
        <x:v>99.12</x:v>
      </x:c>
      <x:c r="G826" t="str">
        <x:v>Advanced</x:v>
      </x:c>
      <x:c r="H826" t="str"/>
      <x:c r="I826" t="str">
        <x:v>Årlig beregnet, ikke målt</x:v>
      </x:c>
      <x:c r="J826" t="str">
        <x:v>01012025_17082025_2025.csv</x:v>
      </x:c>
    </x:row>
    <x:row r="827" ht="22" customHeight="1">
      <x:c r="A827" t="str">
        <x:v>c0fa5a09378a</x:v>
      </x:c>
      <x:c r="B827" t="n">
        <x:v>2025</x:v>
      </x:c>
      <x:c r="C827" t="str">
        <x:v>Forretningsbygg</x:v>
      </x:c>
      <x:c r="D827" t="str">
        <x:v>A</x:v>
      </x:c>
      <x:c r="E827" t="n">
        <x:v>2025</x:v>
      </x:c>
      <x:c r="F827" t="n">
        <x:v>99.12</x:v>
      </x:c>
      <x:c r="G827" t="str">
        <x:v>Advanced</x:v>
      </x:c>
      <x:c r="H827" t="str"/>
      <x:c r="I827" t="str">
        <x:v>Årlig beregnet, ikke målt</x:v>
      </x:c>
      <x:c r="J827" t="str">
        <x:v>01012025_17082025_2025.csv</x:v>
      </x:c>
    </x:row>
    <x:row r="828" ht="22" customHeight="1">
      <x:c r="A828" t="str">
        <x:v>4d83c87ed713</x:v>
      </x:c>
      <x:c r="B828" t="n">
        <x:v>2025</x:v>
      </x:c>
      <x:c r="C828" t="str">
        <x:v>Forretningsbygg</x:v>
      </x:c>
      <x:c r="D828" t="str">
        <x:v>B</x:v>
      </x:c>
      <x:c r="E828" t="n">
        <x:v>2008</x:v>
      </x:c>
      <x:c r="F828" t="n">
        <x:v>109.74</x:v>
      </x:c>
      <x:c r="G828" t="str">
        <x:v>Advanced</x:v>
      </x:c>
      <x:c r="H828" t="str"/>
      <x:c r="I828" t="str">
        <x:v>Årlig beregnet, ikke målt</x:v>
      </x:c>
      <x:c r="J828" t="str">
        <x:v>01012025_17082025_2025.csv</x:v>
      </x:c>
    </x:row>
    <x:row r="829" ht="22" customHeight="1">
      <x:c r="A829" t="str">
        <x:v>4cfcb9219cde</x:v>
      </x:c>
      <x:c r="B829" t="n">
        <x:v>2025</x:v>
      </x:c>
      <x:c r="C829" t="str">
        <x:v>Forretningsbygg</x:v>
      </x:c>
      <x:c r="D829" t="str">
        <x:v>B</x:v>
      </x:c>
      <x:c r="E829" t="n">
        <x:v>2000</x:v>
      </x:c>
      <x:c r="F829" t="n">
        <x:v>140.29</x:v>
      </x:c>
      <x:c r="G829" t="str">
        <x:v>Advanced</x:v>
      </x:c>
      <x:c r="H829" t="str"/>
      <x:c r="I829" t="str">
        <x:v>Årlig beregnet, ikke målt</x:v>
      </x:c>
      <x:c r="J829" t="str">
        <x:v>01012025_17082025_2025.csv</x:v>
      </x:c>
    </x:row>
    <x:row r="830" ht="22" customHeight="1">
      <x:c r="A830" t="str">
        <x:v>59d71d022cd2</x:v>
      </x:c>
      <x:c r="B830" t="n">
        <x:v>2025</x:v>
      </x:c>
      <x:c r="C830" t="str">
        <x:v>Forretningsbygg</x:v>
      </x:c>
      <x:c r="D830" t="str">
        <x:v>B</x:v>
      </x:c>
      <x:c r="E830" t="n">
        <x:v>2025</x:v>
      </x:c>
      <x:c r="F830" t="n">
        <x:v>111.11</x:v>
      </x:c>
      <x:c r="G830" t="str">
        <x:v>Advanced</x:v>
      </x:c>
      <x:c r="H830" t="str"/>
      <x:c r="I830" t="str">
        <x:v>Årlig beregnet, ikke målt</x:v>
      </x:c>
      <x:c r="J830" t="str">
        <x:v>01012025_17082025_2025.csv</x:v>
      </x:c>
    </x:row>
    <x:row r="831" ht="22" customHeight="1">
      <x:c r="A831" t="str">
        <x:v>0eaa588d0ce5</x:v>
      </x:c>
      <x:c r="B831" t="n">
        <x:v>2025</x:v>
      </x:c>
      <x:c r="C831" t="str">
        <x:v>Forretningsbygg</x:v>
      </x:c>
      <x:c r="D831" t="str">
        <x:v>B</x:v>
      </x:c>
      <x:c r="E831" t="n">
        <x:v>2017</x:v>
      </x:c>
      <x:c r="F831" t="n">
        <x:v>118.55</x:v>
      </x:c>
      <x:c r="G831" t="str">
        <x:v>Advanced</x:v>
      </x:c>
      <x:c r="H831" t="str"/>
      <x:c r="I831" t="str">
        <x:v>Årlig beregnet, ikke målt</x:v>
      </x:c>
      <x:c r="J831" t="str">
        <x:v>01012025_17082025_2025.csv</x:v>
      </x:c>
    </x:row>
    <x:row r="832" ht="22" customHeight="1">
      <x:c r="A832" t="str">
        <x:v>b8ac053653e8</x:v>
      </x:c>
      <x:c r="B832" t="n">
        <x:v>2025</x:v>
      </x:c>
      <x:c r="C832" t="str">
        <x:v>Forretningsbygg</x:v>
      </x:c>
      <x:c r="D832" t="str">
        <x:v>B</x:v>
      </x:c>
      <x:c r="E832" t="n">
        <x:v>2000</x:v>
      </x:c>
      <x:c r="F832" t="n">
        <x:v>147.39</x:v>
      </x:c>
      <x:c r="G832" t="str">
        <x:v>Advanced</x:v>
      </x:c>
      <x:c r="H832" t="str"/>
      <x:c r="I832" t="str">
        <x:v>Årlig beregnet, ikke målt</x:v>
      </x:c>
      <x:c r="J832" t="str">
        <x:v>01012025_17082025_2025.csv</x:v>
      </x:c>
    </x:row>
    <x:row r="833" ht="22" customHeight="1">
      <x:c r="A833" t="str">
        <x:v>f1f20c11b9d6</x:v>
      </x:c>
      <x:c r="B833" t="n">
        <x:v>2025</x:v>
      </x:c>
      <x:c r="C833" t="str">
        <x:v>Forretningsbygg</x:v>
      </x:c>
      <x:c r="D833" t="str">
        <x:v>C</x:v>
      </x:c>
      <x:c r="E833" t="n">
        <x:v>2000</x:v>
      </x:c>
      <x:c r="F833" t="n">
        <x:v>164.86</x:v>
      </x:c>
      <x:c r="G833" t="str">
        <x:v>Advanced</x:v>
      </x:c>
      <x:c r="H833" t="str"/>
      <x:c r="I833" t="str">
        <x:v>Årlig beregnet, ikke målt</x:v>
      </x:c>
      <x:c r="J833" t="str">
        <x:v>01012025_17082025_2025.csv</x:v>
      </x:c>
    </x:row>
    <x:row r="834" ht="22" customHeight="1">
      <x:c r="A834" t="str">
        <x:v>eb89a254a628</x:v>
      </x:c>
      <x:c r="B834" t="n">
        <x:v>2025</x:v>
      </x:c>
      <x:c r="C834" t="str">
        <x:v>Forretningsbygg</x:v>
      </x:c>
      <x:c r="D834" t="str">
        <x:v>C</x:v>
      </x:c>
      <x:c r="E834" t="n">
        <x:v>1986</x:v>
      </x:c>
      <x:c r="F834" t="n">
        <x:v>174.64</x:v>
      </x:c>
      <x:c r="G834" t="str">
        <x:v>Advanced</x:v>
      </x:c>
      <x:c r="H834" t="str"/>
      <x:c r="I834" t="str">
        <x:v>Årlig beregnet, ikke målt</x:v>
      </x:c>
      <x:c r="J834" t="str">
        <x:v>01012025_17082025_2025.csv</x:v>
      </x:c>
    </x:row>
    <x:row r="835" ht="22" customHeight="1">
      <x:c r="A835" t="str">
        <x:v>8f04a0e546fa</x:v>
      </x:c>
      <x:c r="B835" t="n">
        <x:v>2025</x:v>
      </x:c>
      <x:c r="C835" t="str">
        <x:v>Forretningsbygg</x:v>
      </x:c>
      <x:c r="D835" t="str">
        <x:v>C</x:v>
      </x:c>
      <x:c r="E835" t="n">
        <x:v>1897</x:v>
      </x:c>
      <x:c r="F835" t="n">
        <x:v>206.39</x:v>
      </x:c>
      <x:c r="G835" t="str">
        <x:v>Advanced</x:v>
      </x:c>
      <x:c r="H835" t="str"/>
      <x:c r="I835" t="str">
        <x:v>Årlig beregnet, ikke målt</x:v>
      </x:c>
      <x:c r="J835" t="str">
        <x:v>01012025_17082025_2025.csv</x:v>
      </x:c>
    </x:row>
    <x:row r="836" ht="22" customHeight="1">
      <x:c r="A836" t="str">
        <x:v>4b887aa95936</x:v>
      </x:c>
      <x:c r="B836" t="n">
        <x:v>2025</x:v>
      </x:c>
      <x:c r="C836" t="str">
        <x:v>Forretningsbygg</x:v>
      </x:c>
      <x:c r="D836" t="str">
        <x:v>C</x:v>
      </x:c>
      <x:c r="E836" t="n">
        <x:v>1996</x:v>
      </x:c>
      <x:c r="F836" t="n">
        <x:v>187.81</x:v>
      </x:c>
      <x:c r="G836" t="str">
        <x:v>Advanced</x:v>
      </x:c>
      <x:c r="H836" t="str"/>
      <x:c r="I836" t="str">
        <x:v>Årlig beregnet, ikke målt</x:v>
      </x:c>
      <x:c r="J836" t="str">
        <x:v>01012025_17082025_2025.csv</x:v>
      </x:c>
    </x:row>
    <x:row r="837" ht="22" customHeight="1">
      <x:c r="A837" t="str">
        <x:v>faba3beb6531</x:v>
      </x:c>
      <x:c r="B837" t="n">
        <x:v>2025</x:v>
      </x:c>
      <x:c r="C837" t="str">
        <x:v>Forretningsbygg</x:v>
      </x:c>
      <x:c r="D837" t="str">
        <x:v>C</x:v>
      </x:c>
      <x:c r="E837" t="n">
        <x:v>1950</x:v>
      </x:c>
      <x:c r="F837" t="n">
        <x:v>207.34</x:v>
      </x:c>
      <x:c r="G837" t="str">
        <x:v>Advanced</x:v>
      </x:c>
      <x:c r="H837" t="str"/>
      <x:c r="I837" t="str">
        <x:v>Årlig beregnet, ikke målt</x:v>
      </x:c>
      <x:c r="J837" t="str">
        <x:v>01012025_17082025_2025.csv</x:v>
      </x:c>
    </x:row>
    <x:row r="838" ht="22" customHeight="1">
      <x:c r="A838" t="str">
        <x:v>204d779b0534</x:v>
      </x:c>
      <x:c r="B838" t="n">
        <x:v>2025</x:v>
      </x:c>
      <x:c r="C838" t="str">
        <x:v>Forretningsbygg</x:v>
      </x:c>
      <x:c r="D838" t="str">
        <x:v>D</x:v>
      </x:c>
      <x:c r="E838" t="n">
        <x:v>1988</x:v>
      </x:c>
      <x:c r="F838" t="n">
        <x:v>229.12</x:v>
      </x:c>
      <x:c r="G838" t="str">
        <x:v>Advanced</x:v>
      </x:c>
      <x:c r="H838" t="str"/>
      <x:c r="I838" t="str">
        <x:v>Årlig beregnet, ikke målt</x:v>
      </x:c>
      <x:c r="J838" t="str">
        <x:v>01012025_17082025_2025.csv</x:v>
      </x:c>
    </x:row>
    <x:row r="839" ht="22" customHeight="1">
      <x:c r="A839" t="str">
        <x:v>7ef31f29104d</x:v>
      </x:c>
      <x:c r="B839" t="n">
        <x:v>2025</x:v>
      </x:c>
      <x:c r="C839" t="str">
        <x:v>Forretningsbygg</x:v>
      </x:c>
      <x:c r="D839" t="str">
        <x:v>D</x:v>
      </x:c>
      <x:c r="E839" t="n">
        <x:v>1996</x:v>
      </x:c>
      <x:c r="F839" t="n">
        <x:v>214.64</x:v>
      </x:c>
      <x:c r="G839" t="str">
        <x:v>Advanced</x:v>
      </x:c>
      <x:c r="H839" t="str"/>
      <x:c r="I839" t="str">
        <x:v>Årlig beregnet, ikke målt</x:v>
      </x:c>
      <x:c r="J839" t="str">
        <x:v>01012025_17082025_2025.csv</x:v>
      </x:c>
    </x:row>
    <x:row r="840" ht="22" customHeight="1">
      <x:c r="A840" t="str">
        <x:v>91ac08e10987</x:v>
      </x:c>
      <x:c r="B840" t="n">
        <x:v>2025</x:v>
      </x:c>
      <x:c r="C840" t="str">
        <x:v>Forretningsbygg</x:v>
      </x:c>
      <x:c r="D840" t="str">
        <x:v>D</x:v>
      </x:c>
      <x:c r="E840" t="n">
        <x:v>1961</x:v>
      </x:c>
      <x:c r="F840" t="n">
        <x:v>222.84</x:v>
      </x:c>
      <x:c r="G840" t="str">
        <x:v>Advanced</x:v>
      </x:c>
      <x:c r="H840" t="str"/>
      <x:c r="I840" t="str">
        <x:v>Årlig beregnet, ikke målt</x:v>
      </x:c>
      <x:c r="J840" t="str">
        <x:v>01012025_17082025_2025.csv</x:v>
      </x:c>
    </x:row>
    <x:row r="841" ht="22" customHeight="1">
      <x:c r="A841" t="str">
        <x:v>dd43bf3bab11</x:v>
      </x:c>
      <x:c r="B841" t="n">
        <x:v>2025</x:v>
      </x:c>
      <x:c r="C841" t="str">
        <x:v>Forretningsbygg</x:v>
      </x:c>
      <x:c r="D841" t="str">
        <x:v>D</x:v>
      </x:c>
      <x:c r="E841" t="n">
        <x:v>1977</x:v>
      </x:c>
      <x:c r="F841" t="n">
        <x:v>222.73</x:v>
      </x:c>
      <x:c r="G841" t="str">
        <x:v>Advanced</x:v>
      </x:c>
      <x:c r="H841" t="str"/>
      <x:c r="I841" t="str">
        <x:v>Årlig beregnet, ikke målt</x:v>
      </x:c>
      <x:c r="J841" t="str">
        <x:v>01012025_17082025_2025.csv</x:v>
      </x:c>
    </x:row>
    <x:row r="842" ht="22" customHeight="1">
      <x:c r="A842" t="str">
        <x:v>c24ac89e026b</x:v>
      </x:c>
      <x:c r="B842" t="n">
        <x:v>2025</x:v>
      </x:c>
      <x:c r="C842" t="str">
        <x:v>Forretningsbygg</x:v>
      </x:c>
      <x:c r="D842" t="str">
        <x:v>D</x:v>
      </x:c>
      <x:c r="E842" t="n">
        <x:v>1979</x:v>
      </x:c>
      <x:c r="F842" t="n">
        <x:v>228.75</x:v>
      </x:c>
      <x:c r="G842" t="str">
        <x:v>Advanced</x:v>
      </x:c>
      <x:c r="H842" t="str"/>
      <x:c r="I842" t="str">
        <x:v>Årlig beregnet, ikke målt</x:v>
      </x:c>
      <x:c r="J842" t="str">
        <x:v>01012025_17082025_2025.csv</x:v>
      </x:c>
    </x:row>
    <x:row r="843" ht="22" customHeight="1">
      <x:c r="A843" t="str">
        <x:v>ddbe8586a7a1</x:v>
      </x:c>
      <x:c r="B843" t="n">
        <x:v>2025</x:v>
      </x:c>
      <x:c r="C843" t="str">
        <x:v>Forretningsbygg</x:v>
      </x:c>
      <x:c r="D843" t="str">
        <x:v>E</x:v>
      </x:c>
      <x:c r="E843" t="n">
        <x:v>1980</x:v>
      </x:c>
      <x:c r="F843" t="n">
        <x:v>271.72</x:v>
      </x:c>
      <x:c r="G843" t="str">
        <x:v>Advanced</x:v>
      </x:c>
      <x:c r="H843" t="str"/>
      <x:c r="I843" t="str">
        <x:v>Årlig beregnet, ikke målt</x:v>
      </x:c>
      <x:c r="J843" t="str">
        <x:v>01012025_17082025_2025.csv</x:v>
      </x:c>
    </x:row>
    <x:row r="844" ht="22" customHeight="1">
      <x:c r="A844" t="str">
        <x:v>0503288d3e8d</x:v>
      </x:c>
      <x:c r="B844" t="n">
        <x:v>2025</x:v>
      </x:c>
      <x:c r="C844" t="str">
        <x:v>Forretningsbygg</x:v>
      </x:c>
      <x:c r="D844" t="str">
        <x:v>E</x:v>
      </x:c>
      <x:c r="E844" t="n">
        <x:v>1986</x:v>
      </x:c>
      <x:c r="F844" t="n">
        <x:v>271.5</x:v>
      </x:c>
      <x:c r="G844" t="str">
        <x:v>Advanced</x:v>
      </x:c>
      <x:c r="H844" t="str"/>
      <x:c r="I844" t="str">
        <x:v>Årlig beregnet, ikke målt</x:v>
      </x:c>
      <x:c r="J844" t="str">
        <x:v>01012025_17082025_2025.csv</x:v>
      </x:c>
    </x:row>
    <x:row r="845" ht="22" customHeight="1">
      <x:c r="A845" t="str">
        <x:v>9faf397d004d</x:v>
      </x:c>
      <x:c r="B845" t="n">
        <x:v>2025</x:v>
      </x:c>
      <x:c r="C845" t="str">
        <x:v>Forretningsbygg</x:v>
      </x:c>
      <x:c r="D845" t="str">
        <x:v>E</x:v>
      </x:c>
      <x:c r="E845" t="n">
        <x:v>1892</x:v>
      </x:c>
      <x:c r="F845" t="n">
        <x:v>262.53</x:v>
      </x:c>
      <x:c r="G845" t="str">
        <x:v>Advanced</x:v>
      </x:c>
      <x:c r="H845" t="str"/>
      <x:c r="I845" t="str">
        <x:v>Årlig beregnet, ikke målt</x:v>
      </x:c>
      <x:c r="J845" t="str">
        <x:v>01012025_17082025_2025.csv</x:v>
      </x:c>
    </x:row>
    <x:row r="846" ht="22" customHeight="1">
      <x:c r="A846" t="str">
        <x:v>9b360afd129f</x:v>
      </x:c>
      <x:c r="B846" t="n">
        <x:v>2025</x:v>
      </x:c>
      <x:c r="C846" t="str">
        <x:v>Forretningsbygg</x:v>
      </x:c>
      <x:c r="D846" t="str">
        <x:v>E</x:v>
      </x:c>
      <x:c r="E846" t="n">
        <x:v>1989</x:v>
      </x:c>
      <x:c r="F846" t="n">
        <x:v>290.92</x:v>
      </x:c>
      <x:c r="G846" t="str">
        <x:v>Advanced</x:v>
      </x:c>
      <x:c r="H846" t="str"/>
      <x:c r="I846" t="str">
        <x:v>Årlig beregnet, ikke målt</x:v>
      </x:c>
      <x:c r="J846" t="str">
        <x:v>01012025_17082025_2025.csv</x:v>
      </x:c>
    </x:row>
    <x:row r="847" ht="22" customHeight="1">
      <x:c r="A847" t="str">
        <x:v>964a3326ee61</x:v>
      </x:c>
      <x:c r="B847" t="n">
        <x:v>2025</x:v>
      </x:c>
      <x:c r="C847" t="str">
        <x:v>Forretningsbygg</x:v>
      </x:c>
      <x:c r="D847" t="str">
        <x:v>E</x:v>
      </x:c>
      <x:c r="E847" t="n">
        <x:v>1900</x:v>
      </x:c>
      <x:c r="F847" t="n">
        <x:v>289.99</x:v>
      </x:c>
      <x:c r="G847" t="str">
        <x:v>Advanced</x:v>
      </x:c>
      <x:c r="H847" t="str"/>
      <x:c r="I847" t="str">
        <x:v>Årlig beregnet, ikke målt</x:v>
      </x:c>
      <x:c r="J847" t="str">
        <x:v>01012025_17082025_2025.csv</x:v>
      </x:c>
    </x:row>
    <x:row r="848" ht="22" customHeight="1">
      <x:c r="A848" t="str">
        <x:v>a75769c39e30</x:v>
      </x:c>
      <x:c r="B848" t="n">
        <x:v>2025</x:v>
      </x:c>
      <x:c r="C848" t="str">
        <x:v>Forretningsbygg</x:v>
      </x:c>
      <x:c r="D848" t="str">
        <x:v>F</x:v>
      </x:c>
      <x:c r="E848" t="n">
        <x:v>2004</x:v>
      </x:c>
      <x:c r="F848" t="n">
        <x:v>317.06</x:v>
      </x:c>
      <x:c r="G848" t="str">
        <x:v>Advanced</x:v>
      </x:c>
      <x:c r="H848" t="str"/>
      <x:c r="I848" t="str">
        <x:v>Årlig beregnet, ikke målt</x:v>
      </x:c>
      <x:c r="J848" t="str">
        <x:v>01012025_17082025_2025.csv</x:v>
      </x:c>
    </x:row>
    <x:row r="849" ht="22" customHeight="1">
      <x:c r="A849" t="str">
        <x:v>dc0e126146ef</x:v>
      </x:c>
      <x:c r="B849" t="n">
        <x:v>2025</x:v>
      </x:c>
      <x:c r="C849" t="str">
        <x:v>Forretningsbygg</x:v>
      </x:c>
      <x:c r="D849" t="str">
        <x:v>F</x:v>
      </x:c>
      <x:c r="E849" t="n">
        <x:v>1987</x:v>
      </x:c>
      <x:c r="F849" t="n">
        <x:v>311.35</x:v>
      </x:c>
      <x:c r="G849" t="str">
        <x:v>Advanced</x:v>
      </x:c>
      <x:c r="H849" t="str"/>
      <x:c r="I849" t="str">
        <x:v>Årlig beregnet, ikke målt</x:v>
      </x:c>
      <x:c r="J849" t="str">
        <x:v>01012025_17082025_2025.csv</x:v>
      </x:c>
    </x:row>
    <x:row r="850" ht="22" customHeight="1">
      <x:c r="A850" t="str">
        <x:v>a8fcf23a7cdd</x:v>
      </x:c>
      <x:c r="B850" t="n">
        <x:v>2025</x:v>
      </x:c>
      <x:c r="C850" t="str">
        <x:v>Forretningsbygg</x:v>
      </x:c>
      <x:c r="D850" t="str">
        <x:v>F</x:v>
      </x:c>
      <x:c r="E850" t="n">
        <x:v>1965</x:v>
      </x:c>
      <x:c r="F850" t="n">
        <x:v>346.08</x:v>
      </x:c>
      <x:c r="G850" t="str">
        <x:v>Advanced</x:v>
      </x:c>
      <x:c r="H850" t="str"/>
      <x:c r="I850" t="str">
        <x:v>Årlig beregnet, ikke målt</x:v>
      </x:c>
      <x:c r="J850" t="str">
        <x:v>01012025_17082025_2025.csv</x:v>
      </x:c>
    </x:row>
    <x:row r="851" ht="22" customHeight="1">
      <x:c r="A851" t="str">
        <x:v>77705cc1bae8</x:v>
      </x:c>
      <x:c r="B851" t="n">
        <x:v>2025</x:v>
      </x:c>
      <x:c r="C851" t="str">
        <x:v>Forretningsbygg</x:v>
      </x:c>
      <x:c r="D851" t="str">
        <x:v>F</x:v>
      </x:c>
      <x:c r="E851" t="n">
        <x:v>1986</x:v>
      </x:c>
      <x:c r="F851" t="n">
        <x:v>353.07</x:v>
      </x:c>
      <x:c r="G851" t="str">
        <x:v>Advanced</x:v>
      </x:c>
      <x:c r="H851" t="str"/>
      <x:c r="I851" t="str">
        <x:v>Årlig beregnet, ikke målt</x:v>
      </x:c>
      <x:c r="J851" t="str">
        <x:v>01012025_17082025_2025.csv</x:v>
      </x:c>
    </x:row>
    <x:row r="852" ht="22" customHeight="1">
      <x:c r="A852" t="str">
        <x:v>c094bba811ee</x:v>
      </x:c>
      <x:c r="B852" t="n">
        <x:v>2025</x:v>
      </x:c>
      <x:c r="C852" t="str">
        <x:v>Forretningsbygg</x:v>
      </x:c>
      <x:c r="D852" t="str">
        <x:v>F</x:v>
      </x:c>
      <x:c r="E852" t="n">
        <x:v>2000</x:v>
      </x:c>
      <x:c r="F852" t="n">
        <x:v>371.38</x:v>
      </x:c>
      <x:c r="G852" t="str">
        <x:v>Advanced</x:v>
      </x:c>
      <x:c r="H852" t="str"/>
      <x:c r="I852" t="str">
        <x:v>Årlig beregnet, ikke målt</x:v>
      </x:c>
      <x:c r="J852" t="str">
        <x:v>01012025_17082025_2025.csv</x:v>
      </x:c>
    </x:row>
    <x:row r="853" ht="22" customHeight="1">
      <x:c r="A853" t="str">
        <x:v>603b639ed59e</x:v>
      </x:c>
      <x:c r="B853" t="n">
        <x:v>2025</x:v>
      </x:c>
      <x:c r="C853" t="str">
        <x:v>Forretningsbygg</x:v>
      </x:c>
      <x:c r="D853" t="str">
        <x:v>G</x:v>
      </x:c>
      <x:c r="E853" t="n">
        <x:v>1930</x:v>
      </x:c>
      <x:c r="F853" t="n">
        <x:v>388.23</x:v>
      </x:c>
      <x:c r="G853" t="str">
        <x:v>Advanced</x:v>
      </x:c>
      <x:c r="H853" t="str"/>
      <x:c r="I853" t="str">
        <x:v>Årlig beregnet, ikke målt</x:v>
      </x:c>
      <x:c r="J853" t="str">
        <x:v>01012025_17082025_2025.csv</x:v>
      </x:c>
    </x:row>
    <x:row r="854" ht="22" customHeight="1">
      <x:c r="A854" t="str">
        <x:v>5269ef4bf13b</x:v>
      </x:c>
      <x:c r="B854" t="n">
        <x:v>2025</x:v>
      </x:c>
      <x:c r="C854" t="str">
        <x:v>Forretningsbygg</x:v>
      </x:c>
      <x:c r="D854" t="str">
        <x:v>G</x:v>
      </x:c>
      <x:c r="E854" t="n">
        <x:v>1898</x:v>
      </x:c>
      <x:c r="F854" t="n">
        <x:v>466.42</x:v>
      </x:c>
      <x:c r="G854" t="str">
        <x:v>Advanced</x:v>
      </x:c>
      <x:c r="H854" t="str"/>
      <x:c r="I854" t="str">
        <x:v>Årlig beregnet, ikke målt</x:v>
      </x:c>
      <x:c r="J854" t="str">
        <x:v>01012025_17082025_2025.csv</x:v>
      </x:c>
    </x:row>
    <x:row r="855" ht="22" customHeight="1">
      <x:c r="A855" t="str">
        <x:v>79a7af06d79a</x:v>
      </x:c>
      <x:c r="B855" t="n">
        <x:v>2025</x:v>
      </x:c>
      <x:c r="C855" t="str">
        <x:v>Forretningsbygg</x:v>
      </x:c>
      <x:c r="D855" t="str">
        <x:v>G</x:v>
      </x:c>
      <x:c r="E855" t="n">
        <x:v>1864</x:v>
      </x:c>
      <x:c r="F855" t="n">
        <x:v>555.1</x:v>
      </x:c>
      <x:c r="G855" t="str">
        <x:v>Advanced</x:v>
      </x:c>
      <x:c r="H855" t="str"/>
      <x:c r="I855" t="str">
        <x:v>Årlig beregnet, ikke målt</x:v>
      </x:c>
      <x:c r="J855" t="str">
        <x:v>01012025_17082025_2025.csv</x:v>
      </x:c>
    </x:row>
    <x:row r="856" ht="22" customHeight="1">
      <x:c r="A856" t="str">
        <x:v>80951093102a</x:v>
      </x:c>
      <x:c r="B856" t="n">
        <x:v>2025</x:v>
      </x:c>
      <x:c r="C856" t="str">
        <x:v>Forretningsbygg</x:v>
      </x:c>
      <x:c r="D856" t="str">
        <x:v>G</x:v>
      </x:c>
      <x:c r="E856" t="n">
        <x:v>1971</x:v>
      </x:c>
      <x:c r="F856" t="n">
        <x:v>434.36</x:v>
      </x:c>
      <x:c r="G856" t="str">
        <x:v>Advanced</x:v>
      </x:c>
      <x:c r="H856" t="str"/>
      <x:c r="I856" t="str">
        <x:v>Årlig beregnet, ikke målt</x:v>
      </x:c>
      <x:c r="J856" t="str">
        <x:v>01012025_17082025_2025.csv</x:v>
      </x:c>
    </x:row>
    <x:row r="857" ht="22" customHeight="1">
      <x:c r="A857" t="str">
        <x:v>552f949fb587</x:v>
      </x:c>
      <x:c r="B857" t="n">
        <x:v>2025</x:v>
      </x:c>
      <x:c r="C857" t="str">
        <x:v>Forretningsbygg</x:v>
      </x:c>
      <x:c r="D857" t="str">
        <x:v>G</x:v>
      </x:c>
      <x:c r="E857" t="n">
        <x:v>1968</x:v>
      </x:c>
      <x:c r="F857" t="n">
        <x:v>394.42</x:v>
      </x:c>
      <x:c r="G857" t="str">
        <x:v>Advanced</x:v>
      </x:c>
      <x:c r="H857" t="str"/>
      <x:c r="I857" t="str">
        <x:v>Årlig beregnet, ikke målt</x:v>
      </x:c>
      <x:c r="J857" t="str">
        <x:v>01012025_17082025_2025.csv</x:v>
      </x:c>
    </x:row>
    <x:row r="858" ht="22" customHeight="1">
      <x:c r="A858" t="str">
        <x:v>36ada9b37fa5</x:v>
      </x:c>
      <x:c r="B858" t="n">
        <x:v>2025</x:v>
      </x:c>
      <x:c r="C858" t="str">
        <x:v>Hoteller</x:v>
      </x:c>
      <x:c r="D858" t="str">
        <x:v>A</x:v>
      </x:c>
      <x:c r="E858" t="n">
        <x:v>2025</x:v>
      </x:c>
      <x:c r="F858" t="n">
        <x:v>91.15</x:v>
      </x:c>
      <x:c r="G858" t="str">
        <x:v>Advanced</x:v>
      </x:c>
      <x:c r="H858" t="str"/>
      <x:c r="I858" t="str">
        <x:v>Årlig beregnet, ikke målt</x:v>
      </x:c>
      <x:c r="J858" t="str">
        <x:v>01012025_17082025_2025.csv</x:v>
      </x:c>
    </x:row>
    <x:row r="859" ht="22" customHeight="1">
      <x:c r="A859" t="str">
        <x:v>31c7f5f974a0</x:v>
      </x:c>
      <x:c r="B859" t="n">
        <x:v>2025</x:v>
      </x:c>
      <x:c r="C859" t="str">
        <x:v>Hoteller</x:v>
      </x:c>
      <x:c r="D859" t="str">
        <x:v>A</x:v>
      </x:c>
      <x:c r="E859" t="n">
        <x:v>2012</x:v>
      </x:c>
      <x:c r="F859" t="n">
        <x:v>125.05</x:v>
      </x:c>
      <x:c r="G859" t="str">
        <x:v>Advanced</x:v>
      </x:c>
      <x:c r="H859" t="str"/>
      <x:c r="I859" t="str">
        <x:v>Årlig beregnet, ikke målt</x:v>
      </x:c>
      <x:c r="J859" t="str">
        <x:v>01012025_17082025_2025.csv</x:v>
      </x:c>
    </x:row>
    <x:row r="860" ht="22" customHeight="1">
      <x:c r="A860" t="str">
        <x:v>ddeff0e80f5e</x:v>
      </x:c>
      <x:c r="B860" t="n">
        <x:v>2025</x:v>
      </x:c>
      <x:c r="C860" t="str">
        <x:v>Hoteller</x:v>
      </x:c>
      <x:c r="D860" t="str">
        <x:v>A</x:v>
      </x:c>
      <x:c r="E860" t="n">
        <x:v>2015</x:v>
      </x:c>
      <x:c r="F860" t="n">
        <x:v>116.87</x:v>
      </x:c>
      <x:c r="G860" t="str">
        <x:v>Advanced</x:v>
      </x:c>
      <x:c r="H860" t="str"/>
      <x:c r="I860" t="str">
        <x:v>Årlig beregnet, ikke målt</x:v>
      </x:c>
      <x:c r="J860" t="str">
        <x:v>01012025_17082025_2025.csv</x:v>
      </x:c>
    </x:row>
    <x:row r="861" ht="22" customHeight="1">
      <x:c r="A861" t="str">
        <x:v>295a5b8f6965</x:v>
      </x:c>
      <x:c r="B861" t="n">
        <x:v>2025</x:v>
      </x:c>
      <x:c r="C861" t="str">
        <x:v>Hoteller</x:v>
      </x:c>
      <x:c r="D861" t="str">
        <x:v>A</x:v>
      </x:c>
      <x:c r="E861" t="n">
        <x:v>2025</x:v>
      </x:c>
      <x:c r="F861" t="n">
        <x:v>117.4</x:v>
      </x:c>
      <x:c r="G861" t="str">
        <x:v>Advanced</x:v>
      </x:c>
      <x:c r="H861" t="str"/>
      <x:c r="I861" t="str">
        <x:v>Årlig beregnet, ikke målt</x:v>
      </x:c>
      <x:c r="J861" t="str">
        <x:v>01012025_17082025_2025.csv</x:v>
      </x:c>
    </x:row>
    <x:row r="862" ht="22" customHeight="1">
      <x:c r="A862" t="str">
        <x:v>e9415875b887</x:v>
      </x:c>
      <x:c r="B862" t="n">
        <x:v>2025</x:v>
      </x:c>
      <x:c r="C862" t="str">
        <x:v>Hoteller</x:v>
      </x:c>
      <x:c r="D862" t="str">
        <x:v>A</x:v>
      </x:c>
      <x:c r="E862" t="n">
        <x:v>2020</x:v>
      </x:c>
      <x:c r="F862" t="n">
        <x:v>134.36</x:v>
      </x:c>
      <x:c r="G862" t="str">
        <x:v>Advanced</x:v>
      </x:c>
      <x:c r="H862" t="str"/>
      <x:c r="I862" t="str">
        <x:v>Årlig beregnet, ikke målt</x:v>
      </x:c>
      <x:c r="J862" t="str">
        <x:v>01012025_17082025_2025.csv</x:v>
      </x:c>
    </x:row>
    <x:row r="863" ht="22" customHeight="1">
      <x:c r="A863" t="str">
        <x:v>cb3a19c01ce8</x:v>
      </x:c>
      <x:c r="B863" t="n">
        <x:v>2025</x:v>
      </x:c>
      <x:c r="C863" t="str">
        <x:v>Hoteller</x:v>
      </x:c>
      <x:c r="D863" t="str">
        <x:v>B</x:v>
      </x:c>
      <x:c r="E863" t="n">
        <x:v>2025</x:v>
      </x:c>
      <x:c r="F863" t="n">
        <x:v>149.36</x:v>
      </x:c>
      <x:c r="G863" t="str">
        <x:v>Advanced</x:v>
      </x:c>
      <x:c r="H863" t="str"/>
      <x:c r="I863" t="str">
        <x:v>Årlig beregnet, ikke målt</x:v>
      </x:c>
      <x:c r="J863" t="str">
        <x:v>01012025_17082025_2025.csv</x:v>
      </x:c>
    </x:row>
    <x:row r="864" ht="22" customHeight="1">
      <x:c r="A864" t="str">
        <x:v>04ce35a7f7fb</x:v>
      </x:c>
      <x:c r="B864" t="n">
        <x:v>2025</x:v>
      </x:c>
      <x:c r="C864" t="str">
        <x:v>Hoteller</x:v>
      </x:c>
      <x:c r="D864" t="str">
        <x:v>B</x:v>
      </x:c>
      <x:c r="E864" t="n">
        <x:v>2025</x:v>
      </x:c>
      <x:c r="F864" t="n">
        <x:v>149.36</x:v>
      </x:c>
      <x:c r="G864" t="str">
        <x:v>Advanced</x:v>
      </x:c>
      <x:c r="H864" t="str"/>
      <x:c r="I864" t="str">
        <x:v>Årlig beregnet, ikke målt</x:v>
      </x:c>
      <x:c r="J864" t="str">
        <x:v>01012025_17082025_2025.csv</x:v>
      </x:c>
    </x:row>
    <x:row r="865" ht="22" customHeight="1">
      <x:c r="A865" t="str">
        <x:v>c2678a7120bd</x:v>
      </x:c>
      <x:c r="B865" t="n">
        <x:v>2025</x:v>
      </x:c>
      <x:c r="C865" t="str">
        <x:v>Hoteller</x:v>
      </x:c>
      <x:c r="D865" t="str">
        <x:v>B</x:v>
      </x:c>
      <x:c r="E865" t="n">
        <x:v>2025</x:v>
      </x:c>
      <x:c r="F865" t="n">
        <x:v>149.36</x:v>
      </x:c>
      <x:c r="G865" t="str">
        <x:v>Advanced</x:v>
      </x:c>
      <x:c r="H865" t="str"/>
      <x:c r="I865" t="str">
        <x:v>Årlig beregnet, ikke målt</x:v>
      </x:c>
      <x:c r="J865" t="str">
        <x:v>01012025_17082025_2025.csv</x:v>
      </x:c>
    </x:row>
    <x:row r="866" ht="22" customHeight="1">
      <x:c r="A866" t="str">
        <x:v>278ebc713a8a</x:v>
      </x:c>
      <x:c r="B866" t="n">
        <x:v>2025</x:v>
      </x:c>
      <x:c r="C866" t="str">
        <x:v>Hoteller</x:v>
      </x:c>
      <x:c r="D866" t="str">
        <x:v>B</x:v>
      </x:c>
      <x:c r="E866" t="n">
        <x:v>2025</x:v>
      </x:c>
      <x:c r="F866" t="n">
        <x:v>149.36</x:v>
      </x:c>
      <x:c r="G866" t="str">
        <x:v>Advanced</x:v>
      </x:c>
      <x:c r="H866" t="str"/>
      <x:c r="I866" t="str">
        <x:v>Årlig beregnet, ikke målt</x:v>
      </x:c>
      <x:c r="J866" t="str">
        <x:v>01012025_17082025_2025.csv</x:v>
      </x:c>
    </x:row>
    <x:row r="867" ht="22" customHeight="1">
      <x:c r="A867" t="str">
        <x:v>1064ebd309f8</x:v>
      </x:c>
      <x:c r="B867" t="n">
        <x:v>2025</x:v>
      </x:c>
      <x:c r="C867" t="str">
        <x:v>Hoteller</x:v>
      </x:c>
      <x:c r="D867" t="str">
        <x:v>B</x:v>
      </x:c>
      <x:c r="E867" t="n">
        <x:v>2025</x:v>
      </x:c>
      <x:c r="F867" t="n">
        <x:v>149.36</x:v>
      </x:c>
      <x:c r="G867" t="str">
        <x:v>Advanced</x:v>
      </x:c>
      <x:c r="H867" t="str"/>
      <x:c r="I867" t="str">
        <x:v>Årlig beregnet, ikke målt</x:v>
      </x:c>
      <x:c r="J867" t="str">
        <x:v>01012025_17082025_2025.csv</x:v>
      </x:c>
    </x:row>
    <x:row r="868" ht="22" customHeight="1">
      <x:c r="A868" t="str">
        <x:v>7a9e983c1409</x:v>
      </x:c>
      <x:c r="B868" t="n">
        <x:v>2025</x:v>
      </x:c>
      <x:c r="C868" t="str">
        <x:v>Hoteller</x:v>
      </x:c>
      <x:c r="D868" t="str">
        <x:v>C</x:v>
      </x:c>
      <x:c r="E868" t="n">
        <x:v>2021</x:v>
      </x:c>
      <x:c r="F868" t="n">
        <x:v>201.95</x:v>
      </x:c>
      <x:c r="G868" t="str">
        <x:v>Advanced</x:v>
      </x:c>
      <x:c r="H868" t="str"/>
      <x:c r="I868" t="str">
        <x:v>Årlig beregnet, ikke målt</x:v>
      </x:c>
      <x:c r="J868" t="str">
        <x:v>01012025_17082025_2025.csv</x:v>
      </x:c>
    </x:row>
    <x:row r="869" ht="22" customHeight="1">
      <x:c r="A869" t="str">
        <x:v>6008466213fe</x:v>
      </x:c>
      <x:c r="B869" t="n">
        <x:v>2025</x:v>
      </x:c>
      <x:c r="C869" t="str">
        <x:v>Hoteller</x:v>
      </x:c>
      <x:c r="D869" t="str">
        <x:v>C</x:v>
      </x:c>
      <x:c r="E869" t="n">
        <x:v>2000</x:v>
      </x:c>
      <x:c r="F869" t="n">
        <x:v>191.01</x:v>
      </x:c>
      <x:c r="G869" t="str">
        <x:v>Advanced</x:v>
      </x:c>
      <x:c r="H869" t="str"/>
      <x:c r="I869" t="str">
        <x:v>Årlig beregnet, ikke målt</x:v>
      </x:c>
      <x:c r="J869" t="str">
        <x:v>01012025_17082025_2025.csv</x:v>
      </x:c>
    </x:row>
    <x:row r="870" ht="22" customHeight="1">
      <x:c r="A870" t="str">
        <x:v>4a01d04efa72</x:v>
      </x:c>
      <x:c r="B870" t="n">
        <x:v>2025</x:v>
      </x:c>
      <x:c r="C870" t="str">
        <x:v>Hoteller</x:v>
      </x:c>
      <x:c r="D870" t="str">
        <x:v>C</x:v>
      </x:c>
      <x:c r="E870" t="n">
        <x:v>1950</x:v>
      </x:c>
      <x:c r="F870" t="n">
        <x:v>191.06</x:v>
      </x:c>
      <x:c r="G870" t="str">
        <x:v>Advanced</x:v>
      </x:c>
      <x:c r="H870" t="str"/>
      <x:c r="I870" t="str">
        <x:v>Årlig beregnet, ikke målt</x:v>
      </x:c>
      <x:c r="J870" t="str">
        <x:v>01012025_17082025_2025.csv</x:v>
      </x:c>
    </x:row>
    <x:row r="871" ht="22" customHeight="1">
      <x:c r="A871" t="str">
        <x:v>df561f3963eb</x:v>
      </x:c>
      <x:c r="B871" t="n">
        <x:v>2025</x:v>
      </x:c>
      <x:c r="C871" t="str">
        <x:v>Hoteller</x:v>
      </x:c>
      <x:c r="D871" t="str">
        <x:v>C</x:v>
      </x:c>
      <x:c r="E871" t="n">
        <x:v>2002</x:v>
      </x:c>
      <x:c r="F871" t="n">
        <x:v>231.62</x:v>
      </x:c>
      <x:c r="G871" t="str">
        <x:v>Advanced</x:v>
      </x:c>
      <x:c r="H871" t="str"/>
      <x:c r="I871" t="str">
        <x:v>Årlig beregnet, ikke målt</x:v>
      </x:c>
      <x:c r="J871" t="str">
        <x:v>01012025_17082025_2025.csv</x:v>
      </x:c>
    </x:row>
    <x:row r="872" ht="22" customHeight="1">
      <x:c r="A872" t="str">
        <x:v>23a63f357f9d</x:v>
      </x:c>
      <x:c r="B872" t="n">
        <x:v>2025</x:v>
      </x:c>
      <x:c r="C872" t="str">
        <x:v>Hoteller</x:v>
      </x:c>
      <x:c r="D872" t="str">
        <x:v>C</x:v>
      </x:c>
      <x:c r="E872" t="n">
        <x:v>1995</x:v>
      </x:c>
      <x:c r="F872" t="n">
        <x:v>205.22</x:v>
      </x:c>
      <x:c r="G872" t="str">
        <x:v>Advanced</x:v>
      </x:c>
      <x:c r="H872" t="str"/>
      <x:c r="I872" t="str">
        <x:v>Årlig beregnet, ikke målt</x:v>
      </x:c>
      <x:c r="J872" t="str">
        <x:v>01012025_17082025_2025.csv</x:v>
      </x:c>
    </x:row>
    <x:row r="873" ht="22" customHeight="1">
      <x:c r="A873" t="str">
        <x:v>fa7b8fe459ea</x:v>
      </x:c>
      <x:c r="B873" t="n">
        <x:v>2025</x:v>
      </x:c>
      <x:c r="C873" t="str">
        <x:v>Hoteller</x:v>
      </x:c>
      <x:c r="D873" t="str">
        <x:v>D</x:v>
      </x:c>
      <x:c r="E873" t="n">
        <x:v>1987</x:v>
      </x:c>
      <x:c r="F873" t="n">
        <x:v>265.74</x:v>
      </x:c>
      <x:c r="G873" t="str">
        <x:v>Advanced</x:v>
      </x:c>
      <x:c r="H873" t="str"/>
      <x:c r="I873" t="str">
        <x:v>Årlig beregnet, ikke målt</x:v>
      </x:c>
      <x:c r="J873" t="str">
        <x:v>01012025_17082025_2025.csv</x:v>
      </x:c>
    </x:row>
    <x:row r="874" ht="22" customHeight="1">
      <x:c r="A874" t="str">
        <x:v>f58ba99bb177</x:v>
      </x:c>
      <x:c r="B874" t="n">
        <x:v>2025</x:v>
      </x:c>
      <x:c r="C874" t="str">
        <x:v>Hoteller</x:v>
      </x:c>
      <x:c r="D874" t="str">
        <x:v>D</x:v>
      </x:c>
      <x:c r="E874" t="n">
        <x:v>1995</x:v>
      </x:c>
      <x:c r="F874" t="n">
        <x:v>282.66</x:v>
      </x:c>
      <x:c r="G874" t="str">
        <x:v>Advanced</x:v>
      </x:c>
      <x:c r="H874" t="str"/>
      <x:c r="I874" t="str">
        <x:v>Årlig beregnet, ikke målt</x:v>
      </x:c>
      <x:c r="J874" t="str">
        <x:v>01012025_17082025_2025.csv</x:v>
      </x:c>
    </x:row>
    <x:row r="875" ht="22" customHeight="1">
      <x:c r="A875" t="str">
        <x:v>72fcdcaa5b9c</x:v>
      </x:c>
      <x:c r="B875" t="n">
        <x:v>2025</x:v>
      </x:c>
      <x:c r="C875" t="str">
        <x:v>Hoteller</x:v>
      </x:c>
      <x:c r="D875" t="str">
        <x:v>D</x:v>
      </x:c>
      <x:c r="E875" t="n">
        <x:v>1995</x:v>
      </x:c>
      <x:c r="F875" t="n">
        <x:v>248.31</x:v>
      </x:c>
      <x:c r="G875" t="str">
        <x:v>Advanced</x:v>
      </x:c>
      <x:c r="H875" t="str"/>
      <x:c r="I875" t="str">
        <x:v>Årlig beregnet, ikke målt</x:v>
      </x:c>
      <x:c r="J875" t="str">
        <x:v>01012025_17082025_2025.csv</x:v>
      </x:c>
    </x:row>
    <x:row r="876" ht="22" customHeight="1">
      <x:c r="A876" t="str">
        <x:v>c829755d4734</x:v>
      </x:c>
      <x:c r="B876" t="n">
        <x:v>2025</x:v>
      </x:c>
      <x:c r="C876" t="str">
        <x:v>Hoteller</x:v>
      </x:c>
      <x:c r="D876" t="str">
        <x:v>D</x:v>
      </x:c>
      <x:c r="E876" t="n">
        <x:v>1971</x:v>
      </x:c>
      <x:c r="F876" t="n">
        <x:v>242.04</x:v>
      </x:c>
      <x:c r="G876" t="str">
        <x:v>Advanced</x:v>
      </x:c>
      <x:c r="H876" t="str"/>
      <x:c r="I876" t="str">
        <x:v>Årlig beregnet, ikke målt</x:v>
      </x:c>
      <x:c r="J876" t="str">
        <x:v>01012025_17082025_2025.csv</x:v>
      </x:c>
    </x:row>
    <x:row r="877" ht="22" customHeight="1">
      <x:c r="A877" t="str">
        <x:v>68ebb1a45f4a</x:v>
      </x:c>
      <x:c r="B877" t="n">
        <x:v>2025</x:v>
      </x:c>
      <x:c r="C877" t="str">
        <x:v>Hoteller</x:v>
      </x:c>
      <x:c r="D877" t="str">
        <x:v>D</x:v>
      </x:c>
      <x:c r="E877" t="n">
        <x:v>1995</x:v>
      </x:c>
      <x:c r="F877" t="n">
        <x:v>266.25</x:v>
      </x:c>
      <x:c r="G877" t="str">
        <x:v>Advanced</x:v>
      </x:c>
      <x:c r="H877" t="str"/>
      <x:c r="I877" t="str">
        <x:v>Årlig beregnet, ikke målt</x:v>
      </x:c>
      <x:c r="J877" t="str">
        <x:v>01012025_17082025_2025.csv</x:v>
      </x:c>
    </x:row>
    <x:row r="878" ht="22" customHeight="1">
      <x:c r="A878" t="str">
        <x:v>ebb441e797d4</x:v>
      </x:c>
      <x:c r="B878" t="n">
        <x:v>2025</x:v>
      </x:c>
      <x:c r="C878" t="str">
        <x:v>Hoteller</x:v>
      </x:c>
      <x:c r="D878" t="str">
        <x:v>E</x:v>
      </x:c>
      <x:c r="E878" t="n">
        <x:v>2006</x:v>
      </x:c>
      <x:c r="F878" t="n">
        <x:v>328.37</x:v>
      </x:c>
      <x:c r="G878" t="str">
        <x:v>Advanced</x:v>
      </x:c>
      <x:c r="H878" t="str"/>
      <x:c r="I878" t="str">
        <x:v>Årlig beregnet, ikke målt</x:v>
      </x:c>
      <x:c r="J878" t="str">
        <x:v>01012025_17082025_2025.csv</x:v>
      </x:c>
    </x:row>
    <x:row r="879" ht="22" customHeight="1">
      <x:c r="A879" t="str">
        <x:v>cdae2386f4e2</x:v>
      </x:c>
      <x:c r="B879" t="n">
        <x:v>2025</x:v>
      </x:c>
      <x:c r="C879" t="str">
        <x:v>Hoteller</x:v>
      </x:c>
      <x:c r="D879" t="str">
        <x:v>E</x:v>
      </x:c>
      <x:c r="E879" t="n">
        <x:v>1927</x:v>
      </x:c>
      <x:c r="F879" t="n">
        <x:v>307.47</x:v>
      </x:c>
      <x:c r="G879" t="str">
        <x:v>Advanced</x:v>
      </x:c>
      <x:c r="H879" t="str"/>
      <x:c r="I879" t="str">
        <x:v>Årlig beregnet, ikke målt</x:v>
      </x:c>
      <x:c r="J879" t="str">
        <x:v>01012025_17082025_2025.csv</x:v>
      </x:c>
    </x:row>
    <x:row r="880" ht="22" customHeight="1">
      <x:c r="A880" t="str">
        <x:v>77cefa4f2380</x:v>
      </x:c>
      <x:c r="B880" t="n">
        <x:v>2025</x:v>
      </x:c>
      <x:c r="C880" t="str">
        <x:v>Hoteller</x:v>
      </x:c>
      <x:c r="D880" t="str">
        <x:v>E</x:v>
      </x:c>
      <x:c r="E880" t="n">
        <x:v>1890</x:v>
      </x:c>
      <x:c r="F880" t="n">
        <x:v>308.43</x:v>
      </x:c>
      <x:c r="G880" t="str">
        <x:v>Advanced</x:v>
      </x:c>
      <x:c r="H880" t="str"/>
      <x:c r="I880" t="str">
        <x:v>Årlig beregnet, ikke målt</x:v>
      </x:c>
      <x:c r="J880" t="str">
        <x:v>01012025_17082025_2025.csv</x:v>
      </x:c>
    </x:row>
    <x:row r="881" ht="22" customHeight="1">
      <x:c r="A881" t="str">
        <x:v>d464c5f864d7</x:v>
      </x:c>
      <x:c r="B881" t="n">
        <x:v>2025</x:v>
      </x:c>
      <x:c r="C881" t="str">
        <x:v>Hoteller</x:v>
      </x:c>
      <x:c r="D881" t="str">
        <x:v>E</x:v>
      </x:c>
      <x:c r="E881" t="n">
        <x:v>1988</x:v>
      </x:c>
      <x:c r="F881" t="n">
        <x:v>334.1</x:v>
      </x:c>
      <x:c r="G881" t="str">
        <x:v>Advanced</x:v>
      </x:c>
      <x:c r="H881" t="str"/>
      <x:c r="I881" t="str">
        <x:v>Årlig beregnet, ikke målt</x:v>
      </x:c>
      <x:c r="J881" t="str">
        <x:v>01012025_17082025_2025.csv</x:v>
      </x:c>
    </x:row>
    <x:row r="882" ht="22" customHeight="1">
      <x:c r="A882" t="str">
        <x:v>7157b3bd14b9</x:v>
      </x:c>
      <x:c r="B882" t="n">
        <x:v>2025</x:v>
      </x:c>
      <x:c r="C882" t="str">
        <x:v>Hoteller</x:v>
      </x:c>
      <x:c r="D882" t="str">
        <x:v>E</x:v>
      </x:c>
      <x:c r="E882" t="n">
        <x:v>1966</x:v>
      </x:c>
      <x:c r="F882" t="n">
        <x:v>329.21</x:v>
      </x:c>
      <x:c r="G882" t="str">
        <x:v>Advanced</x:v>
      </x:c>
      <x:c r="H882" t="str"/>
      <x:c r="I882" t="str">
        <x:v>Årlig beregnet, ikke målt</x:v>
      </x:c>
      <x:c r="J882" t="str">
        <x:v>01012025_17082025_2025.csv</x:v>
      </x:c>
    </x:row>
    <x:row r="883" ht="22" customHeight="1">
      <x:c r="A883" t="str">
        <x:v>6a66199b0f23</x:v>
      </x:c>
      <x:c r="B883" t="n">
        <x:v>2025</x:v>
      </x:c>
      <x:c r="C883" t="str">
        <x:v>Hoteller</x:v>
      </x:c>
      <x:c r="D883" t="str">
        <x:v>F</x:v>
      </x:c>
      <x:c r="E883" t="n">
        <x:v>1993</x:v>
      </x:c>
      <x:c r="F883" t="n">
        <x:v>374.42</x:v>
      </x:c>
      <x:c r="G883" t="str">
        <x:v>Advanced</x:v>
      </x:c>
      <x:c r="H883" t="str"/>
      <x:c r="I883" t="str">
        <x:v>Årlig beregnet, ikke målt</x:v>
      </x:c>
      <x:c r="J883" t="str">
        <x:v>01012025_17082025_2025.csv</x:v>
      </x:c>
    </x:row>
    <x:row r="884" ht="22" customHeight="1">
      <x:c r="A884" t="str">
        <x:v>403fadc6ab67</x:v>
      </x:c>
      <x:c r="B884" t="n">
        <x:v>2025</x:v>
      </x:c>
      <x:c r="C884" t="str">
        <x:v>Hoteller</x:v>
      </x:c>
      <x:c r="D884" t="str">
        <x:v>F</x:v>
      </x:c>
      <x:c r="E884" t="n">
        <x:v>1974</x:v>
      </x:c>
      <x:c r="F884" t="n">
        <x:v>412.87</x:v>
      </x:c>
      <x:c r="G884" t="str">
        <x:v>Advanced</x:v>
      </x:c>
      <x:c r="H884" t="str"/>
      <x:c r="I884" t="str">
        <x:v>Årlig beregnet, ikke målt</x:v>
      </x:c>
      <x:c r="J884" t="str">
        <x:v>01012025_17082025_2025.csv</x:v>
      </x:c>
    </x:row>
    <x:row r="885" ht="22" customHeight="1">
      <x:c r="A885" t="str">
        <x:v>500a97fea22e</x:v>
      </x:c>
      <x:c r="B885" t="n">
        <x:v>2025</x:v>
      </x:c>
      <x:c r="C885" t="str">
        <x:v>Hoteller</x:v>
      </x:c>
      <x:c r="D885" t="str">
        <x:v>F</x:v>
      </x:c>
      <x:c r="E885" t="n">
        <x:v>1900</x:v>
      </x:c>
      <x:c r="F885" t="n">
        <x:v>353.58</x:v>
      </x:c>
      <x:c r="G885" t="str">
        <x:v>Advanced</x:v>
      </x:c>
      <x:c r="H885" t="str"/>
      <x:c r="I885" t="str">
        <x:v>Årlig beregnet, ikke målt</x:v>
      </x:c>
      <x:c r="J885" t="str">
        <x:v>01012025_17082025_2025.csv</x:v>
      </x:c>
    </x:row>
    <x:row r="886" ht="22" customHeight="1">
      <x:c r="A886" t="str">
        <x:v>340be5c9696f</x:v>
      </x:c>
      <x:c r="B886" t="n">
        <x:v>2025</x:v>
      </x:c>
      <x:c r="C886" t="str">
        <x:v>Hoteller</x:v>
      </x:c>
      <x:c r="D886" t="str">
        <x:v>F</x:v>
      </x:c>
      <x:c r="E886" t="n">
        <x:v>1992</x:v>
      </x:c>
      <x:c r="F886" t="n">
        <x:v>368.92</x:v>
      </x:c>
      <x:c r="G886" t="str">
        <x:v>Advanced</x:v>
      </x:c>
      <x:c r="H886" t="str"/>
      <x:c r="I886" t="str">
        <x:v>Årlig beregnet, ikke målt</x:v>
      </x:c>
      <x:c r="J886" t="str">
        <x:v>01012025_17082025_2025.csv</x:v>
      </x:c>
    </x:row>
    <x:row r="887" ht="22" customHeight="1">
      <x:c r="A887" t="str">
        <x:v>c3212d3a17a8</x:v>
      </x:c>
      <x:c r="B887" t="n">
        <x:v>2025</x:v>
      </x:c>
      <x:c r="C887" t="str">
        <x:v>Hoteller</x:v>
      </x:c>
      <x:c r="D887" t="str">
        <x:v>F</x:v>
      </x:c>
      <x:c r="E887" t="n">
        <x:v>1988</x:v>
      </x:c>
      <x:c r="F887" t="n">
        <x:v>374.46</x:v>
      </x:c>
      <x:c r="G887" t="str">
        <x:v>Advanced</x:v>
      </x:c>
      <x:c r="H887" t="str"/>
      <x:c r="I887" t="str">
        <x:v>Årlig beregnet, ikke målt</x:v>
      </x:c>
      <x:c r="J887" t="str">
        <x:v>01012025_17082025_2025.csv</x:v>
      </x:c>
    </x:row>
    <x:row r="888" ht="22" customHeight="1">
      <x:c r="A888" t="str">
        <x:v>da858cc1cbb2</x:v>
      </x:c>
      <x:c r="B888" t="n">
        <x:v>2025</x:v>
      </x:c>
      <x:c r="C888" t="str">
        <x:v>Hoteller</x:v>
      </x:c>
      <x:c r="D888" t="str">
        <x:v>G</x:v>
      </x:c>
      <x:c r="E888" t="n">
        <x:v>1990</x:v>
      </x:c>
      <x:c r="F888" t="n">
        <x:v>428.63</x:v>
      </x:c>
      <x:c r="G888" t="str">
        <x:v>Advanced</x:v>
      </x:c>
      <x:c r="H888" t="str"/>
      <x:c r="I888" t="str">
        <x:v>Årlig beregnet, ikke målt</x:v>
      </x:c>
      <x:c r="J888" t="str">
        <x:v>01012025_17082025_2025.csv</x:v>
      </x:c>
    </x:row>
    <x:row r="889" ht="22" customHeight="1">
      <x:c r="A889" t="str">
        <x:v>81a0abe199b4</x:v>
      </x:c>
      <x:c r="B889" t="n">
        <x:v>2025</x:v>
      </x:c>
      <x:c r="C889" t="str">
        <x:v>Hoteller</x:v>
      </x:c>
      <x:c r="D889" t="str">
        <x:v>G</x:v>
      </x:c>
      <x:c r="E889" t="n">
        <x:v>1920</x:v>
      </x:c>
      <x:c r="F889" t="n">
        <x:v>507.49</x:v>
      </x:c>
      <x:c r="G889" t="str">
        <x:v>Advanced</x:v>
      </x:c>
      <x:c r="H889" t="str"/>
      <x:c r="I889" t="str">
        <x:v>Årlig beregnet, ikke målt</x:v>
      </x:c>
      <x:c r="J889" t="str">
        <x:v>01012025_17082025_2025.csv</x:v>
      </x:c>
    </x:row>
    <x:row r="890" ht="22" customHeight="1">
      <x:c r="A890" t="str">
        <x:v>57fb50ce199c</x:v>
      </x:c>
      <x:c r="B890" t="n">
        <x:v>2025</x:v>
      </x:c>
      <x:c r="C890" t="str">
        <x:v>Hoteller</x:v>
      </x:c>
      <x:c r="D890" t="str">
        <x:v>G</x:v>
      </x:c>
      <x:c r="E890" t="n">
        <x:v>1945</x:v>
      </x:c>
      <x:c r="F890" t="n">
        <x:v>661.1</x:v>
      </x:c>
      <x:c r="G890" t="str">
        <x:v>Advanced</x:v>
      </x:c>
      <x:c r="H890" t="str"/>
      <x:c r="I890" t="str">
        <x:v>Årlig beregnet, ikke målt</x:v>
      </x:c>
      <x:c r="J890" t="str">
        <x:v>01012025_17082025_2025.csv</x:v>
      </x:c>
    </x:row>
    <x:row r="891" ht="22" customHeight="1">
      <x:c r="A891" t="str">
        <x:v>36fb6ca21a92</x:v>
      </x:c>
      <x:c r="B891" t="n">
        <x:v>2025</x:v>
      </x:c>
      <x:c r="C891" t="str">
        <x:v>Hoteller</x:v>
      </x:c>
      <x:c r="D891" t="str">
        <x:v>G</x:v>
      </x:c>
      <x:c r="E891" t="n">
        <x:v>2000</x:v>
      </x:c>
      <x:c r="F891" t="n">
        <x:v>541.89</x:v>
      </x:c>
      <x:c r="G891" t="str">
        <x:v>Advanced</x:v>
      </x:c>
      <x:c r="H891" t="str"/>
      <x:c r="I891" t="str">
        <x:v>Årlig beregnet, ikke målt</x:v>
      </x:c>
      <x:c r="J891" t="str">
        <x:v>01012025_17082025_2025.csv</x:v>
      </x:c>
    </x:row>
    <x:row r="892" ht="22" customHeight="1">
      <x:c r="A892" t="str">
        <x:v>75ee7779f3e6</x:v>
      </x:c>
      <x:c r="B892" t="n">
        <x:v>2025</x:v>
      </x:c>
      <x:c r="C892" t="str">
        <x:v>Hoteller</x:v>
      </x:c>
      <x:c r="D892" t="str">
        <x:v>G</x:v>
      </x:c>
      <x:c r="E892" t="n">
        <x:v>1988</x:v>
      </x:c>
      <x:c r="F892" t="n">
        <x:v>421.52</x:v>
      </x:c>
      <x:c r="G892" t="str">
        <x:v>Advanced</x:v>
      </x:c>
      <x:c r="H892" t="str"/>
      <x:c r="I892" t="str">
        <x:v>Årlig beregnet, ikke målt</x:v>
      </x:c>
      <x:c r="J892" t="str">
        <x:v>01012025_17082025_2025.csv</x:v>
      </x:c>
    </x:row>
    <x:row r="893" ht="22" customHeight="1">
      <x:c r="A893" t="str">
        <x:v>c50e95e6f84f</x:v>
      </x:c>
      <x:c r="B893" t="n">
        <x:v>2025</x:v>
      </x:c>
      <x:c r="C893" t="str">
        <x:v>Idrettsbygg</x:v>
      </x:c>
      <x:c r="D893" t="str">
        <x:v>A</x:v>
      </x:c>
      <x:c r="E893" t="n">
        <x:v>2025</x:v>
      </x:c>
      <x:c r="F893" t="n">
        <x:v>109.47</x:v>
      </x:c>
      <x:c r="G893" t="str">
        <x:v>Advanced</x:v>
      </x:c>
      <x:c r="H893" t="str"/>
      <x:c r="I893" t="str">
        <x:v>Årlig beregnet, ikke målt</x:v>
      </x:c>
      <x:c r="J893" t="str">
        <x:v>01012025_17082025_2025.csv</x:v>
      </x:c>
    </x:row>
    <x:row r="894" ht="22" customHeight="1">
      <x:c r="A894" t="str">
        <x:v>c8f0cdde4ca3</x:v>
      </x:c>
      <x:c r="B894" t="n">
        <x:v>2025</x:v>
      </x:c>
      <x:c r="C894" t="str">
        <x:v>Idrettsbygg</x:v>
      </x:c>
      <x:c r="D894" t="str">
        <x:v>A</x:v>
      </x:c>
      <x:c r="E894" t="n">
        <x:v>2025</x:v>
      </x:c>
      <x:c r="F894" t="n">
        <x:v>37.63</x:v>
      </x:c>
      <x:c r="G894" t="str">
        <x:v>Advanced</x:v>
      </x:c>
      <x:c r="H894" t="str"/>
      <x:c r="I894" t="str">
        <x:v>Årlig beregnet, ikke målt</x:v>
      </x:c>
      <x:c r="J894" t="str">
        <x:v>01012025_17082025_2025.csv</x:v>
      </x:c>
    </x:row>
    <x:row r="895" ht="22" customHeight="1">
      <x:c r="A895" t="str">
        <x:v>fabdfdfaa556</x:v>
      </x:c>
      <x:c r="B895" t="n">
        <x:v>2025</x:v>
      </x:c>
      <x:c r="C895" t="str">
        <x:v>Idrettsbygg</x:v>
      </x:c>
      <x:c r="D895" t="str">
        <x:v>A</x:v>
      </x:c>
      <x:c r="E895" t="n">
        <x:v>2023</x:v>
      </x:c>
      <x:c r="F895" t="n">
        <x:v>101</x:v>
      </x:c>
      <x:c r="G895" t="str">
        <x:v>Advanced</x:v>
      </x:c>
      <x:c r="H895" t="str"/>
      <x:c r="I895" t="str">
        <x:v>Årlig beregnet, ikke målt</x:v>
      </x:c>
      <x:c r="J895" t="str">
        <x:v>01012025_17082025_2025.csv</x:v>
      </x:c>
    </x:row>
    <x:row r="896" ht="22" customHeight="1">
      <x:c r="A896" t="str">
        <x:v>8da1844e8809</x:v>
      </x:c>
      <x:c r="B896" t="n">
        <x:v>2025</x:v>
      </x:c>
      <x:c r="C896" t="str">
        <x:v>Idrettsbygg</x:v>
      </x:c>
      <x:c r="D896" t="str">
        <x:v>A</x:v>
      </x:c>
      <x:c r="E896" t="n">
        <x:v>2025</x:v>
      </x:c>
      <x:c r="F896" t="n">
        <x:v>104.85</x:v>
      </x:c>
      <x:c r="G896" t="str">
        <x:v>Advanced</x:v>
      </x:c>
      <x:c r="H896" t="str"/>
      <x:c r="I896" t="str">
        <x:v>Årlig beregnet, ikke målt</x:v>
      </x:c>
      <x:c r="J896" t="str">
        <x:v>01012025_17082025_2025.csv</x:v>
      </x:c>
    </x:row>
    <x:row r="897" ht="22" customHeight="1">
      <x:c r="A897" t="str">
        <x:v>89f71a7ac536</x:v>
      </x:c>
      <x:c r="B897" t="n">
        <x:v>2025</x:v>
      </x:c>
      <x:c r="C897" t="str">
        <x:v>Idrettsbygg</x:v>
      </x:c>
      <x:c r="D897" t="str">
        <x:v>A</x:v>
      </x:c>
      <x:c r="E897" t="n">
        <x:v>2025</x:v>
      </x:c>
      <x:c r="F897" t="n">
        <x:v>67.64</x:v>
      </x:c>
      <x:c r="G897" t="str">
        <x:v>Advanced</x:v>
      </x:c>
      <x:c r="H897" t="str"/>
      <x:c r="I897" t="str">
        <x:v>Årlig beregnet, ikke målt</x:v>
      </x:c>
      <x:c r="J897" t="str">
        <x:v>01012025_17082025_2025.csv</x:v>
      </x:c>
    </x:row>
    <x:row r="898" ht="22" customHeight="1">
      <x:c r="A898" t="str">
        <x:v>c35c4e55e881</x:v>
      </x:c>
      <x:c r="B898" t="n">
        <x:v>2025</x:v>
      </x:c>
      <x:c r="C898" t="str">
        <x:v>Idrettsbygg</x:v>
      </x:c>
      <x:c r="D898" t="str">
        <x:v>B</x:v>
      </x:c>
      <x:c r="E898" t="n">
        <x:v>1982</x:v>
      </x:c>
      <x:c r="F898" t="n">
        <x:v>134.25</x:v>
      </x:c>
      <x:c r="G898" t="str">
        <x:v>Advanced</x:v>
      </x:c>
      <x:c r="H898" t="str"/>
      <x:c r="I898" t="str">
        <x:v>Årlig beregnet, ikke målt</x:v>
      </x:c>
      <x:c r="J898" t="str">
        <x:v>01012025_17082025_2025.csv</x:v>
      </x:c>
    </x:row>
    <x:row r="899" ht="22" customHeight="1">
      <x:c r="A899" t="str">
        <x:v>77d6118c43a2</x:v>
      </x:c>
      <x:c r="B899" t="n">
        <x:v>2025</x:v>
      </x:c>
      <x:c r="C899" t="str">
        <x:v>Idrettsbygg</x:v>
      </x:c>
      <x:c r="D899" t="str">
        <x:v>B</x:v>
      </x:c>
      <x:c r="E899" t="n">
        <x:v>2025</x:v>
      </x:c>
      <x:c r="F899" t="n">
        <x:v>127.57</x:v>
      </x:c>
      <x:c r="G899" t="str">
        <x:v>Advanced</x:v>
      </x:c>
      <x:c r="H899" t="str"/>
      <x:c r="I899" t="str">
        <x:v>Årlig beregnet, ikke målt</x:v>
      </x:c>
      <x:c r="J899" t="str">
        <x:v>01012025_17082025_2025.csv</x:v>
      </x:c>
    </x:row>
    <x:row r="900" ht="22" customHeight="1">
      <x:c r="A900" t="str">
        <x:v>36c0152193e1</x:v>
      </x:c>
      <x:c r="B900" t="n">
        <x:v>2025</x:v>
      </x:c>
      <x:c r="C900" t="str">
        <x:v>Idrettsbygg</x:v>
      </x:c>
      <x:c r="D900" t="str">
        <x:v>B</x:v>
      </x:c>
      <x:c r="E900" t="n">
        <x:v>1982</x:v>
      </x:c>
      <x:c r="F900" t="n">
        <x:v>153.19</x:v>
      </x:c>
      <x:c r="G900" t="str">
        <x:v>Advanced</x:v>
      </x:c>
      <x:c r="H900" t="str"/>
      <x:c r="I900" t="str">
        <x:v>Årlig beregnet, ikke målt</x:v>
      </x:c>
      <x:c r="J900" t="str">
        <x:v>01012025_17082025_2025.csv</x:v>
      </x:c>
    </x:row>
    <x:row r="901" ht="22" customHeight="1">
      <x:c r="A901" t="str">
        <x:v>2bdcfd85d06c</x:v>
      </x:c>
      <x:c r="B901" t="n">
        <x:v>2025</x:v>
      </x:c>
      <x:c r="C901" t="str">
        <x:v>Idrettsbygg</x:v>
      </x:c>
      <x:c r="D901" t="str">
        <x:v>B</x:v>
      </x:c>
      <x:c r="E901" t="n">
        <x:v>1983</x:v>
      </x:c>
      <x:c r="F901" t="n">
        <x:v>133.47</x:v>
      </x:c>
      <x:c r="G901" t="str">
        <x:v>Advanced</x:v>
      </x:c>
      <x:c r="H901" t="str"/>
      <x:c r="I901" t="str">
        <x:v>Årlig beregnet, ikke målt</x:v>
      </x:c>
      <x:c r="J901" t="str">
        <x:v>01012025_17082025_2025.csv</x:v>
      </x:c>
    </x:row>
    <x:row r="902" ht="22" customHeight="1">
      <x:c r="A902" t="str">
        <x:v>d609ba84015f</x:v>
      </x:c>
      <x:c r="B902" t="n">
        <x:v>2025</x:v>
      </x:c>
      <x:c r="C902" t="str">
        <x:v>Idrettsbygg</x:v>
      </x:c>
      <x:c r="D902" t="str">
        <x:v>B</x:v>
      </x:c>
      <x:c r="E902" t="n">
        <x:v>2018</x:v>
      </x:c>
      <x:c r="F902" t="n">
        <x:v>146.15</x:v>
      </x:c>
      <x:c r="G902" t="str">
        <x:v>Advanced</x:v>
      </x:c>
      <x:c r="H902" t="str"/>
      <x:c r="I902" t="str">
        <x:v>Årlig beregnet, ikke målt</x:v>
      </x:c>
      <x:c r="J902" t="str">
        <x:v>01012025_17082025_2025.csv</x:v>
      </x:c>
    </x:row>
    <x:row r="903" ht="22" customHeight="1">
      <x:c r="A903" t="str">
        <x:v>988fba856a8b</x:v>
      </x:c>
      <x:c r="B903" t="n">
        <x:v>2025</x:v>
      </x:c>
      <x:c r="C903" t="str">
        <x:v>Idrettsbygg</x:v>
      </x:c>
      <x:c r="D903" t="str">
        <x:v>C</x:v>
      </x:c>
      <x:c r="E903" t="n">
        <x:v>1977</x:v>
      </x:c>
      <x:c r="F903" t="n">
        <x:v>188.37</x:v>
      </x:c>
      <x:c r="G903" t="str">
        <x:v>Advanced</x:v>
      </x:c>
      <x:c r="H903" t="str"/>
      <x:c r="I903" t="str">
        <x:v>Årlig beregnet, ikke målt</x:v>
      </x:c>
      <x:c r="J903" t="str">
        <x:v>01012025_17082025_2025.csv</x:v>
      </x:c>
    </x:row>
    <x:row r="904" ht="22" customHeight="1">
      <x:c r="A904" t="str">
        <x:v>53132ccbe846</x:v>
      </x:c>
      <x:c r="B904" t="n">
        <x:v>2025</x:v>
      </x:c>
      <x:c r="C904" t="str">
        <x:v>Idrettsbygg</x:v>
      </x:c>
      <x:c r="D904" t="str">
        <x:v>C</x:v>
      </x:c>
      <x:c r="E904" t="n">
        <x:v>1966</x:v>
      </x:c>
      <x:c r="F904" t="n">
        <x:v>183.62</x:v>
      </x:c>
      <x:c r="G904" t="str">
        <x:v>Advanced</x:v>
      </x:c>
      <x:c r="H904" t="str"/>
      <x:c r="I904" t="str">
        <x:v>Årlig beregnet, ikke målt</x:v>
      </x:c>
      <x:c r="J904" t="str">
        <x:v>01012025_17082025_2025.csv</x:v>
      </x:c>
    </x:row>
    <x:row r="905" ht="22" customHeight="1">
      <x:c r="A905" t="str">
        <x:v>ba6c21f779dc</x:v>
      </x:c>
      <x:c r="B905" t="n">
        <x:v>2025</x:v>
      </x:c>
      <x:c r="C905" t="str">
        <x:v>Idrettsbygg</x:v>
      </x:c>
      <x:c r="D905" t="str">
        <x:v>C</x:v>
      </x:c>
      <x:c r="E905" t="n">
        <x:v>2001</x:v>
      </x:c>
      <x:c r="F905" t="n">
        <x:v>170.77</x:v>
      </x:c>
      <x:c r="G905" t="str">
        <x:v>Advanced</x:v>
      </x:c>
      <x:c r="H905" t="str"/>
      <x:c r="I905" t="str">
        <x:v>Årlig beregnet, ikke målt</x:v>
      </x:c>
      <x:c r="J905" t="str">
        <x:v>01012025_17082025_2025.csv</x:v>
      </x:c>
    </x:row>
    <x:row r="906" ht="22" customHeight="1">
      <x:c r="A906" t="str">
        <x:v>c56f34c79799</x:v>
      </x:c>
      <x:c r="B906" t="n">
        <x:v>2025</x:v>
      </x:c>
      <x:c r="C906" t="str">
        <x:v>Idrettsbygg</x:v>
      </x:c>
      <x:c r="D906" t="str">
        <x:v>C</x:v>
      </x:c>
      <x:c r="E906" t="n">
        <x:v>1920</x:v>
      </x:c>
      <x:c r="F906" t="n">
        <x:v>192.35</x:v>
      </x:c>
      <x:c r="G906" t="str">
        <x:v>Advanced</x:v>
      </x:c>
      <x:c r="H906" t="str"/>
      <x:c r="I906" t="str">
        <x:v>Årlig beregnet, ikke målt</x:v>
      </x:c>
      <x:c r="J906" t="str">
        <x:v>01012025_17082025_2025.csv</x:v>
      </x:c>
    </x:row>
    <x:row r="907" ht="22" customHeight="1">
      <x:c r="A907" t="str">
        <x:v>7831032ee0d1</x:v>
      </x:c>
      <x:c r="B907" t="n">
        <x:v>2025</x:v>
      </x:c>
      <x:c r="C907" t="str">
        <x:v>Idrettsbygg</x:v>
      </x:c>
      <x:c r="D907" t="str">
        <x:v>C</x:v>
      </x:c>
      <x:c r="E907" t="n">
        <x:v>1879</x:v>
      </x:c>
      <x:c r="F907" t="n">
        <x:v>199.6</x:v>
      </x:c>
      <x:c r="G907" t="str">
        <x:v>Advanced</x:v>
      </x:c>
      <x:c r="H907" t="str"/>
      <x:c r="I907" t="str">
        <x:v>Årlig beregnet, ikke målt</x:v>
      </x:c>
      <x:c r="J907" t="str">
        <x:v>01012025_17082025_2025.csv</x:v>
      </x:c>
    </x:row>
    <x:row r="908" ht="22" customHeight="1">
      <x:c r="A908" t="str">
        <x:v>f1dd7b16eba5</x:v>
      </x:c>
      <x:c r="B908" t="n">
        <x:v>2025</x:v>
      </x:c>
      <x:c r="C908" t="str">
        <x:v>Idrettsbygg</x:v>
      </x:c>
      <x:c r="D908" t="str">
        <x:v>D</x:v>
      </x:c>
      <x:c r="E908" t="n">
        <x:v>1978</x:v>
      </x:c>
      <x:c r="F908" t="n">
        <x:v>235.13</x:v>
      </x:c>
      <x:c r="G908" t="str">
        <x:v>Advanced</x:v>
      </x:c>
      <x:c r="H908" t="str"/>
      <x:c r="I908" t="str">
        <x:v>Årlig beregnet, ikke målt</x:v>
      </x:c>
      <x:c r="J908" t="str">
        <x:v>01012025_17082025_2025.csv</x:v>
      </x:c>
    </x:row>
    <x:row r="909" ht="22" customHeight="1">
      <x:c r="A909" t="str">
        <x:v>8680be7a6e4f</x:v>
      </x:c>
      <x:c r="B909" t="n">
        <x:v>2025</x:v>
      </x:c>
      <x:c r="C909" t="str">
        <x:v>Idrettsbygg</x:v>
      </x:c>
      <x:c r="D909" t="str">
        <x:v>D</x:v>
      </x:c>
      <x:c r="E909" t="n">
        <x:v>1976</x:v>
      </x:c>
      <x:c r="F909" t="n">
        <x:v>205.52</x:v>
      </x:c>
      <x:c r="G909" t="str">
        <x:v>Advanced</x:v>
      </x:c>
      <x:c r="H909" t="str"/>
      <x:c r="I909" t="str">
        <x:v>Årlig beregnet, ikke målt</x:v>
      </x:c>
      <x:c r="J909" t="str">
        <x:v>01012025_17082025_2025.csv</x:v>
      </x:c>
    </x:row>
    <x:row r="910" ht="22" customHeight="1">
      <x:c r="A910" t="str">
        <x:v>8b2c226b0c56</x:v>
      </x:c>
      <x:c r="B910" t="n">
        <x:v>2025</x:v>
      </x:c>
      <x:c r="C910" t="str">
        <x:v>Idrettsbygg</x:v>
      </x:c>
      <x:c r="D910" t="str">
        <x:v>D</x:v>
      </x:c>
      <x:c r="E910" t="n">
        <x:v>1957</x:v>
      </x:c>
      <x:c r="F910" t="n">
        <x:v>271.35</x:v>
      </x:c>
      <x:c r="G910" t="str">
        <x:v>Advanced</x:v>
      </x:c>
      <x:c r="H910" t="str"/>
      <x:c r="I910" t="str">
        <x:v>Årlig beregnet, ikke målt</x:v>
      </x:c>
      <x:c r="J910" t="str">
        <x:v>01012025_17082025_2025.csv</x:v>
      </x:c>
    </x:row>
    <x:row r="911" ht="22" customHeight="1">
      <x:c r="A911" t="str">
        <x:v>c4a338f1c314</x:v>
      </x:c>
      <x:c r="B911" t="n">
        <x:v>2025</x:v>
      </x:c>
      <x:c r="C911" t="str">
        <x:v>Idrettsbygg</x:v>
      </x:c>
      <x:c r="D911" t="str">
        <x:v>D</x:v>
      </x:c>
      <x:c r="E911" t="n">
        <x:v>2010</x:v>
      </x:c>
      <x:c r="F911" t="n">
        <x:v>249.97</x:v>
      </x:c>
      <x:c r="G911" t="str">
        <x:v>Advanced</x:v>
      </x:c>
      <x:c r="H911" t="str"/>
      <x:c r="I911" t="str">
        <x:v>Årlig beregnet, ikke målt</x:v>
      </x:c>
      <x:c r="J911" t="str">
        <x:v>01012025_17082025_2025.csv</x:v>
      </x:c>
    </x:row>
    <x:row r="912" ht="22" customHeight="1">
      <x:c r="A912" t="str">
        <x:v>9516d5e8fa46</x:v>
      </x:c>
      <x:c r="B912" t="n">
        <x:v>2025</x:v>
      </x:c>
      <x:c r="C912" t="str">
        <x:v>Idrettsbygg</x:v>
      </x:c>
      <x:c r="D912" t="str">
        <x:v>D</x:v>
      </x:c>
      <x:c r="E912" t="n">
        <x:v>1962</x:v>
      </x:c>
      <x:c r="F912" t="n">
        <x:v>219.1</x:v>
      </x:c>
      <x:c r="G912" t="str">
        <x:v>Advanced</x:v>
      </x:c>
      <x:c r="H912" t="str"/>
      <x:c r="I912" t="str">
        <x:v>Årlig beregnet, ikke målt</x:v>
      </x:c>
      <x:c r="J912" t="str">
        <x:v>01012025_17082025_2025.csv</x:v>
      </x:c>
    </x:row>
    <x:row r="913" ht="22" customHeight="1">
      <x:c r="A913" t="str">
        <x:v>74fdc820286f</x:v>
      </x:c>
      <x:c r="B913" t="n">
        <x:v>2025</x:v>
      </x:c>
      <x:c r="C913" t="str">
        <x:v>Idrettsbygg</x:v>
      </x:c>
      <x:c r="D913" t="str">
        <x:v>E</x:v>
      </x:c>
      <x:c r="E913" t="n">
        <x:v>1984</x:v>
      </x:c>
      <x:c r="F913" t="n">
        <x:v>340.78</x:v>
      </x:c>
      <x:c r="G913" t="str">
        <x:v>Advanced</x:v>
      </x:c>
      <x:c r="H913" t="str"/>
      <x:c r="I913" t="str">
        <x:v>Årlig beregnet, ikke målt</x:v>
      </x:c>
      <x:c r="J913" t="str">
        <x:v>01012025_17082025_2025.csv</x:v>
      </x:c>
    </x:row>
    <x:row r="914" ht="22" customHeight="1">
      <x:c r="A914" t="str">
        <x:v>c1b877b697f2</x:v>
      </x:c>
      <x:c r="B914" t="n">
        <x:v>2025</x:v>
      </x:c>
      <x:c r="C914" t="str">
        <x:v>Idrettsbygg</x:v>
      </x:c>
      <x:c r="D914" t="str">
        <x:v>E</x:v>
      </x:c>
      <x:c r="E914" t="n">
        <x:v>1989</x:v>
      </x:c>
      <x:c r="F914" t="n">
        <x:v>300.34</x:v>
      </x:c>
      <x:c r="G914" t="str">
        <x:v>Advanced</x:v>
      </x:c>
      <x:c r="H914" t="str"/>
      <x:c r="I914" t="str">
        <x:v>Årlig beregnet, ikke målt</x:v>
      </x:c>
      <x:c r="J914" t="str">
        <x:v>01012025_17082025_2025.csv</x:v>
      </x:c>
    </x:row>
    <x:row r="915" ht="22" customHeight="1">
      <x:c r="A915" t="str">
        <x:v>5864ac79480c</x:v>
      </x:c>
      <x:c r="B915" t="n">
        <x:v>2025</x:v>
      </x:c>
      <x:c r="C915" t="str">
        <x:v>Idrettsbygg</x:v>
      </x:c>
      <x:c r="D915" t="str">
        <x:v>E</x:v>
      </x:c>
      <x:c r="E915" t="n">
        <x:v>1965</x:v>
      </x:c>
      <x:c r="F915" t="n">
        <x:v>309.77</x:v>
      </x:c>
      <x:c r="G915" t="str">
        <x:v>Advanced</x:v>
      </x:c>
      <x:c r="H915" t="str"/>
      <x:c r="I915" t="str">
        <x:v>Årlig beregnet, ikke målt</x:v>
      </x:c>
      <x:c r="J915" t="str">
        <x:v>01012025_17082025_2025.csv</x:v>
      </x:c>
    </x:row>
    <x:row r="916" ht="22" customHeight="1">
      <x:c r="A916" t="str">
        <x:v>2140bc8f5b11</x:v>
      </x:c>
      <x:c r="B916" t="n">
        <x:v>2025</x:v>
      </x:c>
      <x:c r="C916" t="str">
        <x:v>Idrettsbygg</x:v>
      </x:c>
      <x:c r="D916" t="str">
        <x:v>E</x:v>
      </x:c>
      <x:c r="E916" t="n">
        <x:v>1983</x:v>
      </x:c>
      <x:c r="F916" t="n">
        <x:v>311.87</x:v>
      </x:c>
      <x:c r="G916" t="str">
        <x:v>Advanced</x:v>
      </x:c>
      <x:c r="H916" t="str"/>
      <x:c r="I916" t="str">
        <x:v>Årlig beregnet, ikke målt</x:v>
      </x:c>
      <x:c r="J916" t="str">
        <x:v>01012025_17082025_2025.csv</x:v>
      </x:c>
    </x:row>
    <x:row r="917" ht="22" customHeight="1">
      <x:c r="A917" t="str">
        <x:v>b674952a67d4</x:v>
      </x:c>
      <x:c r="B917" t="n">
        <x:v>2025</x:v>
      </x:c>
      <x:c r="C917" t="str">
        <x:v>Idrettsbygg</x:v>
      </x:c>
      <x:c r="D917" t="str">
        <x:v>E</x:v>
      </x:c>
      <x:c r="E917" t="n">
        <x:v>2000</x:v>
      </x:c>
      <x:c r="F917" t="n">
        <x:v>302.48</x:v>
      </x:c>
      <x:c r="G917" t="str">
        <x:v>Advanced</x:v>
      </x:c>
      <x:c r="H917" t="str"/>
      <x:c r="I917" t="str">
        <x:v>Årlig beregnet, ikke målt</x:v>
      </x:c>
      <x:c r="J917" t="str">
        <x:v>01012025_17082025_2025.csv</x:v>
      </x:c>
    </x:row>
    <x:row r="918" ht="22" customHeight="1">
      <x:c r="A918" t="str">
        <x:v>a6c43359f10a</x:v>
      </x:c>
      <x:c r="B918" t="n">
        <x:v>2025</x:v>
      </x:c>
      <x:c r="C918" t="str">
        <x:v>Idrettsbygg</x:v>
      </x:c>
      <x:c r="D918" t="str">
        <x:v>F</x:v>
      </x:c>
      <x:c r="E918" t="n">
        <x:v>1989</x:v>
      </x:c>
      <x:c r="F918" t="n">
        <x:v>375.86</x:v>
      </x:c>
      <x:c r="G918" t="str">
        <x:v>Advanced</x:v>
      </x:c>
      <x:c r="H918" t="str"/>
      <x:c r="I918" t="str">
        <x:v>Årlig beregnet, ikke målt</x:v>
      </x:c>
      <x:c r="J918" t="str">
        <x:v>01012025_17082025_2025.csv</x:v>
      </x:c>
    </x:row>
    <x:row r="919" ht="22" customHeight="1">
      <x:c r="A919" t="str">
        <x:v>61bf3e09db2c</x:v>
      </x:c>
      <x:c r="B919" t="n">
        <x:v>2025</x:v>
      </x:c>
      <x:c r="C919" t="str">
        <x:v>Idrettsbygg</x:v>
      </x:c>
      <x:c r="D919" t="str">
        <x:v>F</x:v>
      </x:c>
      <x:c r="E919" t="n">
        <x:v>1982</x:v>
      </x:c>
      <x:c r="F919" t="n">
        <x:v>351.42</x:v>
      </x:c>
      <x:c r="G919" t="str">
        <x:v>Advanced</x:v>
      </x:c>
      <x:c r="H919" t="str"/>
      <x:c r="I919" t="str">
        <x:v>Årlig beregnet, ikke målt</x:v>
      </x:c>
      <x:c r="J919" t="str">
        <x:v>01012025_17082025_2025.csv</x:v>
      </x:c>
    </x:row>
    <x:row r="920" ht="22" customHeight="1">
      <x:c r="A920" t="str">
        <x:v>548892d0fb58</x:v>
      </x:c>
      <x:c r="B920" t="n">
        <x:v>2025</x:v>
      </x:c>
      <x:c r="C920" t="str">
        <x:v>Idrettsbygg</x:v>
      </x:c>
      <x:c r="D920" t="str">
        <x:v>F</x:v>
      </x:c>
      <x:c r="E920" t="n">
        <x:v>1979</x:v>
      </x:c>
      <x:c r="F920" t="n">
        <x:v>381.69</x:v>
      </x:c>
      <x:c r="G920" t="str">
        <x:v>Advanced</x:v>
      </x:c>
      <x:c r="H920" t="str"/>
      <x:c r="I920" t="str">
        <x:v>Årlig beregnet, ikke målt</x:v>
      </x:c>
      <x:c r="J920" t="str">
        <x:v>01012025_17082025_2025.csv</x:v>
      </x:c>
    </x:row>
    <x:row r="921" ht="22" customHeight="1">
      <x:c r="A921" t="str">
        <x:v>19be10cc000e</x:v>
      </x:c>
      <x:c r="B921" t="n">
        <x:v>2025</x:v>
      </x:c>
      <x:c r="C921" t="str">
        <x:v>Idrettsbygg</x:v>
      </x:c>
      <x:c r="D921" t="str">
        <x:v>F</x:v>
      </x:c>
      <x:c r="E921" t="n">
        <x:v>1979</x:v>
      </x:c>
      <x:c r="F921" t="n">
        <x:v>410.04</x:v>
      </x:c>
      <x:c r="G921" t="str">
        <x:v>Advanced</x:v>
      </x:c>
      <x:c r="H921" t="str"/>
      <x:c r="I921" t="str">
        <x:v>Årlig beregnet, ikke målt</x:v>
      </x:c>
      <x:c r="J921" t="str">
        <x:v>01012025_17082025_2025.csv</x:v>
      </x:c>
    </x:row>
    <x:row r="922" ht="22" customHeight="1">
      <x:c r="A922" t="str">
        <x:v>b251062f4a32</x:v>
      </x:c>
      <x:c r="B922" t="n">
        <x:v>2025</x:v>
      </x:c>
      <x:c r="C922" t="str">
        <x:v>Idrettsbygg</x:v>
      </x:c>
      <x:c r="D922" t="str">
        <x:v>F</x:v>
      </x:c>
      <x:c r="E922" t="n">
        <x:v>1979</x:v>
      </x:c>
      <x:c r="F922" t="n">
        <x:v>410.04</x:v>
      </x:c>
      <x:c r="G922" t="str">
        <x:v>Advanced</x:v>
      </x:c>
      <x:c r="H922" t="str"/>
      <x:c r="I922" t="str">
        <x:v>Årlig beregnet, ikke målt</x:v>
      </x:c>
      <x:c r="J922" t="str">
        <x:v>01012025_17082025_2025.csv</x:v>
      </x:c>
    </x:row>
    <x:row r="923" ht="22" customHeight="1">
      <x:c r="A923" t="str">
        <x:v>eec1cb80b272</x:v>
      </x:c>
      <x:c r="B923" t="n">
        <x:v>2025</x:v>
      </x:c>
      <x:c r="C923" t="str">
        <x:v>Idrettsbygg</x:v>
      </x:c>
      <x:c r="D923" t="str">
        <x:v>G</x:v>
      </x:c>
      <x:c r="E923" t="n">
        <x:v>1989</x:v>
      </x:c>
      <x:c r="F923" t="n">
        <x:v>443.22</x:v>
      </x:c>
      <x:c r="G923" t="str">
        <x:v>Advanced</x:v>
      </x:c>
      <x:c r="H923" t="str"/>
      <x:c r="I923" t="str">
        <x:v>Årlig beregnet, ikke målt</x:v>
      </x:c>
      <x:c r="J923" t="str">
        <x:v>01012025_17082025_2025.csv</x:v>
      </x:c>
    </x:row>
    <x:row r="924" ht="22" customHeight="1">
      <x:c r="A924" t="str">
        <x:v>88d8f706776e</x:v>
      </x:c>
      <x:c r="B924" t="n">
        <x:v>2025</x:v>
      </x:c>
      <x:c r="C924" t="str">
        <x:v>Kontorbygg</x:v>
      </x:c>
      <x:c r="D924" t="str">
        <x:v>A</x:v>
      </x:c>
      <x:c r="E924" t="n">
        <x:v>2025</x:v>
      </x:c>
      <x:c r="F924" t="n">
        <x:v>86.84</x:v>
      </x:c>
      <x:c r="G924" t="str">
        <x:v>Advanced</x:v>
      </x:c>
      <x:c r="H924" t="str"/>
      <x:c r="I924" t="str">
        <x:v>Årlig beregnet, ikke målt</x:v>
      </x:c>
      <x:c r="J924" t="str">
        <x:v>01012025_17082025_2025.csv</x:v>
      </x:c>
    </x:row>
    <x:row r="925" ht="22" customHeight="1">
      <x:c r="A925" t="str">
        <x:v>14e1fc003f0b</x:v>
      </x:c>
      <x:c r="B925" t="n">
        <x:v>2025</x:v>
      </x:c>
      <x:c r="C925" t="str">
        <x:v>Kontorbygg</x:v>
      </x:c>
      <x:c r="D925" t="str">
        <x:v>A</x:v>
      </x:c>
      <x:c r="E925" t="n">
        <x:v>2025</x:v>
      </x:c>
      <x:c r="F925" t="n">
        <x:v>85.8</x:v>
      </x:c>
      <x:c r="G925" t="str">
        <x:v>Advanced</x:v>
      </x:c>
      <x:c r="H925" t="str"/>
      <x:c r="I925" t="str">
        <x:v>Årlig beregnet, ikke målt</x:v>
      </x:c>
      <x:c r="J925" t="str">
        <x:v>01012025_17082025_2025.csv</x:v>
      </x:c>
    </x:row>
    <x:row r="926" ht="22" customHeight="1">
      <x:c r="A926" t="str">
        <x:v>2f42074a625b</x:v>
      </x:c>
      <x:c r="B926" t="n">
        <x:v>2025</x:v>
      </x:c>
      <x:c r="C926" t="str">
        <x:v>Kontorbygg</x:v>
      </x:c>
      <x:c r="D926" t="str">
        <x:v>A</x:v>
      </x:c>
      <x:c r="E926" t="n">
        <x:v>2000</x:v>
      </x:c>
      <x:c r="F926" t="n">
        <x:v>52.32</x:v>
      </x:c>
      <x:c r="G926" t="str">
        <x:v>Advanced</x:v>
      </x:c>
      <x:c r="H926" t="str"/>
      <x:c r="I926" t="str">
        <x:v>Årlig beregnet, ikke målt</x:v>
      </x:c>
      <x:c r="J926" t="str">
        <x:v>01012025_17082025_2025.csv</x:v>
      </x:c>
    </x:row>
    <x:row r="927" ht="22" customHeight="1">
      <x:c r="A927" t="str">
        <x:v>1599cd6c6419</x:v>
      </x:c>
      <x:c r="B927" t="n">
        <x:v>2025</x:v>
      </x:c>
      <x:c r="C927" t="str">
        <x:v>Kontorbygg</x:v>
      </x:c>
      <x:c r="D927" t="str">
        <x:v>A</x:v>
      </x:c>
      <x:c r="E927" t="n">
        <x:v>2020</x:v>
      </x:c>
      <x:c r="F927" t="n">
        <x:v>88.76</x:v>
      </x:c>
      <x:c r="G927" t="str">
        <x:v>Advanced</x:v>
      </x:c>
      <x:c r="H927" t="str"/>
      <x:c r="I927" t="str">
        <x:v>Årlig beregnet, ikke målt</x:v>
      </x:c>
      <x:c r="J927" t="str">
        <x:v>01012025_17082025_2025.csv</x:v>
      </x:c>
    </x:row>
    <x:row r="928" ht="22" customHeight="1">
      <x:c r="A928" t="str">
        <x:v>e3e4b738831b</x:v>
      </x:c>
      <x:c r="B928" t="n">
        <x:v>2025</x:v>
      </x:c>
      <x:c r="C928" t="str">
        <x:v>Kontorbygg</x:v>
      </x:c>
      <x:c r="D928" t="str">
        <x:v>A</x:v>
      </x:c>
      <x:c r="E928" t="n">
        <x:v>2025</x:v>
      </x:c>
      <x:c r="F928" t="n">
        <x:v>87.8</x:v>
      </x:c>
      <x:c r="G928" t="str">
        <x:v>Advanced</x:v>
      </x:c>
      <x:c r="H928" t="str"/>
      <x:c r="I928" t="str">
        <x:v>Årlig beregnet, ikke målt</x:v>
      </x:c>
      <x:c r="J928" t="str">
        <x:v>01012025_17082025_2025.csv</x:v>
      </x:c>
    </x:row>
    <x:row r="929" ht="22" customHeight="1">
      <x:c r="A929" t="str">
        <x:v>006a8d857b8f</x:v>
      </x:c>
      <x:c r="B929" t="n">
        <x:v>2025</x:v>
      </x:c>
      <x:c r="C929" t="str">
        <x:v>Kontorbygg</x:v>
      </x:c>
      <x:c r="D929" t="str">
        <x:v>B</x:v>
      </x:c>
      <x:c r="E929" t="n">
        <x:v>1938</x:v>
      </x:c>
      <x:c r="F929" t="n">
        <x:v>114.71</x:v>
      </x:c>
      <x:c r="G929" t="str">
        <x:v>Advanced</x:v>
      </x:c>
      <x:c r="H929" t="str"/>
      <x:c r="I929" t="str">
        <x:v>Årlig beregnet, ikke målt</x:v>
      </x:c>
      <x:c r="J929" t="str">
        <x:v>01012025_17082025_2025.csv</x:v>
      </x:c>
    </x:row>
    <x:row r="930" ht="22" customHeight="1">
      <x:c r="A930" t="str">
        <x:v>f06130ca05dd</x:v>
      </x:c>
      <x:c r="B930" t="n">
        <x:v>2025</x:v>
      </x:c>
      <x:c r="C930" t="str">
        <x:v>Kontorbygg</x:v>
      </x:c>
      <x:c r="D930" t="str">
        <x:v>B</x:v>
      </x:c>
      <x:c r="E930" t="n">
        <x:v>2003</x:v>
      </x:c>
      <x:c r="F930" t="n">
        <x:v>113.26</x:v>
      </x:c>
      <x:c r="G930" t="str">
        <x:v>Advanced</x:v>
      </x:c>
      <x:c r="H930" t="str"/>
      <x:c r="I930" t="str">
        <x:v>Årlig beregnet, ikke målt</x:v>
      </x:c>
      <x:c r="J930" t="str">
        <x:v>01012025_17082025_2025.csv</x:v>
      </x:c>
    </x:row>
    <x:row r="931" ht="22" customHeight="1">
      <x:c r="A931" t="str">
        <x:v>4cf409ded4e3</x:v>
      </x:c>
      <x:c r="B931" t="n">
        <x:v>2025</x:v>
      </x:c>
      <x:c r="C931" t="str">
        <x:v>Kontorbygg</x:v>
      </x:c>
      <x:c r="D931" t="str">
        <x:v>B</x:v>
      </x:c>
      <x:c r="E931" t="n">
        <x:v>2025</x:v>
      </x:c>
      <x:c r="F931" t="n">
        <x:v>108.14</x:v>
      </x:c>
      <x:c r="G931" t="str">
        <x:v>Advanced</x:v>
      </x:c>
      <x:c r="H931" t="str"/>
      <x:c r="I931" t="str">
        <x:v>Årlig beregnet, ikke målt</x:v>
      </x:c>
      <x:c r="J931" t="str">
        <x:v>01012025_17082025_2025.csv</x:v>
      </x:c>
    </x:row>
    <x:row r="932" ht="22" customHeight="1">
      <x:c r="A932" t="str">
        <x:v>695ea0601db3</x:v>
      </x:c>
      <x:c r="B932" t="n">
        <x:v>2025</x:v>
      </x:c>
      <x:c r="C932" t="str">
        <x:v>Kontorbygg</x:v>
      </x:c>
      <x:c r="D932" t="str">
        <x:v>B</x:v>
      </x:c>
      <x:c r="E932" t="n">
        <x:v>1985</x:v>
      </x:c>
      <x:c r="F932" t="n">
        <x:v>73.09</x:v>
      </x:c>
      <x:c r="G932" t="str">
        <x:v>Advanced</x:v>
      </x:c>
      <x:c r="H932" t="str"/>
      <x:c r="I932" t="str">
        <x:v>Årlig beregnet, ikke målt</x:v>
      </x:c>
      <x:c r="J932" t="str">
        <x:v>01012025_17082025_2025.csv</x:v>
      </x:c>
    </x:row>
    <x:row r="933" ht="22" customHeight="1">
      <x:c r="A933" t="str">
        <x:v>bcc9b957dd17</x:v>
      </x:c>
      <x:c r="B933" t="n">
        <x:v>2025</x:v>
      </x:c>
      <x:c r="C933" t="str">
        <x:v>Kontorbygg</x:v>
      </x:c>
      <x:c r="D933" t="str">
        <x:v>B</x:v>
      </x:c>
      <x:c r="E933" t="n">
        <x:v>2016</x:v>
      </x:c>
      <x:c r="F933" t="n">
        <x:v>113.75</x:v>
      </x:c>
      <x:c r="G933" t="str">
        <x:v>Advanced</x:v>
      </x:c>
      <x:c r="H933" t="str"/>
      <x:c r="I933" t="str">
        <x:v>Årlig beregnet, ikke målt</x:v>
      </x:c>
      <x:c r="J933" t="str">
        <x:v>01012025_17082025_2025.csv</x:v>
      </x:c>
    </x:row>
    <x:row r="934" ht="22" customHeight="1">
      <x:c r="A934" t="str">
        <x:v>70d1c6900f8e</x:v>
      </x:c>
      <x:c r="B934" t="n">
        <x:v>2025</x:v>
      </x:c>
      <x:c r="C934" t="str">
        <x:v>Kontorbygg</x:v>
      </x:c>
      <x:c r="D934" t="str">
        <x:v>C</x:v>
      </x:c>
      <x:c r="E934" t="n">
        <x:v>2010</x:v>
      </x:c>
      <x:c r="F934" t="n">
        <x:v>123.65</x:v>
      </x:c>
      <x:c r="G934" t="str">
        <x:v>Advanced</x:v>
      </x:c>
      <x:c r="H934" t="str"/>
      <x:c r="I934" t="str">
        <x:v>Årlig beregnet, ikke målt</x:v>
      </x:c>
      <x:c r="J934" t="str">
        <x:v>01012025_17082025_2025.csv</x:v>
      </x:c>
    </x:row>
    <x:row r="935" ht="22" customHeight="1">
      <x:c r="A935" t="str">
        <x:v>dd8d66be5f9d</x:v>
      </x:c>
      <x:c r="B935" t="n">
        <x:v>2025</x:v>
      </x:c>
      <x:c r="C935" t="str">
        <x:v>Kontorbygg</x:v>
      </x:c>
      <x:c r="D935" t="str">
        <x:v>C</x:v>
      </x:c>
      <x:c r="E935" t="n">
        <x:v>1954</x:v>
      </x:c>
      <x:c r="F935" t="n">
        <x:v>143.87</x:v>
      </x:c>
      <x:c r="G935" t="str">
        <x:v>Advanced</x:v>
      </x:c>
      <x:c r="H935" t="str"/>
      <x:c r="I935" t="str">
        <x:v>Årlig beregnet, ikke målt</x:v>
      </x:c>
      <x:c r="J935" t="str">
        <x:v>01012025_17082025_2025.csv</x:v>
      </x:c>
    </x:row>
    <x:row r="936" ht="22" customHeight="1">
      <x:c r="A936" t="str">
        <x:v>e722e3044009</x:v>
      </x:c>
      <x:c r="B936" t="n">
        <x:v>2025</x:v>
      </x:c>
      <x:c r="C936" t="str">
        <x:v>Kontorbygg</x:v>
      </x:c>
      <x:c r="D936" t="str">
        <x:v>C</x:v>
      </x:c>
      <x:c r="E936" t="n">
        <x:v>1950</x:v>
      </x:c>
      <x:c r="F936" t="n">
        <x:v>141.37</x:v>
      </x:c>
      <x:c r="G936" t="str">
        <x:v>Advanced</x:v>
      </x:c>
      <x:c r="H936" t="str"/>
      <x:c r="I936" t="str">
        <x:v>Årlig beregnet, ikke målt</x:v>
      </x:c>
      <x:c r="J936" t="str">
        <x:v>01012025_17082025_2025.csv</x:v>
      </x:c>
    </x:row>
    <x:row r="937" ht="22" customHeight="1">
      <x:c r="A937" t="str">
        <x:v>6e5cc5a5bec0</x:v>
      </x:c>
      <x:c r="B937" t="n">
        <x:v>2025</x:v>
      </x:c>
      <x:c r="C937" t="str">
        <x:v>Kontorbygg</x:v>
      </x:c>
      <x:c r="D937" t="str">
        <x:v>C</x:v>
      </x:c>
      <x:c r="E937" t="n">
        <x:v>2000</x:v>
      </x:c>
      <x:c r="F937" t="n">
        <x:v>137.77</x:v>
      </x:c>
      <x:c r="G937" t="str">
        <x:v>Advanced</x:v>
      </x:c>
      <x:c r="H937" t="str"/>
      <x:c r="I937" t="str">
        <x:v>Årlig beregnet, ikke målt</x:v>
      </x:c>
      <x:c r="J937" t="str">
        <x:v>01012025_17082025_2025.csv</x:v>
      </x:c>
    </x:row>
    <x:row r="938" ht="22" customHeight="1">
      <x:c r="A938" t="str">
        <x:v>a645b2ba7586</x:v>
      </x:c>
      <x:c r="B938" t="n">
        <x:v>2025</x:v>
      </x:c>
      <x:c r="C938" t="str">
        <x:v>Kontorbygg</x:v>
      </x:c>
      <x:c r="D938" t="str">
        <x:v>C</x:v>
      </x:c>
      <x:c r="E938" t="n">
        <x:v>2024</x:v>
      </x:c>
      <x:c r="F938" t="n">
        <x:v>141.02</x:v>
      </x:c>
      <x:c r="G938" t="str">
        <x:v>Advanced</x:v>
      </x:c>
      <x:c r="H938" t="str"/>
      <x:c r="I938" t="str">
        <x:v>Årlig beregnet, ikke målt</x:v>
      </x:c>
      <x:c r="J938" t="str">
        <x:v>01012025_17082025_2025.csv</x:v>
      </x:c>
    </x:row>
    <x:row r="939" ht="22" customHeight="1">
      <x:c r="A939" t="str">
        <x:v>1ea9a77d1aaf</x:v>
      </x:c>
      <x:c r="B939" t="n">
        <x:v>2025</x:v>
      </x:c>
      <x:c r="C939" t="str">
        <x:v>Kontorbygg</x:v>
      </x:c>
      <x:c r="D939" t="str">
        <x:v>D</x:v>
      </x:c>
      <x:c r="E939" t="n">
        <x:v>1936</x:v>
      </x:c>
      <x:c r="F939" t="n">
        <x:v>157.08</x:v>
      </x:c>
      <x:c r="G939" t="str">
        <x:v>Advanced</x:v>
      </x:c>
      <x:c r="H939" t="str"/>
      <x:c r="I939" t="str">
        <x:v>Årlig beregnet, ikke målt</x:v>
      </x:c>
      <x:c r="J939" t="str">
        <x:v>01012025_17082025_2025.csv</x:v>
      </x:c>
    </x:row>
    <x:row r="940" ht="22" customHeight="1">
      <x:c r="A940" t="str">
        <x:v>0e279ed9c11e</x:v>
      </x:c>
      <x:c r="B940" t="n">
        <x:v>2025</x:v>
      </x:c>
      <x:c r="C940" t="str">
        <x:v>Kontorbygg</x:v>
      </x:c>
      <x:c r="D940" t="str">
        <x:v>D</x:v>
      </x:c>
      <x:c r="E940" t="n">
        <x:v>1991</x:v>
      </x:c>
      <x:c r="F940" t="n">
        <x:v>149.7</x:v>
      </x:c>
      <x:c r="G940" t="str">
        <x:v>Advanced</x:v>
      </x:c>
      <x:c r="H940" t="str"/>
      <x:c r="I940" t="str">
        <x:v>Årlig beregnet, ikke målt</x:v>
      </x:c>
      <x:c r="J940" t="str">
        <x:v>01012025_17082025_2025.csv</x:v>
      </x:c>
    </x:row>
    <x:row r="941" ht="22" customHeight="1">
      <x:c r="A941" t="str">
        <x:v>0316f4e3d843</x:v>
      </x:c>
      <x:c r="B941" t="n">
        <x:v>2025</x:v>
      </x:c>
      <x:c r="C941" t="str">
        <x:v>Kontorbygg</x:v>
      </x:c>
      <x:c r="D941" t="str">
        <x:v>D</x:v>
      </x:c>
      <x:c r="E941" t="n">
        <x:v>2006</x:v>
      </x:c>
      <x:c r="F941" t="n">
        <x:v>159.54</x:v>
      </x:c>
      <x:c r="G941" t="str">
        <x:v>Advanced</x:v>
      </x:c>
      <x:c r="H941" t="str"/>
      <x:c r="I941" t="str">
        <x:v>Årlig beregnet, ikke målt</x:v>
      </x:c>
      <x:c r="J941" t="str">
        <x:v>01012025_17082025_2025.csv</x:v>
      </x:c>
    </x:row>
    <x:row r="942" ht="22" customHeight="1">
      <x:c r="A942" t="str">
        <x:v>b916b837d8d9</x:v>
      </x:c>
      <x:c r="B942" t="n">
        <x:v>2025</x:v>
      </x:c>
      <x:c r="C942" t="str">
        <x:v>Kontorbygg</x:v>
      </x:c>
      <x:c r="D942" t="str">
        <x:v>D</x:v>
      </x:c>
      <x:c r="E942" t="n">
        <x:v>2004</x:v>
      </x:c>
      <x:c r="F942" t="n">
        <x:v>150.81</x:v>
      </x:c>
      <x:c r="G942" t="str">
        <x:v>Advanced</x:v>
      </x:c>
      <x:c r="H942" t="str"/>
      <x:c r="I942" t="str">
        <x:v>Årlig beregnet, ikke målt</x:v>
      </x:c>
      <x:c r="J942" t="str">
        <x:v>01012025_17082025_2025.csv</x:v>
      </x:c>
    </x:row>
    <x:row r="943" ht="22" customHeight="1">
      <x:c r="A943" t="str">
        <x:v>663094475194</x:v>
      </x:c>
      <x:c r="B943" t="n">
        <x:v>2025</x:v>
      </x:c>
      <x:c r="C943" t="str">
        <x:v>Kontorbygg</x:v>
      </x:c>
      <x:c r="D943" t="str">
        <x:v>D</x:v>
      </x:c>
      <x:c r="E943" t="n">
        <x:v>2004</x:v>
      </x:c>
      <x:c r="F943" t="n">
        <x:v>150.81</x:v>
      </x:c>
      <x:c r="G943" t="str">
        <x:v>Advanced</x:v>
      </x:c>
      <x:c r="H943" t="str"/>
      <x:c r="I943" t="str">
        <x:v>Årlig beregnet, ikke målt</x:v>
      </x:c>
      <x:c r="J943" t="str">
        <x:v>01012025_17082025_2025.csv</x:v>
      </x:c>
    </x:row>
    <x:row r="944" ht="22" customHeight="1">
      <x:c r="A944" t="str">
        <x:v>27a6847a269b</x:v>
      </x:c>
      <x:c r="B944" t="n">
        <x:v>2025</x:v>
      </x:c>
      <x:c r="C944" t="str">
        <x:v>Kontorbygg</x:v>
      </x:c>
      <x:c r="D944" t="str">
        <x:v>E</x:v>
      </x:c>
      <x:c r="E944" t="n">
        <x:v>1994</x:v>
      </x:c>
      <x:c r="F944" t="n">
        <x:v>212.44</x:v>
      </x:c>
      <x:c r="G944" t="str">
        <x:v>Advanced</x:v>
      </x:c>
      <x:c r="H944" t="str"/>
      <x:c r="I944" t="str">
        <x:v>Årlig beregnet, ikke målt</x:v>
      </x:c>
      <x:c r="J944" t="str">
        <x:v>01012025_17082025_2025.csv</x:v>
      </x:c>
    </x:row>
    <x:row r="945" ht="22" customHeight="1">
      <x:c r="A945" t="str">
        <x:v>8993464bf691</x:v>
      </x:c>
      <x:c r="B945" t="n">
        <x:v>2025</x:v>
      </x:c>
      <x:c r="C945" t="str">
        <x:v>Kontorbygg</x:v>
      </x:c>
      <x:c r="D945" t="str">
        <x:v>E</x:v>
      </x:c>
      <x:c r="E945" t="n">
        <x:v>2000</x:v>
      </x:c>
      <x:c r="F945" t="n">
        <x:v>218.05</x:v>
      </x:c>
      <x:c r="G945" t="str">
        <x:v>Advanced</x:v>
      </x:c>
      <x:c r="H945" t="str"/>
      <x:c r="I945" t="str">
        <x:v>Årlig beregnet, ikke målt</x:v>
      </x:c>
      <x:c r="J945" t="str">
        <x:v>01012025_17082025_2025.csv</x:v>
      </x:c>
    </x:row>
    <x:row r="946" ht="22" customHeight="1">
      <x:c r="A946" t="str">
        <x:v>911d917a23e7</x:v>
      </x:c>
      <x:c r="B946" t="n">
        <x:v>2025</x:v>
      </x:c>
      <x:c r="C946" t="str">
        <x:v>Kontorbygg</x:v>
      </x:c>
      <x:c r="D946" t="str">
        <x:v>E</x:v>
      </x:c>
      <x:c r="E946" t="n">
        <x:v>1986</x:v>
      </x:c>
      <x:c r="F946" t="n">
        <x:v>191.64</x:v>
      </x:c>
      <x:c r="G946" t="str">
        <x:v>Advanced</x:v>
      </x:c>
      <x:c r="H946" t="str"/>
      <x:c r="I946" t="str">
        <x:v>Årlig beregnet, ikke målt</x:v>
      </x:c>
      <x:c r="J946" t="str">
        <x:v>01012025_17082025_2025.csv</x:v>
      </x:c>
    </x:row>
    <x:row r="947" ht="22" customHeight="1">
      <x:c r="A947" t="str">
        <x:v>a607cb4e0763</x:v>
      </x:c>
      <x:c r="B947" t="n">
        <x:v>2025</x:v>
      </x:c>
      <x:c r="C947" t="str">
        <x:v>Kontorbygg</x:v>
      </x:c>
      <x:c r="D947" t="str">
        <x:v>E</x:v>
      </x:c>
      <x:c r="E947" t="n">
        <x:v>1988</x:v>
      </x:c>
      <x:c r="F947" t="n">
        <x:v>211.35</x:v>
      </x:c>
      <x:c r="G947" t="str">
        <x:v>Advanced</x:v>
      </x:c>
      <x:c r="H947" t="str"/>
      <x:c r="I947" t="str">
        <x:v>Årlig beregnet, ikke målt</x:v>
      </x:c>
      <x:c r="J947" t="str">
        <x:v>01012025_17082025_2025.csv</x:v>
      </x:c>
    </x:row>
    <x:row r="948" ht="22" customHeight="1">
      <x:c r="A948" t="str">
        <x:v>c9f0c073204e</x:v>
      </x:c>
      <x:c r="B948" t="n">
        <x:v>2025</x:v>
      </x:c>
      <x:c r="C948" t="str">
        <x:v>Kontorbygg</x:v>
      </x:c>
      <x:c r="D948" t="str">
        <x:v>E</x:v>
      </x:c>
      <x:c r="E948" t="n">
        <x:v>1851</x:v>
      </x:c>
      <x:c r="F948" t="n">
        <x:v>209.61</x:v>
      </x:c>
      <x:c r="G948" t="str">
        <x:v>Advanced</x:v>
      </x:c>
      <x:c r="H948" t="str"/>
      <x:c r="I948" t="str">
        <x:v>Årlig beregnet, ikke målt</x:v>
      </x:c>
      <x:c r="J948" t="str">
        <x:v>01012025_17082025_2025.csv</x:v>
      </x:c>
    </x:row>
    <x:row r="949" ht="22" customHeight="1">
      <x:c r="A949" t="str">
        <x:v>9a850f64ed2d</x:v>
      </x:c>
      <x:c r="B949" t="n">
        <x:v>2025</x:v>
      </x:c>
      <x:c r="C949" t="str">
        <x:v>Kontorbygg</x:v>
      </x:c>
      <x:c r="D949" t="str">
        <x:v>F</x:v>
      </x:c>
      <x:c r="E949" t="n">
        <x:v>1898</x:v>
      </x:c>
      <x:c r="F949" t="n">
        <x:v>225.51</x:v>
      </x:c>
      <x:c r="G949" t="str">
        <x:v>Advanced</x:v>
      </x:c>
      <x:c r="H949" t="str"/>
      <x:c r="I949" t="str">
        <x:v>Årlig beregnet, ikke målt</x:v>
      </x:c>
      <x:c r="J949" t="str">
        <x:v>01012025_17082025_2025.csv</x:v>
      </x:c>
    </x:row>
    <x:row r="950" ht="22" customHeight="1">
      <x:c r="A950" t="str">
        <x:v>e36b55bf79b2</x:v>
      </x:c>
      <x:c r="B950" t="n">
        <x:v>2025</x:v>
      </x:c>
      <x:c r="C950" t="str">
        <x:v>Kontorbygg</x:v>
      </x:c>
      <x:c r="D950" t="str">
        <x:v>F</x:v>
      </x:c>
      <x:c r="E950" t="n">
        <x:v>1997</x:v>
      </x:c>
      <x:c r="F950" t="n">
        <x:v>261.46</x:v>
      </x:c>
      <x:c r="G950" t="str">
        <x:v>Advanced</x:v>
      </x:c>
      <x:c r="H950" t="str"/>
      <x:c r="I950" t="str">
        <x:v>Årlig beregnet, ikke målt</x:v>
      </x:c>
      <x:c r="J950" t="str">
        <x:v>01012025_17082025_2025.csv</x:v>
      </x:c>
    </x:row>
    <x:row r="951" ht="22" customHeight="1">
      <x:c r="A951" t="str">
        <x:v>89d5573b839a</x:v>
      </x:c>
      <x:c r="B951" t="n">
        <x:v>2025</x:v>
      </x:c>
      <x:c r="C951" t="str">
        <x:v>Kontorbygg</x:v>
      </x:c>
      <x:c r="D951" t="str">
        <x:v>F</x:v>
      </x:c>
      <x:c r="E951" t="n">
        <x:v>1930</x:v>
      </x:c>
      <x:c r="F951" t="n">
        <x:v>221</x:v>
      </x:c>
      <x:c r="G951" t="str">
        <x:v>Advanced</x:v>
      </x:c>
      <x:c r="H951" t="str"/>
      <x:c r="I951" t="str">
        <x:v>Årlig beregnet, ikke målt</x:v>
      </x:c>
      <x:c r="J951" t="str">
        <x:v>01012025_17082025_2025.csv</x:v>
      </x:c>
    </x:row>
    <x:row r="952" ht="22" customHeight="1">
      <x:c r="A952" t="str">
        <x:v>86208c1044c5</x:v>
      </x:c>
      <x:c r="B952" t="n">
        <x:v>2025</x:v>
      </x:c>
      <x:c r="C952" t="str">
        <x:v>Kontorbygg</x:v>
      </x:c>
      <x:c r="D952" t="str">
        <x:v>F</x:v>
      </x:c>
      <x:c r="E952" t="n">
        <x:v>2000</x:v>
      </x:c>
      <x:c r="F952" t="n">
        <x:v>246.83</x:v>
      </x:c>
      <x:c r="G952" t="str">
        <x:v>Advanced</x:v>
      </x:c>
      <x:c r="H952" t="str"/>
      <x:c r="I952" t="str">
        <x:v>Årlig beregnet, ikke målt</x:v>
      </x:c>
      <x:c r="J952" t="str">
        <x:v>01012025_17082025_2025.csv</x:v>
      </x:c>
    </x:row>
    <x:row r="953" ht="22" customHeight="1">
      <x:c r="A953" t="str">
        <x:v>95c39d817d9c</x:v>
      </x:c>
      <x:c r="B953" t="n">
        <x:v>2025</x:v>
      </x:c>
      <x:c r="C953" t="str">
        <x:v>Kontorbygg</x:v>
      </x:c>
      <x:c r="D953" t="str">
        <x:v>F</x:v>
      </x:c>
      <x:c r="E953" t="n">
        <x:v>1967</x:v>
      </x:c>
      <x:c r="F953" t="n">
        <x:v>246.37</x:v>
      </x:c>
      <x:c r="G953" t="str">
        <x:v>Advanced</x:v>
      </x:c>
      <x:c r="H953" t="str"/>
      <x:c r="I953" t="str">
        <x:v>Årlig beregnet, ikke målt</x:v>
      </x:c>
      <x:c r="J953" t="str">
        <x:v>01012025_17082025_2025.csv</x:v>
      </x:c>
    </x:row>
    <x:row r="954" ht="22" customHeight="1">
      <x:c r="A954" t="str">
        <x:v>2484e3a3e957</x:v>
      </x:c>
      <x:c r="B954" t="n">
        <x:v>2025</x:v>
      </x:c>
      <x:c r="C954" t="str">
        <x:v>Kontorbygg</x:v>
      </x:c>
      <x:c r="D954" t="str">
        <x:v>G</x:v>
      </x:c>
      <x:c r="E954" t="n">
        <x:v>1885</x:v>
      </x:c>
      <x:c r="F954" t="n">
        <x:v>313.39</x:v>
      </x:c>
      <x:c r="G954" t="str">
        <x:v>Advanced</x:v>
      </x:c>
      <x:c r="H954" t="str"/>
      <x:c r="I954" t="str">
        <x:v>Årlig beregnet, ikke målt</x:v>
      </x:c>
      <x:c r="J954" t="str">
        <x:v>01012025_17082025_2025.csv</x:v>
      </x:c>
    </x:row>
    <x:row r="955" ht="22" customHeight="1">
      <x:c r="A955" t="str">
        <x:v>6b0dacd20f5b</x:v>
      </x:c>
      <x:c r="B955" t="n">
        <x:v>2025</x:v>
      </x:c>
      <x:c r="C955" t="str">
        <x:v>Kontorbygg</x:v>
      </x:c>
      <x:c r="D955" t="str">
        <x:v>G</x:v>
      </x:c>
      <x:c r="E955" t="n">
        <x:v>1812</x:v>
      </x:c>
      <x:c r="F955" t="n">
        <x:v>548.18</x:v>
      </x:c>
      <x:c r="G955" t="str">
        <x:v>Advanced</x:v>
      </x:c>
      <x:c r="H955" t="str"/>
      <x:c r="I955" t="str">
        <x:v>Årlig beregnet, ikke målt</x:v>
      </x:c>
      <x:c r="J955" t="str">
        <x:v>01012025_17082025_2025.csv</x:v>
      </x:c>
    </x:row>
    <x:row r="956" ht="22" customHeight="1">
      <x:c r="A956" t="str">
        <x:v>ed27a92d1aef</x:v>
      </x:c>
      <x:c r="B956" t="n">
        <x:v>2025</x:v>
      </x:c>
      <x:c r="C956" t="str">
        <x:v>Kontorbygg</x:v>
      </x:c>
      <x:c r="D956" t="str">
        <x:v>G</x:v>
      </x:c>
      <x:c r="E956" t="n">
        <x:v>2000</x:v>
      </x:c>
      <x:c r="F956" t="n">
        <x:v>356.17</x:v>
      </x:c>
      <x:c r="G956" t="str">
        <x:v>Advanced</x:v>
      </x:c>
      <x:c r="H956" t="str"/>
      <x:c r="I956" t="str">
        <x:v>Årlig beregnet, ikke målt</x:v>
      </x:c>
      <x:c r="J956" t="str">
        <x:v>01012025_17082025_2025.csv</x:v>
      </x:c>
    </x:row>
    <x:row r="957" ht="22" customHeight="1">
      <x:c r="A957" t="str">
        <x:v>e375d21e36b0</x:v>
      </x:c>
      <x:c r="B957" t="n">
        <x:v>2025</x:v>
      </x:c>
      <x:c r="C957" t="str">
        <x:v>Kontorbygg</x:v>
      </x:c>
      <x:c r="D957" t="str">
        <x:v>G</x:v>
      </x:c>
      <x:c r="E957" t="n">
        <x:v>1962</x:v>
      </x:c>
      <x:c r="F957" t="n">
        <x:v>289.01</x:v>
      </x:c>
      <x:c r="G957" t="str">
        <x:v>Advanced</x:v>
      </x:c>
      <x:c r="H957" t="str"/>
      <x:c r="I957" t="str">
        <x:v>Årlig beregnet, ikke målt</x:v>
      </x:c>
      <x:c r="J957" t="str">
        <x:v>01012025_17082025_2025.csv</x:v>
      </x:c>
    </x:row>
    <x:row r="958" ht="22" customHeight="1">
      <x:c r="A958" t="str">
        <x:v>ce24ba916fff</x:v>
      </x:c>
      <x:c r="B958" t="n">
        <x:v>2025</x:v>
      </x:c>
      <x:c r="C958" t="str">
        <x:v>Kontorbygg</x:v>
      </x:c>
      <x:c r="D958" t="str">
        <x:v>G</x:v>
      </x:c>
      <x:c r="E958" t="n">
        <x:v>1968</x:v>
      </x:c>
      <x:c r="F958" t="n">
        <x:v>403.78</x:v>
      </x:c>
      <x:c r="G958" t="str">
        <x:v>Advanced</x:v>
      </x:c>
      <x:c r="H958" t="str"/>
      <x:c r="I958" t="str">
        <x:v>Årlig beregnet, ikke målt</x:v>
      </x:c>
      <x:c r="J958" t="str">
        <x:v>01012025_17082025_2025.csv</x:v>
      </x:c>
    </x:row>
    <x:row r="959" ht="22" customHeight="1">
      <x:c r="A959" t="str">
        <x:v>30d459c3748b</x:v>
      </x:c>
      <x:c r="B959" t="n">
        <x:v>2025</x:v>
      </x:c>
      <x:c r="C959" t="str">
        <x:v>Kulturbygg</x:v>
      </x:c>
      <x:c r="D959" t="str">
        <x:v>A</x:v>
      </x:c>
      <x:c r="E959" t="n">
        <x:v>2025</x:v>
      </x:c>
      <x:c r="F959" t="n">
        <x:v>67.93</x:v>
      </x:c>
      <x:c r="G959" t="str">
        <x:v>Advanced</x:v>
      </x:c>
      <x:c r="H959" t="str"/>
      <x:c r="I959" t="str">
        <x:v>Årlig beregnet, ikke målt</x:v>
      </x:c>
      <x:c r="J959" t="str">
        <x:v>01012025_17082025_2025.csv</x:v>
      </x:c>
    </x:row>
    <x:row r="960" ht="22" customHeight="1">
      <x:c r="A960" t="str">
        <x:v>2c625069a2d8</x:v>
      </x:c>
      <x:c r="B960" t="n">
        <x:v>2025</x:v>
      </x:c>
      <x:c r="C960" t="str">
        <x:v>Kulturbygg</x:v>
      </x:c>
      <x:c r="D960" t="str">
        <x:v>A</x:v>
      </x:c>
      <x:c r="E960" t="n">
        <x:v>1964</x:v>
      </x:c>
      <x:c r="F960" t="n">
        <x:v>86.71</x:v>
      </x:c>
      <x:c r="G960" t="str">
        <x:v>Advanced</x:v>
      </x:c>
      <x:c r="H960" t="str"/>
      <x:c r="I960" t="str">
        <x:v>Årlig beregnet, ikke målt</x:v>
      </x:c>
      <x:c r="J960" t="str">
        <x:v>01012025_17082025_2025.csv</x:v>
      </x:c>
    </x:row>
    <x:row r="961" ht="22" customHeight="1">
      <x:c r="A961" t="str">
        <x:v>340a81322e15</x:v>
      </x:c>
      <x:c r="B961" t="n">
        <x:v>2025</x:v>
      </x:c>
      <x:c r="C961" t="str">
        <x:v>Kulturbygg</x:v>
      </x:c>
      <x:c r="D961" t="str">
        <x:v>A</x:v>
      </x:c>
      <x:c r="E961" t="n">
        <x:v>2025</x:v>
      </x:c>
      <x:c r="F961" t="n">
        <x:v>77.7</x:v>
      </x:c>
      <x:c r="G961" t="str">
        <x:v>Advanced</x:v>
      </x:c>
      <x:c r="H961" t="str"/>
      <x:c r="I961" t="str">
        <x:v>Årlig beregnet, ikke målt</x:v>
      </x:c>
      <x:c r="J961" t="str">
        <x:v>01012025_17082025_2025.csv</x:v>
      </x:c>
    </x:row>
    <x:row r="962" ht="22" customHeight="1">
      <x:c r="A962" t="str">
        <x:v>aaa5d45e30fb</x:v>
      </x:c>
      <x:c r="B962" t="n">
        <x:v>2025</x:v>
      </x:c>
      <x:c r="C962" t="str">
        <x:v>Kulturbygg</x:v>
      </x:c>
      <x:c r="D962" t="str">
        <x:v>A</x:v>
      </x:c>
      <x:c r="E962" t="n">
        <x:v>1997</x:v>
      </x:c>
      <x:c r="F962" t="n">
        <x:v>78.35</x:v>
      </x:c>
      <x:c r="G962" t="str">
        <x:v>Advanced</x:v>
      </x:c>
      <x:c r="H962" t="str"/>
      <x:c r="I962" t="str">
        <x:v>Årlig beregnet, ikke målt</x:v>
      </x:c>
      <x:c r="J962" t="str">
        <x:v>01012025_17082025_2025.csv</x:v>
      </x:c>
    </x:row>
    <x:row r="963" ht="22" customHeight="1">
      <x:c r="A963" t="str">
        <x:v>760fa70c10bb</x:v>
      </x:c>
      <x:c r="B963" t="n">
        <x:v>2025</x:v>
      </x:c>
      <x:c r="C963" t="str">
        <x:v>Kulturbygg</x:v>
      </x:c>
      <x:c r="D963" t="str">
        <x:v>B</x:v>
      </x:c>
      <x:c r="E963" t="n">
        <x:v>2025</x:v>
      </x:c>
      <x:c r="F963" t="n">
        <x:v>113.81</x:v>
      </x:c>
      <x:c r="G963" t="str">
        <x:v>Advanced</x:v>
      </x:c>
      <x:c r="H963" t="str"/>
      <x:c r="I963" t="str">
        <x:v>Årlig beregnet, ikke målt</x:v>
      </x:c>
      <x:c r="J963" t="str">
        <x:v>01012025_17082025_2025.csv</x:v>
      </x:c>
    </x:row>
    <x:row r="964" ht="22" customHeight="1">
      <x:c r="A964" t="str">
        <x:v>2d0b5de7b773</x:v>
      </x:c>
      <x:c r="B964" t="n">
        <x:v>2025</x:v>
      </x:c>
      <x:c r="C964" t="str">
        <x:v>Kulturbygg</x:v>
      </x:c>
      <x:c r="D964" t="str">
        <x:v>B</x:v>
      </x:c>
      <x:c r="E964" t="n">
        <x:v>1956</x:v>
      </x:c>
      <x:c r="F964" t="n">
        <x:v>124.18</x:v>
      </x:c>
      <x:c r="G964" t="str">
        <x:v>Advanced</x:v>
      </x:c>
      <x:c r="H964" t="str"/>
      <x:c r="I964" t="str">
        <x:v>Årlig beregnet, ikke målt</x:v>
      </x:c>
      <x:c r="J964" t="str">
        <x:v>01012025_17082025_2025.csv</x:v>
      </x:c>
    </x:row>
    <x:row r="965" ht="22" customHeight="1">
      <x:c r="A965" t="str">
        <x:v>d32124b32f13</x:v>
      </x:c>
      <x:c r="B965" t="n">
        <x:v>2025</x:v>
      </x:c>
      <x:c r="C965" t="str">
        <x:v>Kulturbygg</x:v>
      </x:c>
      <x:c r="D965" t="str">
        <x:v>B</x:v>
      </x:c>
      <x:c r="E965" t="n">
        <x:v>1997</x:v>
      </x:c>
      <x:c r="F965" t="n">
        <x:v>132.77</x:v>
      </x:c>
      <x:c r="G965" t="str">
        <x:v>Advanced</x:v>
      </x:c>
      <x:c r="H965" t="str"/>
      <x:c r="I965" t="str">
        <x:v>Årlig beregnet, ikke målt</x:v>
      </x:c>
      <x:c r="J965" t="str">
        <x:v>01012025_17082025_2025.csv</x:v>
      </x:c>
    </x:row>
    <x:row r="966" ht="22" customHeight="1">
      <x:c r="A966" t="str">
        <x:v>dcdb332002a2</x:v>
      </x:c>
      <x:c r="B966" t="n">
        <x:v>2025</x:v>
      </x:c>
      <x:c r="C966" t="str">
        <x:v>Kulturbygg</x:v>
      </x:c>
      <x:c r="D966" t="str">
        <x:v>B</x:v>
      </x:c>
      <x:c r="E966" t="n">
        <x:v>2012</x:v>
      </x:c>
      <x:c r="F966" t="n">
        <x:v>110.62</x:v>
      </x:c>
      <x:c r="G966" t="str">
        <x:v>Advanced</x:v>
      </x:c>
      <x:c r="H966" t="str"/>
      <x:c r="I966" t="str">
        <x:v>Årlig beregnet, ikke målt</x:v>
      </x:c>
      <x:c r="J966" t="str">
        <x:v>01012025_17082025_2025.csv</x:v>
      </x:c>
    </x:row>
    <x:row r="967" ht="22" customHeight="1">
      <x:c r="A967" t="str">
        <x:v>1aeb917ce8ae</x:v>
      </x:c>
      <x:c r="B967" t="n">
        <x:v>2025</x:v>
      </x:c>
      <x:c r="C967" t="str">
        <x:v>Kulturbygg</x:v>
      </x:c>
      <x:c r="D967" t="str">
        <x:v>B</x:v>
      </x:c>
      <x:c r="E967" t="n">
        <x:v>2017</x:v>
      </x:c>
      <x:c r="F967" t="n">
        <x:v>78.61</x:v>
      </x:c>
      <x:c r="G967" t="str">
        <x:v>Advanced</x:v>
      </x:c>
      <x:c r="H967" t="str"/>
      <x:c r="I967" t="str">
        <x:v>Årlig beregnet, ikke målt</x:v>
      </x:c>
      <x:c r="J967" t="str">
        <x:v>01012025_17082025_2025.csv</x:v>
      </x:c>
    </x:row>
    <x:row r="968" ht="22" customHeight="1">
      <x:c r="A968" t="str">
        <x:v>a56e0156352c</x:v>
      </x:c>
      <x:c r="B968" t="n">
        <x:v>2025</x:v>
      </x:c>
      <x:c r="C968" t="str">
        <x:v>Kulturbygg</x:v>
      </x:c>
      <x:c r="D968" t="str">
        <x:v>C</x:v>
      </x:c>
      <x:c r="E968" t="n">
        <x:v>2000</x:v>
      </x:c>
      <x:c r="F968" t="n">
        <x:v>158.15</x:v>
      </x:c>
      <x:c r="G968" t="str">
        <x:v>Advanced</x:v>
      </x:c>
      <x:c r="H968" t="str"/>
      <x:c r="I968" t="str">
        <x:v>Årlig beregnet, ikke målt</x:v>
      </x:c>
      <x:c r="J968" t="str">
        <x:v>01012025_17082025_2025.csv</x:v>
      </x:c>
    </x:row>
    <x:row r="969" ht="22" customHeight="1">
      <x:c r="A969" t="str">
        <x:v>b8214b16c325</x:v>
      </x:c>
      <x:c r="B969" t="n">
        <x:v>2025</x:v>
      </x:c>
      <x:c r="C969" t="str">
        <x:v>Kulturbygg</x:v>
      </x:c>
      <x:c r="D969" t="str">
        <x:v>C</x:v>
      </x:c>
      <x:c r="E969" t="n">
        <x:v>2000</x:v>
      </x:c>
      <x:c r="F969" t="n">
        <x:v>167.82</x:v>
      </x:c>
      <x:c r="G969" t="str">
        <x:v>Advanced</x:v>
      </x:c>
      <x:c r="H969" t="str"/>
      <x:c r="I969" t="str">
        <x:v>Årlig beregnet, ikke målt</x:v>
      </x:c>
      <x:c r="J969" t="str">
        <x:v>01012025_17082025_2025.csv</x:v>
      </x:c>
    </x:row>
    <x:row r="970" ht="22" customHeight="1">
      <x:c r="A970" t="str">
        <x:v>119740b3cacd</x:v>
      </x:c>
      <x:c r="B970" t="n">
        <x:v>2025</x:v>
      </x:c>
      <x:c r="C970" t="str">
        <x:v>Kulturbygg</x:v>
      </x:c>
      <x:c r="D970" t="str">
        <x:v>C</x:v>
      </x:c>
      <x:c r="E970" t="n">
        <x:v>1932</x:v>
      </x:c>
      <x:c r="F970" t="n">
        <x:v>154.44</x:v>
      </x:c>
      <x:c r="G970" t="str">
        <x:v>Advanced</x:v>
      </x:c>
      <x:c r="H970" t="str"/>
      <x:c r="I970" t="str">
        <x:v>Årlig beregnet, ikke målt</x:v>
      </x:c>
      <x:c r="J970" t="str">
        <x:v>01012025_17082025_2025.csv</x:v>
      </x:c>
    </x:row>
    <x:row r="971" ht="22" customHeight="1">
      <x:c r="A971" t="str">
        <x:v>a9ad6001cd89</x:v>
      </x:c>
      <x:c r="B971" t="n">
        <x:v>2025</x:v>
      </x:c>
      <x:c r="C971" t="str">
        <x:v>Kulturbygg</x:v>
      </x:c>
      <x:c r="D971" t="str">
        <x:v>C</x:v>
      </x:c>
      <x:c r="E971" t="n">
        <x:v>2001</x:v>
      </x:c>
      <x:c r="F971" t="n">
        <x:v>135.22</x:v>
      </x:c>
      <x:c r="G971" t="str">
        <x:v>Advanced</x:v>
      </x:c>
      <x:c r="H971" t="str"/>
      <x:c r="I971" t="str">
        <x:v>Årlig beregnet, ikke målt</x:v>
      </x:c>
      <x:c r="J971" t="str">
        <x:v>01012025_17082025_2025.csv</x:v>
      </x:c>
    </x:row>
    <x:row r="972" ht="22" customHeight="1">
      <x:c r="A972" t="str">
        <x:v>d73ad7f052ac</x:v>
      </x:c>
      <x:c r="B972" t="n">
        <x:v>2025</x:v>
      </x:c>
      <x:c r="C972" t="str">
        <x:v>Kulturbygg</x:v>
      </x:c>
      <x:c r="D972" t="str">
        <x:v>C</x:v>
      </x:c>
      <x:c r="E972" t="n">
        <x:v>1982</x:v>
      </x:c>
      <x:c r="F972" t="n">
        <x:v>171.55</x:v>
      </x:c>
      <x:c r="G972" t="str">
        <x:v>Advanced</x:v>
      </x:c>
      <x:c r="H972" t="str"/>
      <x:c r="I972" t="str">
        <x:v>Årlig beregnet, ikke målt</x:v>
      </x:c>
      <x:c r="J972" t="str">
        <x:v>01012025_17082025_2025.csv</x:v>
      </x:c>
    </x:row>
    <x:row r="973" ht="22" customHeight="1">
      <x:c r="A973" t="str">
        <x:v>c2eb58e0ca76</x:v>
      </x:c>
      <x:c r="B973" t="n">
        <x:v>2025</x:v>
      </x:c>
      <x:c r="C973" t="str">
        <x:v>Kulturbygg</x:v>
      </x:c>
      <x:c r="D973" t="str">
        <x:v>D</x:v>
      </x:c>
      <x:c r="E973" t="n">
        <x:v>1989</x:v>
      </x:c>
      <x:c r="F973" t="n">
        <x:v>178.39</x:v>
      </x:c>
      <x:c r="G973" t="str">
        <x:v>Advanced</x:v>
      </x:c>
      <x:c r="H973" t="str"/>
      <x:c r="I973" t="str">
        <x:v>Årlig beregnet, ikke målt</x:v>
      </x:c>
      <x:c r="J973" t="str">
        <x:v>01012025_17082025_2025.csv</x:v>
      </x:c>
    </x:row>
    <x:row r="974" ht="22" customHeight="1">
      <x:c r="A974" t="str">
        <x:v>e6205798bc9d</x:v>
      </x:c>
      <x:c r="B974" t="n">
        <x:v>2025</x:v>
      </x:c>
      <x:c r="C974" t="str">
        <x:v>Kulturbygg</x:v>
      </x:c>
      <x:c r="D974" t="str">
        <x:v>D</x:v>
      </x:c>
      <x:c r="E974" t="n">
        <x:v>1996</x:v>
      </x:c>
      <x:c r="F974" t="n">
        <x:v>183.75</x:v>
      </x:c>
      <x:c r="G974" t="str">
        <x:v>Advanced</x:v>
      </x:c>
      <x:c r="H974" t="str"/>
      <x:c r="I974" t="str">
        <x:v>Årlig beregnet, ikke målt</x:v>
      </x:c>
      <x:c r="J974" t="str">
        <x:v>01012025_17082025_2025.csv</x:v>
      </x:c>
    </x:row>
    <x:row r="975" ht="22" customHeight="1">
      <x:c r="A975" t="str">
        <x:v>7502079f9e31</x:v>
      </x:c>
      <x:c r="B975" t="n">
        <x:v>2025</x:v>
      </x:c>
      <x:c r="C975" t="str">
        <x:v>Kulturbygg</x:v>
      </x:c>
      <x:c r="D975" t="str">
        <x:v>D</x:v>
      </x:c>
      <x:c r="E975" t="n">
        <x:v>1983</x:v>
      </x:c>
      <x:c r="F975" t="n">
        <x:v>191.15</x:v>
      </x:c>
      <x:c r="G975" t="str">
        <x:v>Advanced</x:v>
      </x:c>
      <x:c r="H975" t="str"/>
      <x:c r="I975" t="str">
        <x:v>Årlig beregnet, ikke målt</x:v>
      </x:c>
      <x:c r="J975" t="str">
        <x:v>01012025_17082025_2025.csv</x:v>
      </x:c>
    </x:row>
    <x:row r="976" ht="22" customHeight="1">
      <x:c r="A976" t="str">
        <x:v>09d489df84d0</x:v>
      </x:c>
      <x:c r="B976" t="n">
        <x:v>2025</x:v>
      </x:c>
      <x:c r="C976" t="str">
        <x:v>Kulturbygg</x:v>
      </x:c>
      <x:c r="D976" t="str">
        <x:v>D</x:v>
      </x:c>
      <x:c r="E976" t="n">
        <x:v>2003</x:v>
      </x:c>
      <x:c r="F976" t="n">
        <x:v>182.79</x:v>
      </x:c>
      <x:c r="G976" t="str">
        <x:v>Advanced</x:v>
      </x:c>
      <x:c r="H976" t="str"/>
      <x:c r="I976" t="str">
        <x:v>Årlig beregnet, ikke målt</x:v>
      </x:c>
      <x:c r="J976" t="str">
        <x:v>01012025_17082025_2025.csv</x:v>
      </x:c>
    </x:row>
    <x:row r="977" ht="22" customHeight="1">
      <x:c r="A977" t="str">
        <x:v>33516c37d30a</x:v>
      </x:c>
      <x:c r="B977" t="n">
        <x:v>2025</x:v>
      </x:c>
      <x:c r="C977" t="str">
        <x:v>Kulturbygg</x:v>
      </x:c>
      <x:c r="D977" t="str">
        <x:v>D</x:v>
      </x:c>
      <x:c r="E977" t="n">
        <x:v>1988</x:v>
      </x:c>
      <x:c r="F977" t="n">
        <x:v>209.41</x:v>
      </x:c>
      <x:c r="G977" t="str">
        <x:v>Advanced</x:v>
      </x:c>
      <x:c r="H977" t="str"/>
      <x:c r="I977" t="str">
        <x:v>Årlig beregnet, ikke målt</x:v>
      </x:c>
      <x:c r="J977" t="str">
        <x:v>01012025_17082025_2025.csv</x:v>
      </x:c>
    </x:row>
    <x:row r="978" ht="22" customHeight="1">
      <x:c r="A978" t="str">
        <x:v>071f5073e875</x:v>
      </x:c>
      <x:c r="B978" t="n">
        <x:v>2025</x:v>
      </x:c>
      <x:c r="C978" t="str">
        <x:v>Kulturbygg</x:v>
      </x:c>
      <x:c r="D978" t="str">
        <x:v>E</x:v>
      </x:c>
      <x:c r="E978" t="n">
        <x:v>2000</x:v>
      </x:c>
      <x:c r="F978" t="n">
        <x:v>226.63</x:v>
      </x:c>
      <x:c r="G978" t="str">
        <x:v>Advanced</x:v>
      </x:c>
      <x:c r="H978" t="str"/>
      <x:c r="I978" t="str">
        <x:v>Årlig beregnet, ikke målt</x:v>
      </x:c>
      <x:c r="J978" t="str">
        <x:v>01012025_17082025_2025.csv</x:v>
      </x:c>
    </x:row>
    <x:row r="979" ht="22" customHeight="1">
      <x:c r="A979" t="str">
        <x:v>70cea4bf5f0e</x:v>
      </x:c>
      <x:c r="B979" t="n">
        <x:v>2025</x:v>
      </x:c>
      <x:c r="C979" t="str">
        <x:v>Kulturbygg</x:v>
      </x:c>
      <x:c r="D979" t="str">
        <x:v>E</x:v>
      </x:c>
      <x:c r="E979" t="n">
        <x:v>1988</x:v>
      </x:c>
      <x:c r="F979" t="n">
        <x:v>234.98</x:v>
      </x:c>
      <x:c r="G979" t="str">
        <x:v>Advanced</x:v>
      </x:c>
      <x:c r="H979" t="str"/>
      <x:c r="I979" t="str">
        <x:v>Årlig beregnet, ikke målt</x:v>
      </x:c>
      <x:c r="J979" t="str">
        <x:v>01012025_17082025_2025.csv</x:v>
      </x:c>
    </x:row>
    <x:row r="980" ht="22" customHeight="1">
      <x:c r="A980" t="str">
        <x:v>794269dde7dc</x:v>
      </x:c>
      <x:c r="B980" t="n">
        <x:v>2025</x:v>
      </x:c>
      <x:c r="C980" t="str">
        <x:v>Kulturbygg</x:v>
      </x:c>
      <x:c r="D980" t="str">
        <x:v>E</x:v>
      </x:c>
      <x:c r="E980" t="n">
        <x:v>1983</x:v>
      </x:c>
      <x:c r="F980" t="n">
        <x:v>230.99</x:v>
      </x:c>
      <x:c r="G980" t="str">
        <x:v>Advanced</x:v>
      </x:c>
      <x:c r="H980" t="str"/>
      <x:c r="I980" t="str">
        <x:v>Årlig beregnet, ikke målt</x:v>
      </x:c>
      <x:c r="J980" t="str">
        <x:v>01012025_17082025_2025.csv</x:v>
      </x:c>
    </x:row>
    <x:row r="981" ht="22" customHeight="1">
      <x:c r="A981" t="str">
        <x:v>929468cf2187</x:v>
      </x:c>
      <x:c r="B981" t="n">
        <x:v>2025</x:v>
      </x:c>
      <x:c r="C981" t="str">
        <x:v>Kulturbygg</x:v>
      </x:c>
      <x:c r="D981" t="str">
        <x:v>E</x:v>
      </x:c>
      <x:c r="E981" t="n">
        <x:v>1918</x:v>
      </x:c>
      <x:c r="F981" t="n">
        <x:v>228.26</x:v>
      </x:c>
      <x:c r="G981" t="str">
        <x:v>Advanced</x:v>
      </x:c>
      <x:c r="H981" t="str"/>
      <x:c r="I981" t="str">
        <x:v>Årlig beregnet, ikke målt</x:v>
      </x:c>
      <x:c r="J981" t="str">
        <x:v>01012025_17082025_2025.csv</x:v>
      </x:c>
    </x:row>
    <x:row r="982" ht="22" customHeight="1">
      <x:c r="A982" t="str">
        <x:v>f398eb8d3b7a</x:v>
      </x:c>
      <x:c r="B982" t="n">
        <x:v>2025</x:v>
      </x:c>
      <x:c r="C982" t="str">
        <x:v>Kulturbygg</x:v>
      </x:c>
      <x:c r="D982" t="str">
        <x:v>E</x:v>
      </x:c>
      <x:c r="E982" t="n">
        <x:v>1974</x:v>
      </x:c>
      <x:c r="F982" t="n">
        <x:v>221.56</x:v>
      </x:c>
      <x:c r="G982" t="str">
        <x:v>Advanced</x:v>
      </x:c>
      <x:c r="H982" t="str"/>
      <x:c r="I982" t="str">
        <x:v>Årlig beregnet, ikke målt</x:v>
      </x:c>
      <x:c r="J982" t="str">
        <x:v>01012025_17082025_2025.csv</x:v>
      </x:c>
    </x:row>
    <x:row r="983" ht="22" customHeight="1">
      <x:c r="A983" t="str">
        <x:v>7fd5f1f34005</x:v>
      </x:c>
      <x:c r="B983" t="n">
        <x:v>2025</x:v>
      </x:c>
      <x:c r="C983" t="str">
        <x:v>Kulturbygg</x:v>
      </x:c>
      <x:c r="D983" t="str">
        <x:v>F</x:v>
      </x:c>
      <x:c r="E983" t="n">
        <x:v>1937</x:v>
      </x:c>
      <x:c r="F983" t="n">
        <x:v>286.41</x:v>
      </x:c>
      <x:c r="G983" t="str">
        <x:v>Advanced</x:v>
      </x:c>
      <x:c r="H983" t="str"/>
      <x:c r="I983" t="str">
        <x:v>Årlig beregnet, ikke målt</x:v>
      </x:c>
      <x:c r="J983" t="str">
        <x:v>01012025_17082025_2025.csv</x:v>
      </x:c>
    </x:row>
    <x:row r="984" ht="22" customHeight="1">
      <x:c r="A984" t="str">
        <x:v>4e2d5aca5cab</x:v>
      </x:c>
      <x:c r="B984" t="n">
        <x:v>2025</x:v>
      </x:c>
      <x:c r="C984" t="str">
        <x:v>Kulturbygg</x:v>
      </x:c>
      <x:c r="D984" t="str">
        <x:v>F</x:v>
      </x:c>
      <x:c r="E984" t="n">
        <x:v>1986</x:v>
      </x:c>
      <x:c r="F984" t="n">
        <x:v>256.1</x:v>
      </x:c>
      <x:c r="G984" t="str">
        <x:v>Advanced</x:v>
      </x:c>
      <x:c r="H984" t="str"/>
      <x:c r="I984" t="str">
        <x:v>Årlig beregnet, ikke målt</x:v>
      </x:c>
      <x:c r="J984" t="str">
        <x:v>01012025_17082025_2025.csv</x:v>
      </x:c>
    </x:row>
    <x:row r="985" ht="22" customHeight="1">
      <x:c r="A985" t="str">
        <x:v>e44304573dd1</x:v>
      </x:c>
      <x:c r="B985" t="n">
        <x:v>2025</x:v>
      </x:c>
      <x:c r="C985" t="str">
        <x:v>Kulturbygg</x:v>
      </x:c>
      <x:c r="D985" t="str">
        <x:v>F</x:v>
      </x:c>
      <x:c r="E985" t="n">
        <x:v>1935</x:v>
      </x:c>
      <x:c r="F985" t="n">
        <x:v>273.83</x:v>
      </x:c>
      <x:c r="G985" t="str">
        <x:v>Advanced</x:v>
      </x:c>
      <x:c r="H985" t="str"/>
      <x:c r="I985" t="str">
        <x:v>Årlig beregnet, ikke målt</x:v>
      </x:c>
      <x:c r="J985" t="str">
        <x:v>01012025_17082025_2025.csv</x:v>
      </x:c>
    </x:row>
    <x:row r="986" ht="22" customHeight="1">
      <x:c r="A986" t="str">
        <x:v>fc4e1102b234</x:v>
      </x:c>
      <x:c r="B986" t="n">
        <x:v>2025</x:v>
      </x:c>
      <x:c r="C986" t="str">
        <x:v>Kulturbygg</x:v>
      </x:c>
      <x:c r="D986" t="str">
        <x:v>F</x:v>
      </x:c>
      <x:c r="E986" t="n">
        <x:v>1982</x:v>
      </x:c>
      <x:c r="F986" t="n">
        <x:v>314.79</x:v>
      </x:c>
      <x:c r="G986" t="str">
        <x:v>Advanced</x:v>
      </x:c>
      <x:c r="H986" t="str"/>
      <x:c r="I986" t="str">
        <x:v>Årlig beregnet, ikke målt</x:v>
      </x:c>
      <x:c r="J986" t="str">
        <x:v>01012025_17082025_2025.csv</x:v>
      </x:c>
    </x:row>
    <x:row r="987" ht="22" customHeight="1">
      <x:c r="A987" t="str">
        <x:v>ab06000c99f6</x:v>
      </x:c>
      <x:c r="B987" t="n">
        <x:v>2025</x:v>
      </x:c>
      <x:c r="C987" t="str">
        <x:v>Kulturbygg</x:v>
      </x:c>
      <x:c r="D987" t="str">
        <x:v>F</x:v>
      </x:c>
      <x:c r="E987" t="n">
        <x:v>1899</x:v>
      </x:c>
      <x:c r="F987" t="n">
        <x:v>301.03</x:v>
      </x:c>
      <x:c r="G987" t="str">
        <x:v>Advanced</x:v>
      </x:c>
      <x:c r="H987" t="str"/>
      <x:c r="I987" t="str">
        <x:v>Årlig beregnet, ikke målt</x:v>
      </x:c>
      <x:c r="J987" t="str">
        <x:v>01012025_17082025_2025.csv</x:v>
      </x:c>
    </x:row>
    <x:row r="988" ht="22" customHeight="1">
      <x:c r="A988" t="str">
        <x:v>3e22ef9174ef</x:v>
      </x:c>
      <x:c r="B988" t="n">
        <x:v>2025</x:v>
      </x:c>
      <x:c r="C988" t="str">
        <x:v>Kulturbygg</x:v>
      </x:c>
      <x:c r="D988" t="str">
        <x:v>G</x:v>
      </x:c>
      <x:c r="E988" t="n">
        <x:v>1950</x:v>
      </x:c>
      <x:c r="F988" t="n">
        <x:v>324.56</x:v>
      </x:c>
      <x:c r="G988" t="str">
        <x:v>Advanced</x:v>
      </x:c>
      <x:c r="H988" t="str"/>
      <x:c r="I988" t="str">
        <x:v>Årlig beregnet, ikke målt</x:v>
      </x:c>
      <x:c r="J988" t="str">
        <x:v>01012025_17082025_2025.csv</x:v>
      </x:c>
    </x:row>
    <x:row r="989" ht="22" customHeight="1">
      <x:c r="A989" t="str">
        <x:v>113fd61b459d</x:v>
      </x:c>
      <x:c r="B989" t="n">
        <x:v>2025</x:v>
      </x:c>
      <x:c r="C989" t="str">
        <x:v>Kulturbygg</x:v>
      </x:c>
      <x:c r="D989" t="str">
        <x:v>G</x:v>
      </x:c>
      <x:c r="E989" t="n">
        <x:v>1892</x:v>
      </x:c>
      <x:c r="F989" t="n">
        <x:v>368.65</x:v>
      </x:c>
      <x:c r="G989" t="str">
        <x:v>Advanced</x:v>
      </x:c>
      <x:c r="H989" t="str"/>
      <x:c r="I989" t="str">
        <x:v>Årlig beregnet, ikke målt</x:v>
      </x:c>
      <x:c r="J989" t="str">
        <x:v>01012025_17082025_2025.csv</x:v>
      </x:c>
    </x:row>
    <x:row r="990" ht="22" customHeight="1">
      <x:c r="A990" t="str">
        <x:v>0325658bda91</x:v>
      </x:c>
      <x:c r="B990" t="n">
        <x:v>2025</x:v>
      </x:c>
      <x:c r="C990" t="str">
        <x:v>Kulturbygg</x:v>
      </x:c>
      <x:c r="D990" t="str">
        <x:v>G</x:v>
      </x:c>
      <x:c r="E990" t="n">
        <x:v>1984</x:v>
      </x:c>
      <x:c r="F990" t="n">
        <x:v>326.62</x:v>
      </x:c>
      <x:c r="G990" t="str">
        <x:v>Advanced</x:v>
      </x:c>
      <x:c r="H990" t="str"/>
      <x:c r="I990" t="str">
        <x:v>Årlig beregnet, ikke målt</x:v>
      </x:c>
      <x:c r="J990" t="str">
        <x:v>01012025_17082025_2025.csv</x:v>
      </x:c>
    </x:row>
    <x:row r="991" ht="22" customHeight="1">
      <x:c r="A991" t="str">
        <x:v>e419518f86a0</x:v>
      </x:c>
      <x:c r="B991" t="n">
        <x:v>2025</x:v>
      </x:c>
      <x:c r="C991" t="str">
        <x:v>Kulturbygg</x:v>
      </x:c>
      <x:c r="D991" t="str">
        <x:v>G</x:v>
      </x:c>
      <x:c r="E991" t="n">
        <x:v>1980</x:v>
      </x:c>
      <x:c r="F991" t="n">
        <x:v>334.77</x:v>
      </x:c>
      <x:c r="G991" t="str">
        <x:v>Advanced</x:v>
      </x:c>
      <x:c r="H991" t="str"/>
      <x:c r="I991" t="str">
        <x:v>Årlig beregnet, ikke målt</x:v>
      </x:c>
      <x:c r="J991" t="str">
        <x:v>01012025_17082025_2025.csv</x:v>
      </x:c>
    </x:row>
    <x:row r="992" ht="22" customHeight="1">
      <x:c r="A992" t="str">
        <x:v>eeeaa07fe8fd</x:v>
      </x:c>
      <x:c r="B992" t="n">
        <x:v>2025</x:v>
      </x:c>
      <x:c r="C992" t="str">
        <x:v>Kulturbygg</x:v>
      </x:c>
      <x:c r="D992" t="str">
        <x:v>G</x:v>
      </x:c>
      <x:c r="E992" t="n">
        <x:v>1982</x:v>
      </x:c>
      <x:c r="F992" t="n">
        <x:v>328.59</x:v>
      </x:c>
      <x:c r="G992" t="str">
        <x:v>Advanced</x:v>
      </x:c>
      <x:c r="H992" t="str"/>
      <x:c r="I992" t="str">
        <x:v>Årlig beregnet, ikke målt</x:v>
      </x:c>
      <x:c r="J992" t="str">
        <x:v>01012025_17082025_2025.csv</x:v>
      </x:c>
    </x:row>
    <x:row r="993" ht="22" customHeight="1">
      <x:c r="A993" t="str">
        <x:v>811d9e4a0eef</x:v>
      </x:c>
      <x:c r="B993" t="n">
        <x:v>2025</x:v>
      </x:c>
      <x:c r="C993" t="str">
        <x:v>Lett Industri, Verksteder</x:v>
      </x:c>
      <x:c r="D993" t="str">
        <x:v>A</x:v>
      </x:c>
      <x:c r="E993" t="n">
        <x:v>2025</x:v>
      </x:c>
      <x:c r="F993" t="n">
        <x:v>76.12</x:v>
      </x:c>
      <x:c r="G993" t="str">
        <x:v>Advanced</x:v>
      </x:c>
      <x:c r="H993" t="str"/>
      <x:c r="I993" t="str">
        <x:v>Årlig beregnet, ikke målt</x:v>
      </x:c>
      <x:c r="J993" t="str">
        <x:v>01012025_17082025_2025.csv</x:v>
      </x:c>
    </x:row>
    <x:row r="994" ht="22" customHeight="1">
      <x:c r="A994" t="str">
        <x:v>9cc041ef9a1c</x:v>
      </x:c>
      <x:c r="B994" t="n">
        <x:v>2025</x:v>
      </x:c>
      <x:c r="C994" t="str">
        <x:v>Lett Industri, Verksteder</x:v>
      </x:c>
      <x:c r="D994" t="str">
        <x:v>A</x:v>
      </x:c>
      <x:c r="E994" t="n">
        <x:v>2022</x:v>
      </x:c>
      <x:c r="F994" t="n">
        <x:v>91.97</x:v>
      </x:c>
      <x:c r="G994" t="str">
        <x:v>Advanced</x:v>
      </x:c>
      <x:c r="H994" t="str"/>
      <x:c r="I994" t="str">
        <x:v>Årlig beregnet, ikke målt</x:v>
      </x:c>
      <x:c r="J994" t="str">
        <x:v>01012025_17082025_2025.csv</x:v>
      </x:c>
    </x:row>
    <x:row r="995" ht="22" customHeight="1">
      <x:c r="A995" t="str">
        <x:v>1f82581e2459</x:v>
      </x:c>
      <x:c r="B995" t="n">
        <x:v>2025</x:v>
      </x:c>
      <x:c r="C995" t="str">
        <x:v>Lett Industri, Verksteder</x:v>
      </x:c>
      <x:c r="D995" t="str">
        <x:v>A</x:v>
      </x:c>
      <x:c r="E995" t="n">
        <x:v>2023</x:v>
      </x:c>
      <x:c r="F995" t="n">
        <x:v>104.16</x:v>
      </x:c>
      <x:c r="G995" t="str">
        <x:v>Advanced</x:v>
      </x:c>
      <x:c r="H995" t="str"/>
      <x:c r="I995" t="str">
        <x:v>Årlig beregnet, ikke målt</x:v>
      </x:c>
      <x:c r="J995" t="str">
        <x:v>01012025_17082025_2025.csv</x:v>
      </x:c>
    </x:row>
    <x:row r="996" ht="22" customHeight="1">
      <x:c r="A996" t="str">
        <x:v>209cd876737b</x:v>
      </x:c>
      <x:c r="B996" t="n">
        <x:v>2025</x:v>
      </x:c>
      <x:c r="C996" t="str">
        <x:v>Lett Industri, Verksteder</x:v>
      </x:c>
      <x:c r="D996" t="str">
        <x:v>A</x:v>
      </x:c>
      <x:c r="E996" t="n">
        <x:v>2020</x:v>
      </x:c>
      <x:c r="F996" t="n">
        <x:v>70.77</x:v>
      </x:c>
      <x:c r="G996" t="str">
        <x:v>Advanced</x:v>
      </x:c>
      <x:c r="H996" t="str"/>
      <x:c r="I996" t="str">
        <x:v>Årlig beregnet, ikke målt</x:v>
      </x:c>
      <x:c r="J996" t="str">
        <x:v>01012025_17082025_2025.csv</x:v>
      </x:c>
    </x:row>
    <x:row r="997" ht="22" customHeight="1">
      <x:c r="A997" t="str">
        <x:v>db725b025a5a</x:v>
      </x:c>
      <x:c r="B997" t="n">
        <x:v>2025</x:v>
      </x:c>
      <x:c r="C997" t="str">
        <x:v>Lett Industri, Verksteder</x:v>
      </x:c>
      <x:c r="D997" t="str">
        <x:v>A</x:v>
      </x:c>
      <x:c r="E997" t="n">
        <x:v>2015</x:v>
      </x:c>
      <x:c r="F997" t="n">
        <x:v>81.8</x:v>
      </x:c>
      <x:c r="G997" t="str">
        <x:v>Advanced</x:v>
      </x:c>
      <x:c r="H997" t="str"/>
      <x:c r="I997" t="str">
        <x:v>Årlig beregnet, ikke målt</x:v>
      </x:c>
      <x:c r="J997" t="str">
        <x:v>01012025_17082025_2025.csv</x:v>
      </x:c>
    </x:row>
    <x:row r="998" ht="22" customHeight="1">
      <x:c r="A998" t="str">
        <x:v>310d34e4f61c</x:v>
      </x:c>
      <x:c r="B998" t="n">
        <x:v>2025</x:v>
      </x:c>
      <x:c r="C998" t="str">
        <x:v>Lett Industri, Verksteder</x:v>
      </x:c>
      <x:c r="D998" t="str">
        <x:v>B</x:v>
      </x:c>
      <x:c r="E998" t="n">
        <x:v>2025</x:v>
      </x:c>
      <x:c r="F998" t="n">
        <x:v>142.25</x:v>
      </x:c>
      <x:c r="G998" t="str">
        <x:v>Advanced</x:v>
      </x:c>
      <x:c r="H998" t="str"/>
      <x:c r="I998" t="str">
        <x:v>Årlig beregnet, ikke målt</x:v>
      </x:c>
      <x:c r="J998" t="str">
        <x:v>01012025_17082025_2025.csv</x:v>
      </x:c>
    </x:row>
    <x:row r="999" ht="22" customHeight="1">
      <x:c r="A999" t="str">
        <x:v>ab2bb391ed72</x:v>
      </x:c>
      <x:c r="B999" t="n">
        <x:v>2025</x:v>
      </x:c>
      <x:c r="C999" t="str">
        <x:v>Lett Industri, Verksteder</x:v>
      </x:c>
      <x:c r="D999" t="str">
        <x:v>B</x:v>
      </x:c>
      <x:c r="E999" t="n">
        <x:v>1988</x:v>
      </x:c>
      <x:c r="F999" t="n">
        <x:v>119.35</x:v>
      </x:c>
      <x:c r="G999" t="str">
        <x:v>Advanced</x:v>
      </x:c>
      <x:c r="H999" t="str"/>
      <x:c r="I999" t="str">
        <x:v>Årlig beregnet, ikke målt</x:v>
      </x:c>
      <x:c r="J999" t="str">
        <x:v>01012025_17082025_2025.csv</x:v>
      </x:c>
    </x:row>
    <x:row r="1000" ht="22" customHeight="1">
      <x:c r="A1000" t="str">
        <x:v>2cd1eff91063</x:v>
      </x:c>
      <x:c r="B1000" t="n">
        <x:v>2025</x:v>
      </x:c>
      <x:c r="C1000" t="str">
        <x:v>Lett Industri, Verksteder</x:v>
      </x:c>
      <x:c r="D1000" t="str">
        <x:v>B</x:v>
      </x:c>
      <x:c r="E1000" t="n">
        <x:v>2000</x:v>
      </x:c>
      <x:c r="F1000" t="n">
        <x:v>140.35</x:v>
      </x:c>
      <x:c r="G1000" t="str">
        <x:v>Advanced</x:v>
      </x:c>
      <x:c r="H1000" t="str"/>
      <x:c r="I1000" t="str">
        <x:v>Årlig beregnet, ikke målt</x:v>
      </x:c>
      <x:c r="J1000" t="str">
        <x:v>01012025_17082025_2025.csv</x:v>
      </x:c>
    </x:row>
    <x:row r="1001" ht="22" customHeight="1">
      <x:c r="A1001" t="str">
        <x:v>a81d22202f9a</x:v>
      </x:c>
      <x:c r="B1001" t="n">
        <x:v>2025</x:v>
      </x:c>
      <x:c r="C1001" t="str">
        <x:v>Lett Industri, Verksteder</x:v>
      </x:c>
      <x:c r="D1001" t="str">
        <x:v>B</x:v>
      </x:c>
      <x:c r="E1001" t="n">
        <x:v>2009</x:v>
      </x:c>
      <x:c r="F1001" t="n">
        <x:v>95.97</x:v>
      </x:c>
      <x:c r="G1001" t="str">
        <x:v>Advanced</x:v>
      </x:c>
      <x:c r="H1001" t="str"/>
      <x:c r="I1001" t="str">
        <x:v>Årlig beregnet, ikke målt</x:v>
      </x:c>
      <x:c r="J1001" t="str">
        <x:v>01012025_17082025_2025.csv</x:v>
      </x:c>
    </x:row>
    <x:row r="1002" ht="22" customHeight="1">
      <x:c r="A1002" t="str">
        <x:v>9b999d3a727a</x:v>
      </x:c>
      <x:c r="B1002" t="n">
        <x:v>2025</x:v>
      </x:c>
      <x:c r="C1002" t="str">
        <x:v>Lett Industri, Verksteder</x:v>
      </x:c>
      <x:c r="D1002" t="str">
        <x:v>B</x:v>
      </x:c>
      <x:c r="E1002" t="n">
        <x:v>2025</x:v>
      </x:c>
      <x:c r="F1002" t="n">
        <x:v>110.99</x:v>
      </x:c>
      <x:c r="G1002" t="str">
        <x:v>Advanced</x:v>
      </x:c>
      <x:c r="H1002" t="str"/>
      <x:c r="I1002" t="str">
        <x:v>Årlig beregnet, ikke målt</x:v>
      </x:c>
      <x:c r="J1002" t="str">
        <x:v>01012025_17082025_2025.csv</x:v>
      </x:c>
    </x:row>
    <x:row r="1003" ht="22" customHeight="1">
      <x:c r="A1003" t="str">
        <x:v>8444bb31253f</x:v>
      </x:c>
      <x:c r="B1003" t="n">
        <x:v>2025</x:v>
      </x:c>
      <x:c r="C1003" t="str">
        <x:v>Lett Industri, Verksteder</x:v>
      </x:c>
      <x:c r="D1003" t="str">
        <x:v>C</x:v>
      </x:c>
      <x:c r="E1003" t="n">
        <x:v>2017</x:v>
      </x:c>
      <x:c r="F1003" t="n">
        <x:v>177.88</x:v>
      </x:c>
      <x:c r="G1003" t="str">
        <x:v>Advanced</x:v>
      </x:c>
      <x:c r="H1003" t="str"/>
      <x:c r="I1003" t="str">
        <x:v>Årlig beregnet, ikke målt</x:v>
      </x:c>
      <x:c r="J1003" t="str">
        <x:v>01012025_17082025_2025.csv</x:v>
      </x:c>
    </x:row>
    <x:row r="1004" ht="22" customHeight="1">
      <x:c r="A1004" t="str">
        <x:v>3899f27aaae1</x:v>
      </x:c>
      <x:c r="B1004" t="n">
        <x:v>2025</x:v>
      </x:c>
      <x:c r="C1004" t="str">
        <x:v>Lett Industri, Verksteder</x:v>
      </x:c>
      <x:c r="D1004" t="str">
        <x:v>C</x:v>
      </x:c>
      <x:c r="E1004" t="n">
        <x:v>1967</x:v>
      </x:c>
      <x:c r="F1004" t="n">
        <x:v>167.48</x:v>
      </x:c>
      <x:c r="G1004" t="str">
        <x:v>Advanced</x:v>
      </x:c>
      <x:c r="H1004" t="str"/>
      <x:c r="I1004" t="str">
        <x:v>Årlig beregnet, ikke målt</x:v>
      </x:c>
      <x:c r="J1004" t="str">
        <x:v>01012025_17082025_2025.csv</x:v>
      </x:c>
    </x:row>
    <x:row r="1005" ht="22" customHeight="1">
      <x:c r="A1005" t="str">
        <x:v>8c90fceea6de</x:v>
      </x:c>
      <x:c r="B1005" t="n">
        <x:v>2025</x:v>
      </x:c>
      <x:c r="C1005" t="str">
        <x:v>Lett Industri, Verksteder</x:v>
      </x:c>
      <x:c r="D1005" t="str">
        <x:v>C</x:v>
      </x:c>
      <x:c r="E1005" t="n">
        <x:v>2007</x:v>
      </x:c>
      <x:c r="F1005" t="n">
        <x:v>180.96</x:v>
      </x:c>
      <x:c r="G1005" t="str">
        <x:v>Advanced</x:v>
      </x:c>
      <x:c r="H1005" t="str"/>
      <x:c r="I1005" t="str">
        <x:v>Årlig beregnet, ikke målt</x:v>
      </x:c>
      <x:c r="J1005" t="str">
        <x:v>01012025_17082025_2025.csv</x:v>
      </x:c>
    </x:row>
    <x:row r="1006" ht="22" customHeight="1">
      <x:c r="A1006" t="str">
        <x:v>2ebf575b4fb6</x:v>
      </x:c>
      <x:c r="B1006" t="n">
        <x:v>2025</x:v>
      </x:c>
      <x:c r="C1006" t="str">
        <x:v>Lett Industri, Verksteder</x:v>
      </x:c>
      <x:c r="D1006" t="str">
        <x:v>C</x:v>
      </x:c>
      <x:c r="E1006" t="n">
        <x:v>2012</x:v>
      </x:c>
      <x:c r="F1006" t="n">
        <x:v>167.67</x:v>
      </x:c>
      <x:c r="G1006" t="str">
        <x:v>Advanced</x:v>
      </x:c>
      <x:c r="H1006" t="str"/>
      <x:c r="I1006" t="str">
        <x:v>Årlig beregnet, ikke målt</x:v>
      </x:c>
      <x:c r="J1006" t="str">
        <x:v>01012025_17082025_2025.csv</x:v>
      </x:c>
    </x:row>
    <x:row r="1007" ht="22" customHeight="1">
      <x:c r="A1007" t="str">
        <x:v>5af6961c5d32</x:v>
      </x:c>
      <x:c r="B1007" t="n">
        <x:v>2025</x:v>
      </x:c>
      <x:c r="C1007" t="str">
        <x:v>Lett Industri, Verksteder</x:v>
      </x:c>
      <x:c r="D1007" t="str">
        <x:v>C</x:v>
      </x:c>
      <x:c r="E1007" t="n">
        <x:v>1990</x:v>
      </x:c>
      <x:c r="F1007" t="n">
        <x:v>184.02</x:v>
      </x:c>
      <x:c r="G1007" t="str">
        <x:v>Advanced</x:v>
      </x:c>
      <x:c r="H1007" t="str"/>
      <x:c r="I1007" t="str">
        <x:v>Årlig beregnet, ikke målt</x:v>
      </x:c>
      <x:c r="J1007" t="str">
        <x:v>01012025_17082025_2025.csv</x:v>
      </x:c>
    </x:row>
    <x:row r="1008" ht="22" customHeight="1">
      <x:c r="A1008" t="str">
        <x:v>60a20999a2f0</x:v>
      </x:c>
      <x:c r="B1008" t="n">
        <x:v>2025</x:v>
      </x:c>
      <x:c r="C1008" t="str">
        <x:v>Lett Industri, Verksteder</x:v>
      </x:c>
      <x:c r="D1008" t="str">
        <x:v>D</x:v>
      </x:c>
      <x:c r="E1008" t="n">
        <x:v>2014</x:v>
      </x:c>
      <x:c r="F1008" t="n">
        <x:v>193.52</x:v>
      </x:c>
      <x:c r="G1008" t="str">
        <x:v>Advanced</x:v>
      </x:c>
      <x:c r="H1008" t="str"/>
      <x:c r="I1008" t="str">
        <x:v>Årlig beregnet, ikke målt</x:v>
      </x:c>
      <x:c r="J1008" t="str">
        <x:v>01012025_17082025_2025.csv</x:v>
      </x:c>
    </x:row>
    <x:row r="1009" ht="22" customHeight="1">
      <x:c r="A1009" t="str">
        <x:v>3db8bb18ee6d</x:v>
      </x:c>
      <x:c r="B1009" t="n">
        <x:v>2025</x:v>
      </x:c>
      <x:c r="C1009" t="str">
        <x:v>Lett Industri, Verksteder</x:v>
      </x:c>
      <x:c r="D1009" t="str">
        <x:v>D</x:v>
      </x:c>
      <x:c r="E1009" t="n">
        <x:v>2017</x:v>
      </x:c>
      <x:c r="F1009" t="n">
        <x:v>202.55</x:v>
      </x:c>
      <x:c r="G1009" t="str">
        <x:v>Advanced</x:v>
      </x:c>
      <x:c r="H1009" t="str"/>
      <x:c r="I1009" t="str">
        <x:v>Årlig beregnet, ikke målt</x:v>
      </x:c>
      <x:c r="J1009" t="str">
        <x:v>01012025_17082025_2025.csv</x:v>
      </x:c>
    </x:row>
    <x:row r="1010" ht="22" customHeight="1">
      <x:c r="A1010" t="str">
        <x:v>8ace2667f4ef</x:v>
      </x:c>
      <x:c r="B1010" t="n">
        <x:v>2025</x:v>
      </x:c>
      <x:c r="C1010" t="str">
        <x:v>Lett Industri, Verksteder</x:v>
      </x:c>
      <x:c r="D1010" t="str">
        <x:v>D</x:v>
      </x:c>
      <x:c r="E1010" t="n">
        <x:v>1951</x:v>
      </x:c>
      <x:c r="F1010" t="n">
        <x:v>206.34</x:v>
      </x:c>
      <x:c r="G1010" t="str">
        <x:v>Advanced</x:v>
      </x:c>
      <x:c r="H1010" t="str"/>
      <x:c r="I1010" t="str">
        <x:v>Årlig beregnet, ikke målt</x:v>
      </x:c>
      <x:c r="J1010" t="str">
        <x:v>01012025_17082025_2025.csv</x:v>
      </x:c>
    </x:row>
    <x:row r="1011" ht="22" customHeight="1">
      <x:c r="A1011" t="str">
        <x:v>54828dd6c0ed</x:v>
      </x:c>
      <x:c r="B1011" t="n">
        <x:v>2025</x:v>
      </x:c>
      <x:c r="C1011" t="str">
        <x:v>Lett Industri, Verksteder</x:v>
      </x:c>
      <x:c r="D1011" t="str">
        <x:v>D</x:v>
      </x:c>
      <x:c r="E1011" t="n">
        <x:v>2001</x:v>
      </x:c>
      <x:c r="F1011" t="n">
        <x:v>229.84</x:v>
      </x:c>
      <x:c r="G1011" t="str">
        <x:v>Advanced</x:v>
      </x:c>
      <x:c r="H1011" t="str"/>
      <x:c r="I1011" t="str">
        <x:v>Årlig beregnet, ikke målt</x:v>
      </x:c>
      <x:c r="J1011" t="str">
        <x:v>01012025_17082025_2025.csv</x:v>
      </x:c>
    </x:row>
    <x:row r="1012" ht="22" customHeight="1">
      <x:c r="A1012" t="str">
        <x:v>a75a2999a0ad</x:v>
      </x:c>
      <x:c r="B1012" t="n">
        <x:v>2025</x:v>
      </x:c>
      <x:c r="C1012" t="str">
        <x:v>Lett Industri, Verksteder</x:v>
      </x:c>
      <x:c r="D1012" t="str">
        <x:v>D</x:v>
      </x:c>
      <x:c r="E1012" t="n">
        <x:v>1978</x:v>
      </x:c>
      <x:c r="F1012" t="n">
        <x:v>212.96</x:v>
      </x:c>
      <x:c r="G1012" t="str">
        <x:v>Advanced</x:v>
      </x:c>
      <x:c r="H1012" t="str"/>
      <x:c r="I1012" t="str">
        <x:v>Årlig beregnet, ikke målt</x:v>
      </x:c>
      <x:c r="J1012" t="str">
        <x:v>01012025_17082025_2025.csv</x:v>
      </x:c>
    </x:row>
    <x:row r="1013" ht="22" customHeight="1">
      <x:c r="A1013" t="str">
        <x:v>3963949672cb</x:v>
      </x:c>
      <x:c r="B1013" t="n">
        <x:v>2025</x:v>
      </x:c>
      <x:c r="C1013" t="str">
        <x:v>Lett Industri, Verksteder</x:v>
      </x:c>
      <x:c r="D1013" t="str">
        <x:v>E</x:v>
      </x:c>
      <x:c r="E1013" t="n">
        <x:v>1990</x:v>
      </x:c>
      <x:c r="F1013" t="n">
        <x:v>264.1</x:v>
      </x:c>
      <x:c r="G1013" t="str">
        <x:v>Advanced</x:v>
      </x:c>
      <x:c r="H1013" t="str"/>
      <x:c r="I1013" t="str">
        <x:v>Årlig beregnet, ikke målt</x:v>
      </x:c>
      <x:c r="J1013" t="str">
        <x:v>01012025_17082025_2025.csv</x:v>
      </x:c>
    </x:row>
    <x:row r="1014" ht="22" customHeight="1">
      <x:c r="A1014" t="str">
        <x:v>a7127bf91e40</x:v>
      </x:c>
      <x:c r="B1014" t="n">
        <x:v>2025</x:v>
      </x:c>
      <x:c r="C1014" t="str">
        <x:v>Lett Industri, Verksteder</x:v>
      </x:c>
      <x:c r="D1014" t="str">
        <x:v>E</x:v>
      </x:c>
      <x:c r="E1014" t="n">
        <x:v>2012</x:v>
      </x:c>
      <x:c r="F1014" t="n">
        <x:v>275.26</x:v>
      </x:c>
      <x:c r="G1014" t="str">
        <x:v>Advanced</x:v>
      </x:c>
      <x:c r="H1014" t="str"/>
      <x:c r="I1014" t="str">
        <x:v>Årlig beregnet, ikke målt</x:v>
      </x:c>
      <x:c r="J1014" t="str">
        <x:v>01012025_17082025_2025.csv</x:v>
      </x:c>
    </x:row>
    <x:row r="1015" ht="22" customHeight="1">
      <x:c r="A1015" t="str">
        <x:v>d547f6424b36</x:v>
      </x:c>
      <x:c r="B1015" t="n">
        <x:v>2025</x:v>
      </x:c>
      <x:c r="C1015" t="str">
        <x:v>Lett Industri, Verksteder</x:v>
      </x:c>
      <x:c r="D1015" t="str">
        <x:v>E</x:v>
      </x:c>
      <x:c r="E1015" t="n">
        <x:v>1978</x:v>
      </x:c>
      <x:c r="F1015" t="n">
        <x:v>312.91</x:v>
      </x:c>
      <x:c r="G1015" t="str">
        <x:v>Advanced</x:v>
      </x:c>
      <x:c r="H1015" t="str"/>
      <x:c r="I1015" t="str">
        <x:v>Årlig beregnet, ikke målt</x:v>
      </x:c>
      <x:c r="J1015" t="str">
        <x:v>01012025_17082025_2025.csv</x:v>
      </x:c>
    </x:row>
    <x:row r="1016" ht="22" customHeight="1">
      <x:c r="A1016" t="str">
        <x:v>196430eb832e</x:v>
      </x:c>
      <x:c r="B1016" t="n">
        <x:v>2025</x:v>
      </x:c>
      <x:c r="C1016" t="str">
        <x:v>Lett Industri, Verksteder</x:v>
      </x:c>
      <x:c r="D1016" t="str">
        <x:v>E</x:v>
      </x:c>
      <x:c r="E1016" t="n">
        <x:v>2000</x:v>
      </x:c>
      <x:c r="F1016" t="n">
        <x:v>265.12</x:v>
      </x:c>
      <x:c r="G1016" t="str">
        <x:v>Advanced</x:v>
      </x:c>
      <x:c r="H1016" t="str"/>
      <x:c r="I1016" t="str">
        <x:v>Årlig beregnet, ikke målt</x:v>
      </x:c>
      <x:c r="J1016" t="str">
        <x:v>01012025_17082025_2025.csv</x:v>
      </x:c>
    </x:row>
    <x:row r="1017" ht="22" customHeight="1">
      <x:c r="A1017" t="str">
        <x:v>9acc20379a77</x:v>
      </x:c>
      <x:c r="B1017" t="n">
        <x:v>2025</x:v>
      </x:c>
      <x:c r="C1017" t="str">
        <x:v>Lett Industri, Verksteder</x:v>
      </x:c>
      <x:c r="D1017" t="str">
        <x:v>E</x:v>
      </x:c>
      <x:c r="E1017" t="n">
        <x:v>1980</x:v>
      </x:c>
      <x:c r="F1017" t="n">
        <x:v>252.49</x:v>
      </x:c>
      <x:c r="G1017" t="str">
        <x:v>Advanced</x:v>
      </x:c>
      <x:c r="H1017" t="str"/>
      <x:c r="I1017" t="str">
        <x:v>Årlig beregnet, ikke målt</x:v>
      </x:c>
      <x:c r="J1017" t="str">
        <x:v>01012025_17082025_2025.csv</x:v>
      </x:c>
    </x:row>
    <x:row r="1018" ht="22" customHeight="1">
      <x:c r="A1018" t="str">
        <x:v>bcd699a6a087</x:v>
      </x:c>
      <x:c r="B1018" t="n">
        <x:v>2025</x:v>
      </x:c>
      <x:c r="C1018" t="str">
        <x:v>Lett Industri, Verksteder</x:v>
      </x:c>
      <x:c r="D1018" t="str">
        <x:v>F</x:v>
      </x:c>
      <x:c r="E1018" t="n">
        <x:v>1970</x:v>
      </x:c>
      <x:c r="F1018" t="n">
        <x:v>395.64</x:v>
      </x:c>
      <x:c r="G1018" t="str">
        <x:v>Advanced</x:v>
      </x:c>
      <x:c r="H1018" t="str"/>
      <x:c r="I1018" t="str">
        <x:v>Årlig beregnet, ikke målt</x:v>
      </x:c>
      <x:c r="J1018" t="str">
        <x:v>01012025_17082025_2025.csv</x:v>
      </x:c>
    </x:row>
    <x:row r="1019" ht="22" customHeight="1">
      <x:c r="A1019" t="str">
        <x:v>e5c00b9aad1d</x:v>
      </x:c>
      <x:c r="B1019" t="n">
        <x:v>2025</x:v>
      </x:c>
      <x:c r="C1019" t="str">
        <x:v>Lett Industri, Verksteder</x:v>
      </x:c>
      <x:c r="D1019" t="str">
        <x:v>F</x:v>
      </x:c>
      <x:c r="E1019" t="n">
        <x:v>1914</x:v>
      </x:c>
      <x:c r="F1019" t="n">
        <x:v>318</x:v>
      </x:c>
      <x:c r="G1019" t="str">
        <x:v>Advanced</x:v>
      </x:c>
      <x:c r="H1019" t="str"/>
      <x:c r="I1019" t="str">
        <x:v>Årlig beregnet, ikke målt</x:v>
      </x:c>
      <x:c r="J1019" t="str">
        <x:v>01012025_17082025_2025.csv</x:v>
      </x:c>
    </x:row>
    <x:row r="1020" ht="22" customHeight="1">
      <x:c r="A1020" t="str">
        <x:v>1945eb79d8a7</x:v>
      </x:c>
      <x:c r="B1020" t="n">
        <x:v>2025</x:v>
      </x:c>
      <x:c r="C1020" t="str">
        <x:v>Lett Industri, Verksteder</x:v>
      </x:c>
      <x:c r="D1020" t="str">
        <x:v>F</x:v>
      </x:c>
      <x:c r="E1020" t="n">
        <x:v>1969</x:v>
      </x:c>
      <x:c r="F1020" t="n">
        <x:v>372.88</x:v>
      </x:c>
      <x:c r="G1020" t="str">
        <x:v>Advanced</x:v>
      </x:c>
      <x:c r="H1020" t="str"/>
      <x:c r="I1020" t="str">
        <x:v>Årlig beregnet, ikke målt</x:v>
      </x:c>
      <x:c r="J1020" t="str">
        <x:v>01012025_17082025_2025.csv</x:v>
      </x:c>
    </x:row>
    <x:row r="1021" ht="22" customHeight="1">
      <x:c r="A1021" t="str">
        <x:v>5d99b04bd885</x:v>
      </x:c>
      <x:c r="B1021" t="n">
        <x:v>2025</x:v>
      </x:c>
      <x:c r="C1021" t="str">
        <x:v>Lett Industri, Verksteder</x:v>
      </x:c>
      <x:c r="D1021" t="str">
        <x:v>F</x:v>
      </x:c>
      <x:c r="E1021" t="n">
        <x:v>1964</x:v>
      </x:c>
      <x:c r="F1021" t="n">
        <x:v>404.49</x:v>
      </x:c>
      <x:c r="G1021" t="str">
        <x:v>Advanced</x:v>
      </x:c>
      <x:c r="H1021" t="str"/>
      <x:c r="I1021" t="str">
        <x:v>Årlig beregnet, ikke målt</x:v>
      </x:c>
      <x:c r="J1021" t="str">
        <x:v>01012025_17082025_2025.csv</x:v>
      </x:c>
    </x:row>
    <x:row r="1022" ht="22" customHeight="1">
      <x:c r="A1022" t="str">
        <x:v>bf7c23320f78</x:v>
      </x:c>
      <x:c r="B1022" t="n">
        <x:v>2025</x:v>
      </x:c>
      <x:c r="C1022" t="str">
        <x:v>Lett Industri, Verksteder</x:v>
      </x:c>
      <x:c r="D1022" t="str">
        <x:v>F</x:v>
      </x:c>
      <x:c r="E1022" t="n">
        <x:v>1987</x:v>
      </x:c>
      <x:c r="F1022" t="n">
        <x:v>368.23</x:v>
      </x:c>
      <x:c r="G1022" t="str">
        <x:v>Advanced</x:v>
      </x:c>
      <x:c r="H1022" t="str"/>
      <x:c r="I1022" t="str">
        <x:v>Årlig beregnet, ikke målt</x:v>
      </x:c>
      <x:c r="J1022" t="str">
        <x:v>01012025_17082025_2025.csv</x:v>
      </x:c>
    </x:row>
    <x:row r="1023" ht="22" customHeight="1">
      <x:c r="A1023" t="str">
        <x:v>278dd4ecb515</x:v>
      </x:c>
      <x:c r="B1023" t="n">
        <x:v>2025</x:v>
      </x:c>
      <x:c r="C1023" t="str">
        <x:v>Lett Industri, Verksteder</x:v>
      </x:c>
      <x:c r="D1023" t="str">
        <x:v>G</x:v>
      </x:c>
      <x:c r="E1023" t="n">
        <x:v>1986</x:v>
      </x:c>
      <x:c r="F1023" t="n">
        <x:v>441.09</x:v>
      </x:c>
      <x:c r="G1023" t="str">
        <x:v>Advanced</x:v>
      </x:c>
      <x:c r="H1023" t="str"/>
      <x:c r="I1023" t="str">
        <x:v>Årlig beregnet, ikke målt</x:v>
      </x:c>
      <x:c r="J1023" t="str">
        <x:v>01012025_17082025_2025.csv</x:v>
      </x:c>
    </x:row>
    <x:row r="1024" ht="22" customHeight="1">
      <x:c r="A1024" t="str">
        <x:v>fe56d1032faa</x:v>
      </x:c>
      <x:c r="B1024" t="n">
        <x:v>2025</x:v>
      </x:c>
      <x:c r="C1024" t="str">
        <x:v>Lett Industri, Verksteder</x:v>
      </x:c>
      <x:c r="D1024" t="str">
        <x:v>G</x:v>
      </x:c>
      <x:c r="E1024" t="n">
        <x:v>1992</x:v>
      </x:c>
      <x:c r="F1024" t="n">
        <x:v>412.58</x:v>
      </x:c>
      <x:c r="G1024" t="str">
        <x:v>Advanced</x:v>
      </x:c>
      <x:c r="H1024" t="str"/>
      <x:c r="I1024" t="str">
        <x:v>Årlig beregnet, ikke målt</x:v>
      </x:c>
      <x:c r="J1024" t="str">
        <x:v>01012025_17082025_2025.csv</x:v>
      </x:c>
    </x:row>
    <x:row r="1025" ht="22" customHeight="1">
      <x:c r="A1025" t="str">
        <x:v>37adc2c79c2b</x:v>
      </x:c>
      <x:c r="B1025" t="n">
        <x:v>2025</x:v>
      </x:c>
      <x:c r="C1025" t="str">
        <x:v>Lett Industri, Verksteder</x:v>
      </x:c>
      <x:c r="D1025" t="str">
        <x:v>G</x:v>
      </x:c>
      <x:c r="E1025" t="n">
        <x:v>1986</x:v>
      </x:c>
      <x:c r="F1025" t="n">
        <x:v>439.17</x:v>
      </x:c>
      <x:c r="G1025" t="str">
        <x:v>Advanced</x:v>
      </x:c>
      <x:c r="H1025" t="str"/>
      <x:c r="I1025" t="str">
        <x:v>Årlig beregnet, ikke målt</x:v>
      </x:c>
      <x:c r="J1025" t="str">
        <x:v>01012025_17082025_2025.csv</x:v>
      </x:c>
    </x:row>
    <x:row r="1026" ht="22" customHeight="1">
      <x:c r="A1026" t="str">
        <x:v>8e75596456aa</x:v>
      </x:c>
      <x:c r="B1026" t="n">
        <x:v>2025</x:v>
      </x:c>
      <x:c r="C1026" t="str">
        <x:v>Lett Industri, Verksteder</x:v>
      </x:c>
      <x:c r="D1026" t="str">
        <x:v>G</x:v>
      </x:c>
      <x:c r="E1026" t="n">
        <x:v>1942</x:v>
      </x:c>
      <x:c r="F1026" t="n">
        <x:v>582.33</x:v>
      </x:c>
      <x:c r="G1026" t="str">
        <x:v>Advanced</x:v>
      </x:c>
      <x:c r="H1026" t="str"/>
      <x:c r="I1026" t="str">
        <x:v>Årlig beregnet, ikke målt</x:v>
      </x:c>
      <x:c r="J1026" t="str">
        <x:v>01012025_17082025_2025.csv</x:v>
      </x:c>
    </x:row>
    <x:row r="1027" ht="22" customHeight="1">
      <x:c r="A1027" t="str">
        <x:v>0cf8f970ea9a</x:v>
      </x:c>
      <x:c r="B1027" t="n">
        <x:v>2025</x:v>
      </x:c>
      <x:c r="C1027" t="str">
        <x:v>Lett Industri, Verksteder</x:v>
      </x:c>
      <x:c r="D1027" t="str">
        <x:v>G</x:v>
      </x:c>
      <x:c r="E1027" t="n">
        <x:v>1974</x:v>
      </x:c>
      <x:c r="F1027" t="n">
        <x:v>485.53</x:v>
      </x:c>
      <x:c r="G1027" t="str">
        <x:v>Advanced</x:v>
      </x:c>
      <x:c r="H1027" t="str"/>
      <x:c r="I1027" t="str">
        <x:v>Årlig beregnet, ikke målt</x:v>
      </x:c>
      <x:c r="J1027" t="str">
        <x:v>01012025_17082025_2025.csv</x:v>
      </x:c>
    </x:row>
    <x:row r="1028" ht="22" customHeight="1">
      <x:c r="A1028" t="str">
        <x:v>f06463209b78</x:v>
      </x:c>
      <x:c r="B1028" t="n">
        <x:v>2025</x:v>
      </x:c>
      <x:c r="C1028" t="str">
        <x:v>Skolebygg</x:v>
      </x:c>
      <x:c r="D1028" t="str">
        <x:v>A</x:v>
      </x:c>
      <x:c r="E1028" t="n">
        <x:v>2025</x:v>
      </x:c>
      <x:c r="F1028" t="n">
        <x:v>27.19</x:v>
      </x:c>
      <x:c r="G1028" t="str">
        <x:v>Advanced</x:v>
      </x:c>
      <x:c r="H1028" t="str"/>
      <x:c r="I1028" t="str">
        <x:v>Årlig beregnet, ikke målt</x:v>
      </x:c>
      <x:c r="J1028" t="str">
        <x:v>01012025_17082025_2025.csv</x:v>
      </x:c>
    </x:row>
    <x:row r="1029" ht="22" customHeight="1">
      <x:c r="A1029" t="str">
        <x:v>0f9da37291d3</x:v>
      </x:c>
      <x:c r="B1029" t="n">
        <x:v>2025</x:v>
      </x:c>
      <x:c r="C1029" t="str">
        <x:v>Skolebygg</x:v>
      </x:c>
      <x:c r="D1029" t="str">
        <x:v>A</x:v>
      </x:c>
      <x:c r="E1029" t="n">
        <x:v>2025</x:v>
      </x:c>
      <x:c r="F1029" t="n">
        <x:v>74.89</x:v>
      </x:c>
      <x:c r="G1029" t="str">
        <x:v>Advanced</x:v>
      </x:c>
      <x:c r="H1029" t="str"/>
      <x:c r="I1029" t="str">
        <x:v>Årlig beregnet, ikke målt</x:v>
      </x:c>
      <x:c r="J1029" t="str">
        <x:v>01012025_17082025_2025.csv</x:v>
      </x:c>
    </x:row>
    <x:row r="1030" ht="22" customHeight="1">
      <x:c r="A1030" t="str">
        <x:v>515f90404ed9</x:v>
      </x:c>
      <x:c r="B1030" t="n">
        <x:v>2025</x:v>
      </x:c>
      <x:c r="C1030" t="str">
        <x:v>Skolebygg</x:v>
      </x:c>
      <x:c r="D1030" t="str">
        <x:v>A</x:v>
      </x:c>
      <x:c r="E1030" t="n">
        <x:v>2025</x:v>
      </x:c>
      <x:c r="F1030" t="n">
        <x:v>55.53</x:v>
      </x:c>
      <x:c r="G1030" t="str">
        <x:v>Advanced</x:v>
      </x:c>
      <x:c r="H1030" t="str"/>
      <x:c r="I1030" t="str">
        <x:v>Årlig beregnet, ikke målt</x:v>
      </x:c>
      <x:c r="J1030" t="str">
        <x:v>01012025_17082025_2025.csv</x:v>
      </x:c>
    </x:row>
    <x:row r="1031" ht="22" customHeight="1">
      <x:c r="A1031" t="str">
        <x:v>6ed7a780980e</x:v>
      </x:c>
      <x:c r="B1031" t="n">
        <x:v>2025</x:v>
      </x:c>
      <x:c r="C1031" t="str">
        <x:v>Skolebygg</x:v>
      </x:c>
      <x:c r="D1031" t="str">
        <x:v>A</x:v>
      </x:c>
      <x:c r="E1031" t="n">
        <x:v>2025</x:v>
      </x:c>
      <x:c r="F1031" t="n">
        <x:v>62.53</x:v>
      </x:c>
      <x:c r="G1031" t="str">
        <x:v>Advanced</x:v>
      </x:c>
      <x:c r="H1031" t="str"/>
      <x:c r="I1031" t="str">
        <x:v>Årlig beregnet, ikke målt</x:v>
      </x:c>
      <x:c r="J1031" t="str">
        <x:v>01012025_17082025_2025.csv</x:v>
      </x:c>
    </x:row>
    <x:row r="1032" ht="22" customHeight="1">
      <x:c r="A1032" t="str">
        <x:v>469c4a5c342f</x:v>
      </x:c>
      <x:c r="B1032" t="n">
        <x:v>2025</x:v>
      </x:c>
      <x:c r="C1032" t="str">
        <x:v>Skolebygg</x:v>
      </x:c>
      <x:c r="D1032" t="str">
        <x:v>A</x:v>
      </x:c>
      <x:c r="E1032" t="n">
        <x:v>2025</x:v>
      </x:c>
      <x:c r="F1032" t="n">
        <x:v>73.37</x:v>
      </x:c>
      <x:c r="G1032" t="str">
        <x:v>Advanced</x:v>
      </x:c>
      <x:c r="H1032" t="str"/>
      <x:c r="I1032" t="str">
        <x:v>Årlig beregnet, ikke målt</x:v>
      </x:c>
      <x:c r="J1032" t="str">
        <x:v>01012025_17082025_2025.csv</x:v>
      </x:c>
    </x:row>
    <x:row r="1033" ht="22" customHeight="1">
      <x:c r="A1033" t="str">
        <x:v>559c1e3b0b17</x:v>
      </x:c>
      <x:c r="B1033" t="n">
        <x:v>2025</x:v>
      </x:c>
      <x:c r="C1033" t="str">
        <x:v>Skolebygg</x:v>
      </x:c>
      <x:c r="D1033" t="str">
        <x:v>B</x:v>
      </x:c>
      <x:c r="E1033" t="n">
        <x:v>2025</x:v>
      </x:c>
      <x:c r="F1033" t="n">
        <x:v>85.93</x:v>
      </x:c>
      <x:c r="G1033" t="str">
        <x:v>Advanced</x:v>
      </x:c>
      <x:c r="H1033" t="str"/>
      <x:c r="I1033" t="str">
        <x:v>Årlig beregnet, ikke målt</x:v>
      </x:c>
      <x:c r="J1033" t="str">
        <x:v>01012025_17082025_2025.csv</x:v>
      </x:c>
    </x:row>
    <x:row r="1034" ht="22" customHeight="1">
      <x:c r="A1034" t="str">
        <x:v>0e3df7c0b1df</x:v>
      </x:c>
      <x:c r="B1034" t="n">
        <x:v>2025</x:v>
      </x:c>
      <x:c r="C1034" t="str">
        <x:v>Skolebygg</x:v>
      </x:c>
      <x:c r="D1034" t="str">
        <x:v>B</x:v>
      </x:c>
      <x:c r="E1034" t="n">
        <x:v>2012</x:v>
      </x:c>
      <x:c r="F1034" t="n">
        <x:v>99.91</x:v>
      </x:c>
      <x:c r="G1034" t="str">
        <x:v>Advanced</x:v>
      </x:c>
      <x:c r="H1034" t="str"/>
      <x:c r="I1034" t="str">
        <x:v>Årlig beregnet, ikke målt</x:v>
      </x:c>
      <x:c r="J1034" t="str">
        <x:v>01012025_17082025_2025.csv</x:v>
      </x:c>
    </x:row>
    <x:row r="1035" ht="22" customHeight="1">
      <x:c r="A1035" t="str">
        <x:v>92287935e844</x:v>
      </x:c>
      <x:c r="B1035" t="n">
        <x:v>2025</x:v>
      </x:c>
      <x:c r="C1035" t="str">
        <x:v>Skolebygg</x:v>
      </x:c>
      <x:c r="D1035" t="str">
        <x:v>B</x:v>
      </x:c>
      <x:c r="E1035" t="n">
        <x:v>2025</x:v>
      </x:c>
      <x:c r="F1035" t="n">
        <x:v>98.65</x:v>
      </x:c>
      <x:c r="G1035" t="str">
        <x:v>Advanced</x:v>
      </x:c>
      <x:c r="H1035" t="str"/>
      <x:c r="I1035" t="str">
        <x:v>Årlig beregnet, ikke målt</x:v>
      </x:c>
      <x:c r="J1035" t="str">
        <x:v>01012025_17082025_2025.csv</x:v>
      </x:c>
    </x:row>
    <x:row r="1036" ht="22" customHeight="1">
      <x:c r="A1036" t="str">
        <x:v>863da4b39c0c</x:v>
      </x:c>
      <x:c r="B1036" t="n">
        <x:v>2025</x:v>
      </x:c>
      <x:c r="C1036" t="str">
        <x:v>Skolebygg</x:v>
      </x:c>
      <x:c r="D1036" t="str">
        <x:v>B</x:v>
      </x:c>
      <x:c r="E1036" t="n">
        <x:v>2000</x:v>
      </x:c>
      <x:c r="F1036" t="n">
        <x:v>54.18</x:v>
      </x:c>
      <x:c r="G1036" t="str">
        <x:v>Advanced</x:v>
      </x:c>
      <x:c r="H1036" t="str"/>
      <x:c r="I1036" t="str">
        <x:v>Årlig beregnet, ikke målt</x:v>
      </x:c>
      <x:c r="J1036" t="str">
        <x:v>01012025_17082025_2025.csv</x:v>
      </x:c>
    </x:row>
    <x:row r="1037" ht="22" customHeight="1">
      <x:c r="A1037" t="str">
        <x:v>5536fa8718ef</x:v>
      </x:c>
      <x:c r="B1037" t="n">
        <x:v>2025</x:v>
      </x:c>
      <x:c r="C1037" t="str">
        <x:v>Skolebygg</x:v>
      </x:c>
      <x:c r="D1037" t="str">
        <x:v>B</x:v>
      </x:c>
      <x:c r="E1037" t="n">
        <x:v>2016</x:v>
      </x:c>
      <x:c r="F1037" t="n">
        <x:v>98.1</x:v>
      </x:c>
      <x:c r="G1037" t="str">
        <x:v>Advanced</x:v>
      </x:c>
      <x:c r="H1037" t="str"/>
      <x:c r="I1037" t="str">
        <x:v>Årlig beregnet, ikke målt</x:v>
      </x:c>
      <x:c r="J1037" t="str">
        <x:v>01012025_17082025_2025.csv</x:v>
      </x:c>
    </x:row>
    <x:row r="1038" ht="22" customHeight="1">
      <x:c r="A1038" t="str">
        <x:v>c4c77dbefcea</x:v>
      </x:c>
      <x:c r="B1038" t="n">
        <x:v>2025</x:v>
      </x:c>
      <x:c r="C1038" t="str">
        <x:v>Skolebygg</x:v>
      </x:c>
      <x:c r="D1038" t="str">
        <x:v>C</x:v>
      </x:c>
      <x:c r="E1038" t="n">
        <x:v>2008</x:v>
      </x:c>
      <x:c r="F1038" t="n">
        <x:v>127.14</x:v>
      </x:c>
      <x:c r="G1038" t="str">
        <x:v>Advanced</x:v>
      </x:c>
      <x:c r="H1038" t="str"/>
      <x:c r="I1038" t="str">
        <x:v>Årlig beregnet, ikke målt</x:v>
      </x:c>
      <x:c r="J1038" t="str">
        <x:v>01012025_17082025_2025.csv</x:v>
      </x:c>
    </x:row>
    <x:row r="1039" ht="22" customHeight="1">
      <x:c r="A1039" t="str">
        <x:v>2933cc58c0f0</x:v>
      </x:c>
      <x:c r="B1039" t="n">
        <x:v>2025</x:v>
      </x:c>
      <x:c r="C1039" t="str">
        <x:v>Skolebygg</x:v>
      </x:c>
      <x:c r="D1039" t="str">
        <x:v>C</x:v>
      </x:c>
      <x:c r="E1039" t="n">
        <x:v>1924</x:v>
      </x:c>
      <x:c r="F1039" t="n">
        <x:v>123.07</x:v>
      </x:c>
      <x:c r="G1039" t="str">
        <x:v>Advanced</x:v>
      </x:c>
      <x:c r="H1039" t="str"/>
      <x:c r="I1039" t="str">
        <x:v>Årlig beregnet, ikke målt</x:v>
      </x:c>
      <x:c r="J1039" t="str">
        <x:v>01012025_17082025_2025.csv</x:v>
      </x:c>
    </x:row>
    <x:row r="1040" ht="22" customHeight="1">
      <x:c r="A1040" t="str">
        <x:v>714f15e51f17</x:v>
      </x:c>
      <x:c r="B1040" t="n">
        <x:v>2025</x:v>
      </x:c>
      <x:c r="C1040" t="str">
        <x:v>Skolebygg</x:v>
      </x:c>
      <x:c r="D1040" t="str">
        <x:v>C</x:v>
      </x:c>
      <x:c r="E1040" t="n">
        <x:v>2011</x:v>
      </x:c>
      <x:c r="F1040" t="n">
        <x:v>108.63</x:v>
      </x:c>
      <x:c r="G1040" t="str">
        <x:v>Advanced</x:v>
      </x:c>
      <x:c r="H1040" t="str"/>
      <x:c r="I1040" t="str">
        <x:v>Årlig beregnet, ikke målt</x:v>
      </x:c>
      <x:c r="J1040" t="str">
        <x:v>01012025_17082025_2025.csv</x:v>
      </x:c>
    </x:row>
    <x:row r="1041" ht="22" customHeight="1">
      <x:c r="A1041" t="str">
        <x:v>b0070562f1e7</x:v>
      </x:c>
      <x:c r="B1041" t="n">
        <x:v>2025</x:v>
      </x:c>
      <x:c r="C1041" t="str">
        <x:v>Skolebygg</x:v>
      </x:c>
      <x:c r="D1041" t="str">
        <x:v>C</x:v>
      </x:c>
      <x:c r="E1041" t="n">
        <x:v>2004</x:v>
      </x:c>
      <x:c r="F1041" t="n">
        <x:v>123.57</x:v>
      </x:c>
      <x:c r="G1041" t="str">
        <x:v>Advanced</x:v>
      </x:c>
      <x:c r="H1041" t="str"/>
      <x:c r="I1041" t="str">
        <x:v>Årlig beregnet, ikke målt</x:v>
      </x:c>
      <x:c r="J1041" t="str">
        <x:v>01012025_17082025_2025.csv</x:v>
      </x:c>
    </x:row>
    <x:row r="1042" ht="22" customHeight="1">
      <x:c r="A1042" t="str">
        <x:v>dacee150e12b</x:v>
      </x:c>
      <x:c r="B1042" t="n">
        <x:v>2025</x:v>
      </x:c>
      <x:c r="C1042" t="str">
        <x:v>Skolebygg</x:v>
      </x:c>
      <x:c r="D1042" t="str">
        <x:v>C</x:v>
      </x:c>
      <x:c r="E1042" t="n">
        <x:v>2025</x:v>
      </x:c>
      <x:c r="F1042" t="n">
        <x:v>107.83</x:v>
      </x:c>
      <x:c r="G1042" t="str">
        <x:v>Advanced</x:v>
      </x:c>
      <x:c r="H1042" t="str"/>
      <x:c r="I1042" t="str">
        <x:v>Årlig beregnet, ikke målt</x:v>
      </x:c>
      <x:c r="J1042" t="str">
        <x:v>01012025_17082025_2025.csv</x:v>
      </x:c>
    </x:row>
    <x:row r="1043" ht="22" customHeight="1">
      <x:c r="A1043" t="str">
        <x:v>34ec78e0048a</x:v>
      </x:c>
      <x:c r="B1043" t="n">
        <x:v>2025</x:v>
      </x:c>
      <x:c r="C1043" t="str">
        <x:v>Skolebygg</x:v>
      </x:c>
      <x:c r="D1043" t="str">
        <x:v>D</x:v>
      </x:c>
      <x:c r="E1043" t="n">
        <x:v>1978</x:v>
      </x:c>
      <x:c r="F1043" t="n">
        <x:v>173.85</x:v>
      </x:c>
      <x:c r="G1043" t="str">
        <x:v>Advanced</x:v>
      </x:c>
      <x:c r="H1043" t="str"/>
      <x:c r="I1043" t="str">
        <x:v>Årlig beregnet, ikke målt</x:v>
      </x:c>
      <x:c r="J1043" t="str">
        <x:v>01012025_17082025_2025.csv</x:v>
      </x:c>
    </x:row>
    <x:row r="1044" ht="22" customHeight="1">
      <x:c r="A1044" t="str">
        <x:v>8f0618f03673</x:v>
      </x:c>
      <x:c r="B1044" t="n">
        <x:v>2025</x:v>
      </x:c>
      <x:c r="C1044" t="str">
        <x:v>Skolebygg</x:v>
      </x:c>
      <x:c r="D1044" t="str">
        <x:v>D</x:v>
      </x:c>
      <x:c r="E1044" t="n">
        <x:v>1966</x:v>
      </x:c>
      <x:c r="F1044" t="n">
        <x:v>153.73</x:v>
      </x:c>
      <x:c r="G1044" t="str">
        <x:v>Advanced</x:v>
      </x:c>
      <x:c r="H1044" t="str"/>
      <x:c r="I1044" t="str">
        <x:v>Årlig beregnet, ikke målt</x:v>
      </x:c>
      <x:c r="J1044" t="str">
        <x:v>01012025_17082025_2025.csv</x:v>
      </x:c>
    </x:row>
    <x:row r="1045" ht="22" customHeight="1">
      <x:c r="A1045" t="str">
        <x:v>9b526ff7c163</x:v>
      </x:c>
      <x:c r="B1045" t="n">
        <x:v>2025</x:v>
      </x:c>
      <x:c r="C1045" t="str">
        <x:v>Skolebygg</x:v>
      </x:c>
      <x:c r="D1045" t="str">
        <x:v>D</x:v>
      </x:c>
      <x:c r="E1045" t="n">
        <x:v>2001</x:v>
      </x:c>
      <x:c r="F1045" t="n">
        <x:v>167.86</x:v>
      </x:c>
      <x:c r="G1045" t="str">
        <x:v>Advanced</x:v>
      </x:c>
      <x:c r="H1045" t="str"/>
      <x:c r="I1045" t="str">
        <x:v>Årlig beregnet, ikke målt</x:v>
      </x:c>
      <x:c r="J1045" t="str">
        <x:v>01012025_17082025_2025.csv</x:v>
      </x:c>
    </x:row>
    <x:row r="1046" ht="22" customHeight="1">
      <x:c r="A1046" t="str">
        <x:v>07c53af53be7</x:v>
      </x:c>
      <x:c r="B1046" t="n">
        <x:v>2025</x:v>
      </x:c>
      <x:c r="C1046" t="str">
        <x:v>Skolebygg</x:v>
      </x:c>
      <x:c r="D1046" t="str">
        <x:v>D</x:v>
      </x:c>
      <x:c r="E1046" t="n">
        <x:v>1967</x:v>
      </x:c>
      <x:c r="F1046" t="n">
        <x:v>143.52</x:v>
      </x:c>
      <x:c r="G1046" t="str">
        <x:v>Advanced</x:v>
      </x:c>
      <x:c r="H1046" t="str"/>
      <x:c r="I1046" t="str">
        <x:v>Årlig beregnet, ikke målt</x:v>
      </x:c>
      <x:c r="J1046" t="str">
        <x:v>01012025_17082025_2025.csv</x:v>
      </x:c>
    </x:row>
    <x:row r="1047" ht="22" customHeight="1">
      <x:c r="A1047" t="str">
        <x:v>3e5e545186b6</x:v>
      </x:c>
      <x:c r="B1047" t="n">
        <x:v>2025</x:v>
      </x:c>
      <x:c r="C1047" t="str">
        <x:v>Skolebygg</x:v>
      </x:c>
      <x:c r="D1047" t="str">
        <x:v>D</x:v>
      </x:c>
      <x:c r="E1047" t="n">
        <x:v>1985</x:v>
      </x:c>
      <x:c r="F1047" t="n">
        <x:v>165.03</x:v>
      </x:c>
      <x:c r="G1047" t="str">
        <x:v>Advanced</x:v>
      </x:c>
      <x:c r="H1047" t="str"/>
      <x:c r="I1047" t="str">
        <x:v>Årlig beregnet, ikke målt</x:v>
      </x:c>
      <x:c r="J1047" t="str">
        <x:v>01012025_17082025_2025.csv</x:v>
      </x:c>
    </x:row>
    <x:row r="1048" ht="22" customHeight="1">
      <x:c r="A1048" t="str">
        <x:v>424dcf247f81</x:v>
      </x:c>
      <x:c r="B1048" t="n">
        <x:v>2025</x:v>
      </x:c>
      <x:c r="C1048" t="str">
        <x:v>Skolebygg</x:v>
      </x:c>
      <x:c r="D1048" t="str">
        <x:v>E</x:v>
      </x:c>
      <x:c r="E1048" t="n">
        <x:v>2025</x:v>
      </x:c>
      <x:c r="F1048" t="n">
        <x:v>204.48</x:v>
      </x:c>
      <x:c r="G1048" t="str">
        <x:v>Advanced</x:v>
      </x:c>
      <x:c r="H1048" t="str"/>
      <x:c r="I1048" t="str">
        <x:v>Årlig beregnet, ikke målt</x:v>
      </x:c>
      <x:c r="J1048" t="str">
        <x:v>01012025_17082025_2025.csv</x:v>
      </x:c>
    </x:row>
    <x:row r="1049" ht="22" customHeight="1">
      <x:c r="A1049" t="str">
        <x:v>805b000d319d</x:v>
      </x:c>
      <x:c r="B1049" t="n">
        <x:v>2025</x:v>
      </x:c>
      <x:c r="C1049" t="str">
        <x:v>Skolebygg</x:v>
      </x:c>
      <x:c r="D1049" t="str">
        <x:v>E</x:v>
      </x:c>
      <x:c r="E1049" t="n">
        <x:v>1945</x:v>
      </x:c>
      <x:c r="F1049" t="n">
        <x:v>219.6</x:v>
      </x:c>
      <x:c r="G1049" t="str">
        <x:v>Advanced</x:v>
      </x:c>
      <x:c r="H1049" t="str"/>
      <x:c r="I1049" t="str">
        <x:v>Årlig beregnet, ikke målt</x:v>
      </x:c>
      <x:c r="J1049" t="str">
        <x:v>01012025_17082025_2025.csv</x:v>
      </x:c>
    </x:row>
    <x:row r="1050" ht="22" customHeight="1">
      <x:c r="A1050" t="str">
        <x:v>a19a1e179dec</x:v>
      </x:c>
      <x:c r="B1050" t="n">
        <x:v>2025</x:v>
      </x:c>
      <x:c r="C1050" t="str">
        <x:v>Skolebygg</x:v>
      </x:c>
      <x:c r="D1050" t="str">
        <x:v>E</x:v>
      </x:c>
      <x:c r="E1050" t="n">
        <x:v>1940</x:v>
      </x:c>
      <x:c r="F1050" t="n">
        <x:v>182.14</x:v>
      </x:c>
      <x:c r="G1050" t="str">
        <x:v>Advanced</x:v>
      </x:c>
      <x:c r="H1050" t="str"/>
      <x:c r="I1050" t="str">
        <x:v>Årlig beregnet, ikke målt</x:v>
      </x:c>
      <x:c r="J1050" t="str">
        <x:v>01012025_17082025_2025.csv</x:v>
      </x:c>
    </x:row>
    <x:row r="1051" ht="22" customHeight="1">
      <x:c r="A1051" t="str">
        <x:v>296619ab2843</x:v>
      </x:c>
      <x:c r="B1051" t="n">
        <x:v>2025</x:v>
      </x:c>
      <x:c r="C1051" t="str">
        <x:v>Skolebygg</x:v>
      </x:c>
      <x:c r="D1051" t="str">
        <x:v>E</x:v>
      </x:c>
      <x:c r="E1051" t="n">
        <x:v>1974</x:v>
      </x:c>
      <x:c r="F1051" t="n">
        <x:v>214.91</x:v>
      </x:c>
      <x:c r="G1051" t="str">
        <x:v>Advanced</x:v>
      </x:c>
      <x:c r="H1051" t="str"/>
      <x:c r="I1051" t="str">
        <x:v>Årlig beregnet, ikke målt</x:v>
      </x:c>
      <x:c r="J1051" t="str">
        <x:v>01012025_17082025_2025.csv</x:v>
      </x:c>
    </x:row>
    <x:row r="1052" ht="22" customHeight="1">
      <x:c r="A1052" t="str">
        <x:v>dc2ba8396e07</x:v>
      </x:c>
      <x:c r="B1052" t="n">
        <x:v>2025</x:v>
      </x:c>
      <x:c r="C1052" t="str">
        <x:v>Skolebygg</x:v>
      </x:c>
      <x:c r="D1052" t="str">
        <x:v>E</x:v>
      </x:c>
      <x:c r="E1052" t="n">
        <x:v>1973</x:v>
      </x:c>
      <x:c r="F1052" t="n">
        <x:v>198.34</x:v>
      </x:c>
      <x:c r="G1052" t="str">
        <x:v>Advanced</x:v>
      </x:c>
      <x:c r="H1052" t="str"/>
      <x:c r="I1052" t="str">
        <x:v>Årlig beregnet, ikke målt</x:v>
      </x:c>
      <x:c r="J1052" t="str">
        <x:v>01012025_17082025_2025.csv</x:v>
      </x:c>
    </x:row>
    <x:row r="1053" ht="22" customHeight="1">
      <x:c r="A1053" t="str">
        <x:v>a864d80bc206</x:v>
      </x:c>
      <x:c r="B1053" t="n">
        <x:v>2025</x:v>
      </x:c>
      <x:c r="C1053" t="str">
        <x:v>Skolebygg</x:v>
      </x:c>
      <x:c r="D1053" t="str">
        <x:v>F</x:v>
      </x:c>
      <x:c r="E1053" t="n">
        <x:v>1967</x:v>
      </x:c>
      <x:c r="F1053" t="n">
        <x:v>255.56</x:v>
      </x:c>
      <x:c r="G1053" t="str">
        <x:v>Advanced</x:v>
      </x:c>
      <x:c r="H1053" t="str"/>
      <x:c r="I1053" t="str">
        <x:v>Årlig beregnet, ikke målt</x:v>
      </x:c>
      <x:c r="J1053" t="str">
        <x:v>01012025_17082025_2025.csv</x:v>
      </x:c>
    </x:row>
    <x:row r="1054" ht="22" customHeight="1">
      <x:c r="A1054" t="str">
        <x:v>f9ddb292f23c</x:v>
      </x:c>
      <x:c r="B1054" t="n">
        <x:v>2025</x:v>
      </x:c>
      <x:c r="C1054" t="str">
        <x:v>Skolebygg</x:v>
      </x:c>
      <x:c r="D1054" t="str">
        <x:v>F</x:v>
      </x:c>
      <x:c r="E1054" t="n">
        <x:v>1953</x:v>
      </x:c>
      <x:c r="F1054" t="n">
        <x:v>230.92</x:v>
      </x:c>
      <x:c r="G1054" t="str">
        <x:v>Advanced</x:v>
      </x:c>
      <x:c r="H1054" t="str"/>
      <x:c r="I1054" t="str">
        <x:v>Årlig beregnet, ikke målt</x:v>
      </x:c>
      <x:c r="J1054" t="str">
        <x:v>01012025_17082025_2025.csv</x:v>
      </x:c>
    </x:row>
    <x:row r="1055" ht="22" customHeight="1">
      <x:c r="A1055" t="str">
        <x:v>00e62eec8359</x:v>
      </x:c>
      <x:c r="B1055" t="n">
        <x:v>2025</x:v>
      </x:c>
      <x:c r="C1055" t="str">
        <x:v>Skolebygg</x:v>
      </x:c>
      <x:c r="D1055" t="str">
        <x:v>F</x:v>
      </x:c>
      <x:c r="E1055" t="n">
        <x:v>1919</x:v>
      </x:c>
      <x:c r="F1055" t="n">
        <x:v>255.71</x:v>
      </x:c>
      <x:c r="G1055" t="str">
        <x:v>Advanced</x:v>
      </x:c>
      <x:c r="H1055" t="str"/>
      <x:c r="I1055" t="str">
        <x:v>Årlig beregnet, ikke målt</x:v>
      </x:c>
      <x:c r="J1055" t="str">
        <x:v>01012025_17082025_2025.csv</x:v>
      </x:c>
    </x:row>
    <x:row r="1056" ht="22" customHeight="1">
      <x:c r="A1056" t="str">
        <x:v>35f2612307f0</x:v>
      </x:c>
      <x:c r="B1056" t="n">
        <x:v>2025</x:v>
      </x:c>
      <x:c r="C1056" t="str">
        <x:v>Skolebygg</x:v>
      </x:c>
      <x:c r="D1056" t="str">
        <x:v>F</x:v>
      </x:c>
      <x:c r="E1056" t="n">
        <x:v>1967</x:v>
      </x:c>
      <x:c r="F1056" t="n">
        <x:v>236.35</x:v>
      </x:c>
      <x:c r="G1056" t="str">
        <x:v>Advanced</x:v>
      </x:c>
      <x:c r="H1056" t="str"/>
      <x:c r="I1056" t="str">
        <x:v>Årlig beregnet, ikke målt</x:v>
      </x:c>
      <x:c r="J1056" t="str">
        <x:v>01012025_17082025_2025.csv</x:v>
      </x:c>
    </x:row>
    <x:row r="1057" ht="22" customHeight="1">
      <x:c r="A1057" t="str">
        <x:v>73640d7a855d</x:v>
      </x:c>
      <x:c r="B1057" t="n">
        <x:v>2025</x:v>
      </x:c>
      <x:c r="C1057" t="str">
        <x:v>Skolebygg</x:v>
      </x:c>
      <x:c r="D1057" t="str">
        <x:v>F</x:v>
      </x:c>
      <x:c r="E1057" t="n">
        <x:v>1962</x:v>
      </x:c>
      <x:c r="F1057" t="n">
        <x:v>222.51</x:v>
      </x:c>
      <x:c r="G1057" t="str">
        <x:v>Advanced</x:v>
      </x:c>
      <x:c r="H1057" t="str"/>
      <x:c r="I1057" t="str">
        <x:v>Årlig beregnet, ikke målt</x:v>
      </x:c>
      <x:c r="J1057" t="str">
        <x:v>01012025_17082025_2025.csv</x:v>
      </x:c>
    </x:row>
    <x:row r="1058" ht="22" customHeight="1">
      <x:c r="A1058" t="str">
        <x:v>925f13f100d2</x:v>
      </x:c>
      <x:c r="B1058" t="n">
        <x:v>2025</x:v>
      </x:c>
      <x:c r="C1058" t="str">
        <x:v>Skolebygg</x:v>
      </x:c>
      <x:c r="D1058" t="str">
        <x:v>G</x:v>
      </x:c>
      <x:c r="E1058" t="n">
        <x:v>1995</x:v>
      </x:c>
      <x:c r="F1058" t="n">
        <x:v>385.7</x:v>
      </x:c>
      <x:c r="G1058" t="str">
        <x:v>Advanced</x:v>
      </x:c>
      <x:c r="H1058" t="str"/>
      <x:c r="I1058" t="str">
        <x:v>Årlig beregnet, ikke målt</x:v>
      </x:c>
      <x:c r="J1058" t="str">
        <x:v>01012025_17082025_2025.csv</x:v>
      </x:c>
    </x:row>
    <x:row r="1059" ht="22" customHeight="1">
      <x:c r="A1059" t="str">
        <x:v>c254e3cc5bcb</x:v>
      </x:c>
      <x:c r="B1059" t="n">
        <x:v>2025</x:v>
      </x:c>
      <x:c r="C1059" t="str">
        <x:v>Skolebygg</x:v>
      </x:c>
      <x:c r="D1059" t="str">
        <x:v>G</x:v>
      </x:c>
      <x:c r="E1059" t="n">
        <x:v>1950</x:v>
      </x:c>
      <x:c r="F1059" t="n">
        <x:v>343.5</x:v>
      </x:c>
      <x:c r="G1059" t="str">
        <x:v>Advanced</x:v>
      </x:c>
      <x:c r="H1059" t="str"/>
      <x:c r="I1059" t="str">
        <x:v>Årlig beregnet, ikke målt</x:v>
      </x:c>
      <x:c r="J1059" t="str">
        <x:v>01012025_17082025_2025.csv</x:v>
      </x:c>
    </x:row>
    <x:row r="1060" ht="22" customHeight="1">
      <x:c r="A1060" t="str">
        <x:v>ded1fc12d0bb</x:v>
      </x:c>
      <x:c r="B1060" t="n">
        <x:v>2025</x:v>
      </x:c>
      <x:c r="C1060" t="str">
        <x:v>Skolebygg</x:v>
      </x:c>
      <x:c r="D1060" t="str">
        <x:v>G</x:v>
      </x:c>
      <x:c r="E1060" t="n">
        <x:v>2000</x:v>
      </x:c>
      <x:c r="F1060" t="n">
        <x:v>323.91</x:v>
      </x:c>
      <x:c r="G1060" t="str">
        <x:v>Advanced</x:v>
      </x:c>
      <x:c r="H1060" t="str"/>
      <x:c r="I1060" t="str">
        <x:v>Årlig beregnet, ikke målt</x:v>
      </x:c>
      <x:c r="J1060" t="str">
        <x:v>01012025_17082025_2025.csv</x:v>
      </x:c>
    </x:row>
    <x:row r="1061" ht="22" customHeight="1">
      <x:c r="A1061" t="str">
        <x:v>42a49ffe3393</x:v>
      </x:c>
      <x:c r="B1061" t="n">
        <x:v>2025</x:v>
      </x:c>
      <x:c r="C1061" t="str">
        <x:v>Skolebygg</x:v>
      </x:c>
      <x:c r="D1061" t="str">
        <x:v>G</x:v>
      </x:c>
      <x:c r="E1061" t="n">
        <x:v>1993</x:v>
      </x:c>
      <x:c r="F1061" t="n">
        <x:v>397.98</x:v>
      </x:c>
      <x:c r="G1061" t="str">
        <x:v>Advanced</x:v>
      </x:c>
      <x:c r="H1061" t="str"/>
      <x:c r="I1061" t="str">
        <x:v>Årlig beregnet, ikke målt</x:v>
      </x:c>
      <x:c r="J1061" t="str">
        <x:v>01012025_17082025_2025.csv</x:v>
      </x:c>
    </x:row>
    <x:row r="1062" ht="22" customHeight="1">
      <x:c r="A1062" t="str">
        <x:v>4e91e2c38ffd</x:v>
      </x:c>
      <x:c r="B1062" t="n">
        <x:v>2025</x:v>
      </x:c>
      <x:c r="C1062" t="str">
        <x:v>Skolebygg</x:v>
      </x:c>
      <x:c r="D1062" t="str">
        <x:v>G</x:v>
      </x:c>
      <x:c r="E1062" t="n">
        <x:v>1973</x:v>
      </x:c>
      <x:c r="F1062" t="n">
        <x:v>287.94</x:v>
      </x:c>
      <x:c r="G1062" t="str">
        <x:v>Advanced</x:v>
      </x:c>
      <x:c r="H1062" t="str"/>
      <x:c r="I1062" t="str">
        <x:v>Årlig beregnet, ikke målt</x:v>
      </x:c>
      <x:c r="J1062" t="str">
        <x:v>01012025_17082025_2025.csv</x:v>
      </x:c>
    </x:row>
    <x:row r="1063" ht="22" customHeight="1">
      <x:c r="A1063" t="str">
        <x:v>92cbefd1aa4e</x:v>
      </x:c>
      <x:c r="B1063" t="n">
        <x:v>2025</x:v>
      </x:c>
      <x:c r="C1063" t="str">
        <x:v>Småhus</x:v>
      </x:c>
      <x:c r="D1063" t="str">
        <x:v>A</x:v>
      </x:c>
      <x:c r="E1063" t="n">
        <x:v>2022</x:v>
      </x:c>
      <x:c r="F1063" t="n">
        <x:v>86.76</x:v>
      </x:c>
      <x:c r="G1063" t="str">
        <x:v>Simple</x:v>
      </x:c>
      <x:c r="H1063" t="str">
        <x:v>Tre</x:v>
      </x:c>
      <x:c r="I1063" t="str">
        <x:v>Årlig beregnet, ikke målt</x:v>
      </x:c>
      <x:c r="J1063" t="str">
        <x:v>01012025_17082025_2025.csv</x:v>
      </x:c>
    </x:row>
    <x:row r="1064" ht="22" customHeight="1">
      <x:c r="A1064" t="str">
        <x:v>6ec507efbbc9</x:v>
      </x:c>
      <x:c r="B1064" t="n">
        <x:v>2025</x:v>
      </x:c>
      <x:c r="C1064" t="str">
        <x:v>Småhus</x:v>
      </x:c>
      <x:c r="D1064" t="str">
        <x:v>A</x:v>
      </x:c>
      <x:c r="E1064" t="n">
        <x:v>2024</x:v>
      </x:c>
      <x:c r="F1064" t="n">
        <x:v>103.29</x:v>
      </x:c>
      <x:c r="G1064" t="str">
        <x:v>Advanced</x:v>
      </x:c>
      <x:c r="H1064" t="str"/>
      <x:c r="I1064" t="str">
        <x:v>Årlig beregnet, ikke målt</x:v>
      </x:c>
      <x:c r="J1064" t="str">
        <x:v>01012025_17082025_2025.csv</x:v>
      </x:c>
    </x:row>
    <x:row r="1065" ht="22" customHeight="1">
      <x:c r="A1065" t="str">
        <x:v>f0cd873178d2</x:v>
      </x:c>
      <x:c r="B1065" t="n">
        <x:v>2025</x:v>
      </x:c>
      <x:c r="C1065" t="str">
        <x:v>Småhus</x:v>
      </x:c>
      <x:c r="D1065" t="str">
        <x:v>A</x:v>
      </x:c>
      <x:c r="E1065" t="n">
        <x:v>1863</x:v>
      </x:c>
      <x:c r="F1065" t="n">
        <x:v>97.74</x:v>
      </x:c>
      <x:c r="G1065" t="str">
        <x:v>Simple</x:v>
      </x:c>
      <x:c r="H1065" t="str">
        <x:v>Tre</x:v>
      </x:c>
      <x:c r="I1065" t="str">
        <x:v>Årlig beregnet, ikke målt</x:v>
      </x:c>
      <x:c r="J1065" t="str">
        <x:v>01012025_17082025_2025.csv</x:v>
      </x:c>
    </x:row>
    <x:row r="1066" ht="22" customHeight="1">
      <x:c r="A1066" t="str">
        <x:v>af613a7ca9e5</x:v>
      </x:c>
      <x:c r="B1066" t="n">
        <x:v>2025</x:v>
      </x:c>
      <x:c r="C1066" t="str">
        <x:v>Småhus</x:v>
      </x:c>
      <x:c r="D1066" t="str">
        <x:v>A</x:v>
      </x:c>
      <x:c r="E1066" t="n">
        <x:v>2025</x:v>
      </x:c>
      <x:c r="F1066" t="n">
        <x:v>98.57</x:v>
      </x:c>
      <x:c r="G1066" t="str">
        <x:v>Simple</x:v>
      </x:c>
      <x:c r="H1066" t="str">
        <x:v>Tre</x:v>
      </x:c>
      <x:c r="I1066" t="str">
        <x:v>Årlig beregnet, ikke målt</x:v>
      </x:c>
      <x:c r="J1066" t="str">
        <x:v>01012025_17082025_2025.csv</x:v>
      </x:c>
    </x:row>
    <x:row r="1067" ht="22" customHeight="1">
      <x:c r="A1067" t="str">
        <x:v>b56afd875200</x:v>
      </x:c>
      <x:c r="B1067" t="n">
        <x:v>2025</x:v>
      </x:c>
      <x:c r="C1067" t="str">
        <x:v>Småhus</x:v>
      </x:c>
      <x:c r="D1067" t="str">
        <x:v>A</x:v>
      </x:c>
      <x:c r="E1067" t="n">
        <x:v>2023</x:v>
      </x:c>
      <x:c r="F1067" t="n">
        <x:v>81.17</x:v>
      </x:c>
      <x:c r="G1067" t="str">
        <x:v>Simple</x:v>
      </x:c>
      <x:c r="H1067" t="str">
        <x:v>Tre</x:v>
      </x:c>
      <x:c r="I1067" t="str">
        <x:v>Årlig beregnet, ikke målt</x:v>
      </x:c>
      <x:c r="J1067" t="str">
        <x:v>01012025_17082025_2025.csv</x:v>
      </x:c>
    </x:row>
    <x:row r="1068" ht="22" customHeight="1">
      <x:c r="A1068" t="str">
        <x:v>89b8363dcc31</x:v>
      </x:c>
      <x:c r="B1068" t="n">
        <x:v>2025</x:v>
      </x:c>
      <x:c r="C1068" t="str">
        <x:v>Småhus</x:v>
      </x:c>
      <x:c r="D1068" t="str">
        <x:v>B</x:v>
      </x:c>
      <x:c r="E1068" t="n">
        <x:v>1951</x:v>
      </x:c>
      <x:c r="F1068" t="n">
        <x:v>146.24</x:v>
      </x:c>
      <x:c r="G1068" t="str">
        <x:v>Advanced</x:v>
      </x:c>
      <x:c r="H1068" t="str"/>
      <x:c r="I1068" t="str">
        <x:v>Årlig beregnet, ikke målt</x:v>
      </x:c>
      <x:c r="J1068" t="str">
        <x:v>01012025_17082025_2025.csv</x:v>
      </x:c>
    </x:row>
    <x:row r="1069" ht="22" customHeight="1">
      <x:c r="A1069" t="str">
        <x:v>bcdf5f08c2cc</x:v>
      </x:c>
      <x:c r="B1069" t="n">
        <x:v>2025</x:v>
      </x:c>
      <x:c r="C1069" t="str">
        <x:v>Småhus</x:v>
      </x:c>
      <x:c r="D1069" t="str">
        <x:v>B</x:v>
      </x:c>
      <x:c r="E1069" t="n">
        <x:v>2012</x:v>
      </x:c>
      <x:c r="F1069" t="n">
        <x:v>113.05</x:v>
      </x:c>
      <x:c r="G1069" t="str">
        <x:v>Simple</x:v>
      </x:c>
      <x:c r="H1069" t="str">
        <x:v>Tre</x:v>
      </x:c>
      <x:c r="I1069" t="str">
        <x:v>Årlig beregnet, ikke målt</x:v>
      </x:c>
      <x:c r="J1069" t="str">
        <x:v>01012025_17082025_2025.csv</x:v>
      </x:c>
    </x:row>
    <x:row r="1070" ht="22" customHeight="1">
      <x:c r="A1070" t="str">
        <x:v>8e77b7859871</x:v>
      </x:c>
      <x:c r="B1070" t="n">
        <x:v>2025</x:v>
      </x:c>
      <x:c r="C1070" t="str">
        <x:v>Småhus</x:v>
      </x:c>
      <x:c r="D1070" t="str">
        <x:v>B</x:v>
      </x:c>
      <x:c r="E1070" t="n">
        <x:v>2018</x:v>
      </x:c>
      <x:c r="F1070" t="n">
        <x:v>131.13</x:v>
      </x:c>
      <x:c r="G1070" t="str">
        <x:v>Simple</x:v>
      </x:c>
      <x:c r="H1070" t="str">
        <x:v>Tre</x:v>
      </x:c>
      <x:c r="I1070" t="str">
        <x:v>Årlig beregnet, ikke målt</x:v>
      </x:c>
      <x:c r="J1070" t="str">
        <x:v>01012025_17082025_2025.csv</x:v>
      </x:c>
    </x:row>
    <x:row r="1071" ht="22" customHeight="1">
      <x:c r="A1071" t="str">
        <x:v>deb4a8e67a89</x:v>
      </x:c>
      <x:c r="B1071" t="n">
        <x:v>2025</x:v>
      </x:c>
      <x:c r="C1071" t="str">
        <x:v>Småhus</x:v>
      </x:c>
      <x:c r="D1071" t="str">
        <x:v>B</x:v>
      </x:c>
      <x:c r="E1071" t="n">
        <x:v>2020</x:v>
      </x:c>
      <x:c r="F1071" t="n">
        <x:v>113.51</x:v>
      </x:c>
      <x:c r="G1071" t="str">
        <x:v>Simple</x:v>
      </x:c>
      <x:c r="H1071" t="str">
        <x:v>Tre</x:v>
      </x:c>
      <x:c r="I1071" t="str">
        <x:v>Årlig beregnet, ikke målt</x:v>
      </x:c>
      <x:c r="J1071" t="str">
        <x:v>01012025_17082025_2025.csv</x:v>
      </x:c>
    </x:row>
    <x:row r="1072" ht="22" customHeight="1">
      <x:c r="A1072" t="str">
        <x:v>3d0a12ab5168</x:v>
      </x:c>
      <x:c r="B1072" t="n">
        <x:v>2025</x:v>
      </x:c>
      <x:c r="C1072" t="str">
        <x:v>Småhus</x:v>
      </x:c>
      <x:c r="D1072" t="str">
        <x:v>B</x:v>
      </x:c>
      <x:c r="E1072" t="n">
        <x:v>2020</x:v>
      </x:c>
      <x:c r="F1072" t="n">
        <x:v>115.8</x:v>
      </x:c>
      <x:c r="G1072" t="str">
        <x:v>Simple</x:v>
      </x:c>
      <x:c r="H1072" t="str">
        <x:v>Tre</x:v>
      </x:c>
      <x:c r="I1072" t="str">
        <x:v>Årlig beregnet, ikke målt</x:v>
      </x:c>
      <x:c r="J1072" t="str">
        <x:v>01012025_17082025_2025.csv</x:v>
      </x:c>
    </x:row>
    <x:row r="1073" ht="22" customHeight="1">
      <x:c r="A1073" t="str">
        <x:v>fffc86262c1a</x:v>
      </x:c>
      <x:c r="B1073" t="n">
        <x:v>2025</x:v>
      </x:c>
      <x:c r="C1073" t="str">
        <x:v>Småhus</x:v>
      </x:c>
      <x:c r="D1073" t="str">
        <x:v>C</x:v>
      </x:c>
      <x:c r="E1073" t="n">
        <x:v>2007</x:v>
      </x:c>
      <x:c r="F1073" t="n">
        <x:v>192.14</x:v>
      </x:c>
      <x:c r="G1073" t="str">
        <x:v>Simple</x:v>
      </x:c>
      <x:c r="H1073" t="str">
        <x:v>Tre</x:v>
      </x:c>
      <x:c r="I1073" t="str">
        <x:v>Årlig beregnet, ikke målt</x:v>
      </x:c>
      <x:c r="J1073" t="str">
        <x:v>01012025_17082025_2025.csv</x:v>
      </x:c>
    </x:row>
    <x:row r="1074" ht="22" customHeight="1">
      <x:c r="A1074" t="str">
        <x:v>c3d727ca81a2</x:v>
      </x:c>
      <x:c r="B1074" t="n">
        <x:v>2025</x:v>
      </x:c>
      <x:c r="C1074" t="str">
        <x:v>Småhus</x:v>
      </x:c>
      <x:c r="D1074" t="str">
        <x:v>C</x:v>
      </x:c>
      <x:c r="E1074" t="n">
        <x:v>2006</x:v>
      </x:c>
      <x:c r="F1074" t="n">
        <x:v>155.32</x:v>
      </x:c>
      <x:c r="G1074" t="str">
        <x:v>Simple</x:v>
      </x:c>
      <x:c r="H1074" t="str">
        <x:v>Tre</x:v>
      </x:c>
      <x:c r="I1074" t="str">
        <x:v>Årlig beregnet, ikke målt</x:v>
      </x:c>
      <x:c r="J1074" t="str">
        <x:v>01012025_17082025_2025.csv</x:v>
      </x:c>
    </x:row>
    <x:row r="1075" ht="22" customHeight="1">
      <x:c r="A1075" t="str">
        <x:v>11f9321e6293</x:v>
      </x:c>
      <x:c r="B1075" t="n">
        <x:v>2025</x:v>
      </x:c>
      <x:c r="C1075" t="str">
        <x:v>Småhus</x:v>
      </x:c>
      <x:c r="D1075" t="str">
        <x:v>C</x:v>
      </x:c>
      <x:c r="E1075" t="n">
        <x:v>2005</x:v>
      </x:c>
      <x:c r="F1075" t="n">
        <x:v>139.23</x:v>
      </x:c>
      <x:c r="G1075" t="str">
        <x:v>Simple</x:v>
      </x:c>
      <x:c r="H1075" t="str">
        <x:v>Tre</x:v>
      </x:c>
      <x:c r="I1075" t="str">
        <x:v>Årlig beregnet, ikke målt</x:v>
      </x:c>
      <x:c r="J1075" t="str">
        <x:v>01012025_17082025_2025.csv</x:v>
      </x:c>
    </x:row>
    <x:row r="1076" ht="22" customHeight="1">
      <x:c r="A1076" t="str">
        <x:v>5003c41bd0e4</x:v>
      </x:c>
      <x:c r="B1076" t="n">
        <x:v>2025</x:v>
      </x:c>
      <x:c r="C1076" t="str">
        <x:v>Småhus</x:v>
      </x:c>
      <x:c r="D1076" t="str">
        <x:v>C</x:v>
      </x:c>
      <x:c r="E1076" t="n">
        <x:v>1980</x:v>
      </x:c>
      <x:c r="F1076" t="n">
        <x:v>146.44</x:v>
      </x:c>
      <x:c r="G1076" t="str">
        <x:v>Advanced</x:v>
      </x:c>
      <x:c r="H1076" t="str"/>
      <x:c r="I1076" t="str">
        <x:v>Årlig beregnet, ikke målt</x:v>
      </x:c>
      <x:c r="J1076" t="str">
        <x:v>01012025_17082025_2025.csv</x:v>
      </x:c>
    </x:row>
    <x:row r="1077" ht="22" customHeight="1">
      <x:c r="A1077" t="str">
        <x:v>07fbd96028c2</x:v>
      </x:c>
      <x:c r="B1077" t="n">
        <x:v>2025</x:v>
      </x:c>
      <x:c r="C1077" t="str">
        <x:v>Småhus</x:v>
      </x:c>
      <x:c r="D1077" t="str">
        <x:v>C</x:v>
      </x:c>
      <x:c r="E1077" t="n">
        <x:v>2023</x:v>
      </x:c>
      <x:c r="F1077" t="n">
        <x:v>181.86</x:v>
      </x:c>
      <x:c r="G1077" t="str">
        <x:v>Simple</x:v>
      </x:c>
      <x:c r="H1077" t="str">
        <x:v>Tre</x:v>
      </x:c>
      <x:c r="I1077" t="str">
        <x:v>Årlig beregnet, ikke målt</x:v>
      </x:c>
      <x:c r="J1077" t="str">
        <x:v>01012025_17082025_2025.csv</x:v>
      </x:c>
    </x:row>
    <x:row r="1078" ht="22" customHeight="1">
      <x:c r="A1078" t="str">
        <x:v>c2db08336f01</x:v>
      </x:c>
      <x:c r="B1078" t="n">
        <x:v>2025</x:v>
      </x:c>
      <x:c r="C1078" t="str">
        <x:v>Småhus</x:v>
      </x:c>
      <x:c r="D1078" t="str">
        <x:v>D</x:v>
      </x:c>
      <x:c r="E1078" t="n">
        <x:v>1995</x:v>
      </x:c>
      <x:c r="F1078" t="n">
        <x:v>200.66</x:v>
      </x:c>
      <x:c r="G1078" t="str">
        <x:v>Simple</x:v>
      </x:c>
      <x:c r="H1078" t="str">
        <x:v>Tre</x:v>
      </x:c>
      <x:c r="I1078" t="str">
        <x:v>Årlig beregnet, ikke målt</x:v>
      </x:c>
      <x:c r="J1078" t="str">
        <x:v>01012025_17082025_2025.csv</x:v>
      </x:c>
    </x:row>
    <x:row r="1079" ht="22" customHeight="1">
      <x:c r="A1079" t="str">
        <x:v>0eb138ca5a95</x:v>
      </x:c>
      <x:c r="B1079" t="n">
        <x:v>2025</x:v>
      </x:c>
      <x:c r="C1079" t="str">
        <x:v>Småhus</x:v>
      </x:c>
      <x:c r="D1079" t="str">
        <x:v>D</x:v>
      </x:c>
      <x:c r="E1079" t="n">
        <x:v>1954</x:v>
      </x:c>
      <x:c r="F1079" t="n">
        <x:v>189.25</x:v>
      </x:c>
      <x:c r="G1079" t="str">
        <x:v>Schema</x:v>
      </x:c>
      <x:c r="H1079" t="str">
        <x:v>Tre</x:v>
      </x:c>
      <x:c r="I1079" t="str">
        <x:v>Årlig beregnet, ikke målt</x:v>
      </x:c>
      <x:c r="J1079" t="str">
        <x:v>01012025_17082025_2025.csv</x:v>
      </x:c>
    </x:row>
    <x:row r="1080" ht="22" customHeight="1">
      <x:c r="A1080" t="str">
        <x:v>73642746508b</x:v>
      </x:c>
      <x:c r="B1080" t="n">
        <x:v>2025</x:v>
      </x:c>
      <x:c r="C1080" t="str">
        <x:v>Småhus</x:v>
      </x:c>
      <x:c r="D1080" t="str">
        <x:v>D</x:v>
      </x:c>
      <x:c r="E1080" t="n">
        <x:v>1970</x:v>
      </x:c>
      <x:c r="F1080" t="n">
        <x:v>176.73</x:v>
      </x:c>
      <x:c r="G1080" t="str">
        <x:v>Simple</x:v>
      </x:c>
      <x:c r="H1080" t="str">
        <x:v>Tre</x:v>
      </x:c>
      <x:c r="I1080" t="str">
        <x:v>Årlig beregnet, ikke målt</x:v>
      </x:c>
      <x:c r="J1080" t="str">
        <x:v>01012025_17082025_2025.csv</x:v>
      </x:c>
    </x:row>
    <x:row r="1081" ht="22" customHeight="1">
      <x:c r="A1081" t="str">
        <x:v>3629c2212844</x:v>
      </x:c>
      <x:c r="B1081" t="n">
        <x:v>2025</x:v>
      </x:c>
      <x:c r="C1081" t="str">
        <x:v>Småhus</x:v>
      </x:c>
      <x:c r="D1081" t="str">
        <x:v>D</x:v>
      </x:c>
      <x:c r="E1081" t="n">
        <x:v>1999</x:v>
      </x:c>
      <x:c r="F1081" t="n">
        <x:v>197.86</x:v>
      </x:c>
      <x:c r="G1081" t="str">
        <x:v>Simple</x:v>
      </x:c>
      <x:c r="H1081" t="str">
        <x:v>Tre</x:v>
      </x:c>
      <x:c r="I1081" t="str">
        <x:v>Årlig beregnet, ikke målt</x:v>
      </x:c>
      <x:c r="J1081" t="str">
        <x:v>01012025_17082025_2025.csv</x:v>
      </x:c>
    </x:row>
    <x:row r="1082" ht="22" customHeight="1">
      <x:c r="A1082" t="str">
        <x:v>804a1d4fef89</x:v>
      </x:c>
      <x:c r="B1082" t="n">
        <x:v>2025</x:v>
      </x:c>
      <x:c r="C1082" t="str">
        <x:v>Småhus</x:v>
      </x:c>
      <x:c r="D1082" t="str">
        <x:v>D</x:v>
      </x:c>
      <x:c r="E1082" t="n">
        <x:v>2002</x:v>
      </x:c>
      <x:c r="F1082" t="n">
        <x:v>195.15</x:v>
      </x:c>
      <x:c r="G1082" t="str">
        <x:v>Simple</x:v>
      </x:c>
      <x:c r="H1082" t="str">
        <x:v>Tre</x:v>
      </x:c>
      <x:c r="I1082" t="str">
        <x:v>Årlig beregnet, ikke målt</x:v>
      </x:c>
      <x:c r="J1082" t="str">
        <x:v>01012025_17082025_2025.csv</x:v>
      </x:c>
    </x:row>
    <x:row r="1083" ht="22" customHeight="1">
      <x:c r="A1083" t="str">
        <x:v>e2dfb262775b</x:v>
      </x:c>
      <x:c r="B1083" t="n">
        <x:v>2025</x:v>
      </x:c>
      <x:c r="C1083" t="str">
        <x:v>Småhus</x:v>
      </x:c>
      <x:c r="D1083" t="str">
        <x:v>E</x:v>
      </x:c>
      <x:c r="E1083" t="n">
        <x:v>1989</x:v>
      </x:c>
      <x:c r="F1083" t="n">
        <x:v>219.22</x:v>
      </x:c>
      <x:c r="G1083" t="str">
        <x:v>Simple</x:v>
      </x:c>
      <x:c r="H1083" t="str">
        <x:v>Tre</x:v>
      </x:c>
      <x:c r="I1083" t="str">
        <x:v>Årlig beregnet, ikke målt</x:v>
      </x:c>
      <x:c r="J1083" t="str">
        <x:v>01012025_17082025_2025.csv</x:v>
      </x:c>
    </x:row>
    <x:row r="1084" ht="22" customHeight="1">
      <x:c r="A1084" t="str">
        <x:v>db1885484e29</x:v>
      </x:c>
      <x:c r="B1084" t="n">
        <x:v>2025</x:v>
      </x:c>
      <x:c r="C1084" t="str">
        <x:v>Småhus</x:v>
      </x:c>
      <x:c r="D1084" t="str">
        <x:v>E</x:v>
      </x:c>
      <x:c r="E1084" t="n">
        <x:v>1988</x:v>
      </x:c>
      <x:c r="F1084" t="n">
        <x:v>213.18</x:v>
      </x:c>
      <x:c r="G1084" t="str">
        <x:v>Simple</x:v>
      </x:c>
      <x:c r="H1084" t="str">
        <x:v>Tre</x:v>
      </x:c>
      <x:c r="I1084" t="str">
        <x:v>Årlig beregnet, ikke målt</x:v>
      </x:c>
      <x:c r="J1084" t="str">
        <x:v>01012025_17082025_2025.csv</x:v>
      </x:c>
    </x:row>
    <x:row r="1085" ht="22" customHeight="1">
      <x:c r="A1085" t="str">
        <x:v>b404466e30e0</x:v>
      </x:c>
      <x:c r="B1085" t="n">
        <x:v>2025</x:v>
      </x:c>
      <x:c r="C1085" t="str">
        <x:v>Småhus</x:v>
      </x:c>
      <x:c r="D1085" t="str">
        <x:v>E</x:v>
      </x:c>
      <x:c r="E1085" t="n">
        <x:v>1974</x:v>
      </x:c>
      <x:c r="F1085" t="n">
        <x:v>223.05</x:v>
      </x:c>
      <x:c r="G1085" t="str">
        <x:v>Simple</x:v>
      </x:c>
      <x:c r="H1085" t="str">
        <x:v>Betong</x:v>
      </x:c>
      <x:c r="I1085" t="str">
        <x:v>Årlig beregnet, ikke målt</x:v>
      </x:c>
      <x:c r="J1085" t="str">
        <x:v>01012025_17082025_2025.csv</x:v>
      </x:c>
    </x:row>
    <x:row r="1086" ht="22" customHeight="1">
      <x:c r="A1086" t="str">
        <x:v>4f1f1f59d41e</x:v>
      </x:c>
      <x:c r="B1086" t="n">
        <x:v>2025</x:v>
      </x:c>
      <x:c r="C1086" t="str">
        <x:v>Småhus</x:v>
      </x:c>
      <x:c r="D1086" t="str">
        <x:v>E</x:v>
      </x:c>
      <x:c r="E1086" t="n">
        <x:v>1974</x:v>
      </x:c>
      <x:c r="F1086" t="n">
        <x:v>243.68</x:v>
      </x:c>
      <x:c r="G1086" t="str">
        <x:v>Simple</x:v>
      </x:c>
      <x:c r="H1086" t="str">
        <x:v>Tre</x:v>
      </x:c>
      <x:c r="I1086" t="str">
        <x:v>Årlig beregnet, ikke målt</x:v>
      </x:c>
      <x:c r="J1086" t="str">
        <x:v>01012025_17082025_2025.csv</x:v>
      </x:c>
    </x:row>
    <x:row r="1087" ht="22" customHeight="1">
      <x:c r="A1087" t="str">
        <x:v>6b3a31f4ef7d</x:v>
      </x:c>
      <x:c r="B1087" t="n">
        <x:v>2025</x:v>
      </x:c>
      <x:c r="C1087" t="str">
        <x:v>Småhus</x:v>
      </x:c>
      <x:c r="D1087" t="str">
        <x:v>E</x:v>
      </x:c>
      <x:c r="E1087" t="n">
        <x:v>1997</x:v>
      </x:c>
      <x:c r="F1087" t="n">
        <x:v>229.65</x:v>
      </x:c>
      <x:c r="G1087" t="str">
        <x:v>Simple</x:v>
      </x:c>
      <x:c r="H1087" t="str">
        <x:v>Tre</x:v>
      </x:c>
      <x:c r="I1087" t="str">
        <x:v>Årlig beregnet, ikke målt</x:v>
      </x:c>
      <x:c r="J1087" t="str">
        <x:v>01012025_17082025_2025.csv</x:v>
      </x:c>
    </x:row>
    <x:row r="1088" ht="22" customHeight="1">
      <x:c r="A1088" t="str">
        <x:v>8e2eac495863</x:v>
      </x:c>
      <x:c r="B1088" t="n">
        <x:v>2025</x:v>
      </x:c>
      <x:c r="C1088" t="str">
        <x:v>Småhus</x:v>
      </x:c>
      <x:c r="D1088" t="str">
        <x:v>F</x:v>
      </x:c>
      <x:c r="E1088" t="n">
        <x:v>1978</x:v>
      </x:c>
      <x:c r="F1088" t="n">
        <x:v>303.58</x:v>
      </x:c>
      <x:c r="G1088" t="str">
        <x:v>Simple</x:v>
      </x:c>
      <x:c r="H1088" t="str">
        <x:v>Betong</x:v>
      </x:c>
      <x:c r="I1088" t="str">
        <x:v>Årlig beregnet, ikke målt</x:v>
      </x:c>
      <x:c r="J1088" t="str">
        <x:v>01012025_17082025_2025.csv</x:v>
      </x:c>
    </x:row>
    <x:row r="1089" ht="22" customHeight="1">
      <x:c r="A1089" t="str">
        <x:v>707fad4343d4</x:v>
      </x:c>
      <x:c r="B1089" t="n">
        <x:v>2025</x:v>
      </x:c>
      <x:c r="C1089" t="str">
        <x:v>Småhus</x:v>
      </x:c>
      <x:c r="D1089" t="str">
        <x:v>F</x:v>
      </x:c>
      <x:c r="E1089" t="n">
        <x:v>1971</x:v>
      </x:c>
      <x:c r="F1089" t="n">
        <x:v>251.07</x:v>
      </x:c>
      <x:c r="G1089" t="str">
        <x:v>Simple</x:v>
      </x:c>
      <x:c r="H1089" t="str">
        <x:v>Tre</x:v>
      </x:c>
      <x:c r="I1089" t="str">
        <x:v>Årlig beregnet, ikke målt</x:v>
      </x:c>
      <x:c r="J1089" t="str">
        <x:v>01012025_17082025_2025.csv</x:v>
      </x:c>
    </x:row>
    <x:row r="1090" ht="22" customHeight="1">
      <x:c r="A1090" t="str">
        <x:v>ad6740ee5c0e</x:v>
      </x:c>
      <x:c r="B1090" t="n">
        <x:v>2025</x:v>
      </x:c>
      <x:c r="C1090" t="str">
        <x:v>Småhus</x:v>
      </x:c>
      <x:c r="D1090" t="str">
        <x:v>F</x:v>
      </x:c>
      <x:c r="E1090" t="n">
        <x:v>1981</x:v>
      </x:c>
      <x:c r="F1090" t="n">
        <x:v>273.25</x:v>
      </x:c>
      <x:c r="G1090" t="str">
        <x:v>Simple</x:v>
      </x:c>
      <x:c r="H1090" t="str">
        <x:v>Tre</x:v>
      </x:c>
      <x:c r="I1090" t="str">
        <x:v>Årlig beregnet, ikke målt</x:v>
      </x:c>
      <x:c r="J1090" t="str">
        <x:v>01012025_17082025_2025.csv</x:v>
      </x:c>
    </x:row>
    <x:row r="1091" ht="22" customHeight="1">
      <x:c r="A1091" t="str">
        <x:v>d4ca3b592a76</x:v>
      </x:c>
      <x:c r="B1091" t="n">
        <x:v>2025</x:v>
      </x:c>
      <x:c r="C1091" t="str">
        <x:v>Småhus</x:v>
      </x:c>
      <x:c r="D1091" t="str">
        <x:v>F</x:v>
      </x:c>
      <x:c r="E1091" t="n">
        <x:v>1973</x:v>
      </x:c>
      <x:c r="F1091" t="n">
        <x:v>272.74</x:v>
      </x:c>
      <x:c r="G1091" t="str">
        <x:v>Schema</x:v>
      </x:c>
      <x:c r="H1091" t="str">
        <x:v>Tre</x:v>
      </x:c>
      <x:c r="I1091" t="str">
        <x:v>Årlig beregnet, ikke målt</x:v>
      </x:c>
      <x:c r="J1091" t="str">
        <x:v>01012025_17082025_2025.csv</x:v>
      </x:c>
    </x:row>
    <x:row r="1092" ht="22" customHeight="1">
      <x:c r="A1092" t="str">
        <x:v>4d588361b21e</x:v>
      </x:c>
      <x:c r="B1092" t="n">
        <x:v>2025</x:v>
      </x:c>
      <x:c r="C1092" t="str">
        <x:v>Småhus</x:v>
      </x:c>
      <x:c r="D1092" t="str">
        <x:v>F</x:v>
      </x:c>
      <x:c r="E1092" t="n">
        <x:v>1980</x:v>
      </x:c>
      <x:c r="F1092" t="n">
        <x:v>246.14</x:v>
      </x:c>
      <x:c r="G1092" t="str">
        <x:v>Simple</x:v>
      </x:c>
      <x:c r="H1092" t="str">
        <x:v>Tre</x:v>
      </x:c>
      <x:c r="I1092" t="str">
        <x:v>Årlig beregnet, ikke målt</x:v>
      </x:c>
      <x:c r="J1092" t="str">
        <x:v>01012025_17082025_2025.csv</x:v>
      </x:c>
    </x:row>
    <x:row r="1093" ht="22" customHeight="1">
      <x:c r="A1093" t="str">
        <x:v>ff572f15977c</x:v>
      </x:c>
      <x:c r="B1093" t="n">
        <x:v>2025</x:v>
      </x:c>
      <x:c r="C1093" t="str">
        <x:v>Småhus</x:v>
      </x:c>
      <x:c r="D1093" t="str">
        <x:v>G</x:v>
      </x:c>
      <x:c r="E1093" t="n">
        <x:v>1951</x:v>
      </x:c>
      <x:c r="F1093" t="n">
        <x:v>451.21</x:v>
      </x:c>
      <x:c r="G1093" t="str">
        <x:v>Simple</x:v>
      </x:c>
      <x:c r="H1093" t="str">
        <x:v>Tre</x:v>
      </x:c>
      <x:c r="I1093" t="str">
        <x:v>Årlig beregnet, ikke målt</x:v>
      </x:c>
      <x:c r="J1093" t="str">
        <x:v>01012025_17082025_2025.csv</x:v>
      </x:c>
    </x:row>
    <x:row r="1094" ht="22" customHeight="1">
      <x:c r="A1094" t="str">
        <x:v>57b460bf651b</x:v>
      </x:c>
      <x:c r="B1094" t="n">
        <x:v>2025</x:v>
      </x:c>
      <x:c r="C1094" t="str">
        <x:v>Småhus</x:v>
      </x:c>
      <x:c r="D1094" t="str">
        <x:v>G</x:v>
      </x:c>
      <x:c r="E1094" t="n">
        <x:v>1880</x:v>
      </x:c>
      <x:c r="F1094" t="n">
        <x:v>526.82</x:v>
      </x:c>
      <x:c r="G1094" t="str">
        <x:v>Simple</x:v>
      </x:c>
      <x:c r="H1094" t="str">
        <x:v>Tre</x:v>
      </x:c>
      <x:c r="I1094" t="str">
        <x:v>Årlig beregnet, ikke målt</x:v>
      </x:c>
      <x:c r="J1094" t="str">
        <x:v>01012025_17082025_2025.csv</x:v>
      </x:c>
    </x:row>
    <x:row r="1095" ht="22" customHeight="1">
      <x:c r="A1095" t="str">
        <x:v>bce171efbb71</x:v>
      </x:c>
      <x:c r="B1095" t="n">
        <x:v>2025</x:v>
      </x:c>
      <x:c r="C1095" t="str">
        <x:v>Småhus</x:v>
      </x:c>
      <x:c r="D1095" t="str">
        <x:v>G</x:v>
      </x:c>
      <x:c r="E1095" t="n">
        <x:v>1956</x:v>
      </x:c>
      <x:c r="F1095" t="n">
        <x:v>570.5</x:v>
      </x:c>
      <x:c r="G1095" t="str">
        <x:v>Simple</x:v>
      </x:c>
      <x:c r="H1095" t="str">
        <x:v>Tre</x:v>
      </x:c>
      <x:c r="I1095" t="str">
        <x:v>Årlig beregnet, ikke målt</x:v>
      </x:c>
      <x:c r="J1095" t="str">
        <x:v>01012025_17082025_2025.csv</x:v>
      </x:c>
    </x:row>
    <x:row r="1096" ht="22" customHeight="1">
      <x:c r="A1096" t="str">
        <x:v>fdd3a848db75</x:v>
      </x:c>
      <x:c r="B1096" t="n">
        <x:v>2025</x:v>
      </x:c>
      <x:c r="C1096" t="str">
        <x:v>Småhus</x:v>
      </x:c>
      <x:c r="D1096" t="str">
        <x:v>G</x:v>
      </x:c>
      <x:c r="E1096" t="n">
        <x:v>1977</x:v>
      </x:c>
      <x:c r="F1096" t="n">
        <x:v>371.72</x:v>
      </x:c>
      <x:c r="G1096" t="str">
        <x:v>Simple</x:v>
      </x:c>
      <x:c r="H1096" t="str">
        <x:v>Tre</x:v>
      </x:c>
      <x:c r="I1096" t="str">
        <x:v>Årlig beregnet, ikke målt</x:v>
      </x:c>
      <x:c r="J1096" t="str">
        <x:v>01012025_17082025_2025.csv</x:v>
      </x:c>
    </x:row>
    <x:row r="1097" ht="22" customHeight="1">
      <x:c r="A1097" t="str">
        <x:v>f1500abe55e0</x:v>
      </x:c>
      <x:c r="B1097" t="n">
        <x:v>2025</x:v>
      </x:c>
      <x:c r="C1097" t="str">
        <x:v>Småhus</x:v>
      </x:c>
      <x:c r="D1097" t="str">
        <x:v>G</x:v>
      </x:c>
      <x:c r="E1097" t="n">
        <x:v>1912</x:v>
      </x:c>
      <x:c r="F1097" t="n">
        <x:v>356.68</x:v>
      </x:c>
      <x:c r="G1097" t="str">
        <x:v>Simple</x:v>
      </x:c>
      <x:c r="H1097" t="str">
        <x:v>Tre</x:v>
      </x:c>
      <x:c r="I1097" t="str">
        <x:v>Årlig beregnet, ikke målt</x:v>
      </x:c>
      <x:c r="J1097" t="str">
        <x:v>01012025_17082025_2025.csv</x:v>
      </x:c>
    </x:row>
    <x:row r="1098" ht="22" customHeight="1">
      <x:c r="A1098" t="str">
        <x:v>ec1ed3fc6f9a</x:v>
      </x:c>
      <x:c r="B1098" t="n">
        <x:v>2025</x:v>
      </x:c>
      <x:c r="C1098" t="str">
        <x:v>Sykehjem</x:v>
      </x:c>
      <x:c r="D1098" t="str">
        <x:v>A</x:v>
      </x:c>
      <x:c r="E1098" t="n">
        <x:v>2023</x:v>
      </x:c>
      <x:c r="F1098" t="n">
        <x:v>125.92</x:v>
      </x:c>
      <x:c r="G1098" t="str">
        <x:v>Advanced</x:v>
      </x:c>
      <x:c r="H1098" t="str"/>
      <x:c r="I1098" t="str">
        <x:v>Årlig beregnet, ikke målt</x:v>
      </x:c>
      <x:c r="J1098" t="str">
        <x:v>01012025_17082025_2025.csv</x:v>
      </x:c>
    </x:row>
    <x:row r="1099" ht="22" customHeight="1">
      <x:c r="A1099" t="str">
        <x:v>32ae3220093a</x:v>
      </x:c>
      <x:c r="B1099" t="n">
        <x:v>2025</x:v>
      </x:c>
      <x:c r="C1099" t="str">
        <x:v>Sykehjem</x:v>
      </x:c>
      <x:c r="D1099" t="str">
        <x:v>A</x:v>
      </x:c>
      <x:c r="E1099" t="n">
        <x:v>2023</x:v>
      </x:c>
      <x:c r="F1099" t="n">
        <x:v>125.92</x:v>
      </x:c>
      <x:c r="G1099" t="str">
        <x:v>Advanced</x:v>
      </x:c>
      <x:c r="H1099" t="str"/>
      <x:c r="I1099" t="str">
        <x:v>Årlig beregnet, ikke målt</x:v>
      </x:c>
      <x:c r="J1099" t="str">
        <x:v>01012025_17082025_2025.csv</x:v>
      </x:c>
    </x:row>
    <x:row r="1100" ht="22" customHeight="1">
      <x:c r="A1100" t="str">
        <x:v>9c5de357b647</x:v>
      </x:c>
      <x:c r="B1100" t="n">
        <x:v>2025</x:v>
      </x:c>
      <x:c r="C1100" t="str">
        <x:v>Sykehjem</x:v>
      </x:c>
      <x:c r="D1100" t="str">
        <x:v>A</x:v>
      </x:c>
      <x:c r="E1100" t="n">
        <x:v>2016</x:v>
      </x:c>
      <x:c r="F1100" t="n">
        <x:v>119.24</x:v>
      </x:c>
      <x:c r="G1100" t="str">
        <x:v>Advanced</x:v>
      </x:c>
      <x:c r="H1100" t="str"/>
      <x:c r="I1100" t="str">
        <x:v>Årlig beregnet, ikke målt</x:v>
      </x:c>
      <x:c r="J1100" t="str">
        <x:v>01012025_17082025_2025.csv</x:v>
      </x:c>
    </x:row>
    <x:row r="1101" ht="22" customHeight="1">
      <x:c r="A1101" t="str">
        <x:v>566920f39ca9</x:v>
      </x:c>
      <x:c r="B1101" t="n">
        <x:v>2025</x:v>
      </x:c>
      <x:c r="C1101" t="str">
        <x:v>Sykehjem</x:v>
      </x:c>
      <x:c r="D1101" t="str">
        <x:v>A</x:v>
      </x:c>
      <x:c r="E1101" t="n">
        <x:v>2023</x:v>
      </x:c>
      <x:c r="F1101" t="n">
        <x:v>125.92</x:v>
      </x:c>
      <x:c r="G1101" t="str">
        <x:v>Advanced</x:v>
      </x:c>
      <x:c r="H1101" t="str"/>
      <x:c r="I1101" t="str">
        <x:v>Årlig beregnet, ikke målt</x:v>
      </x:c>
      <x:c r="J1101" t="str">
        <x:v>01012025_17082025_2025.csv</x:v>
      </x:c>
    </x:row>
    <x:row r="1102" ht="22" customHeight="1">
      <x:c r="A1102" t="str">
        <x:v>54f0a62f94ee</x:v>
      </x:c>
      <x:c r="B1102" t="n">
        <x:v>2025</x:v>
      </x:c>
      <x:c r="C1102" t="str">
        <x:v>Sykehjem</x:v>
      </x:c>
      <x:c r="D1102" t="str">
        <x:v>A</x:v>
      </x:c>
      <x:c r="E1102" t="n">
        <x:v>2023</x:v>
      </x:c>
      <x:c r="F1102" t="n">
        <x:v>125.92</x:v>
      </x:c>
      <x:c r="G1102" t="str">
        <x:v>Advanced</x:v>
      </x:c>
      <x:c r="H1102" t="str"/>
      <x:c r="I1102" t="str">
        <x:v>Årlig beregnet, ikke målt</x:v>
      </x:c>
      <x:c r="J1102" t="str">
        <x:v>01012025_17082025_2025.csv</x:v>
      </x:c>
    </x:row>
    <x:row r="1103" ht="22" customHeight="1">
      <x:c r="A1103" t="str">
        <x:v>f39445214886</x:v>
      </x:c>
      <x:c r="B1103" t="n">
        <x:v>2025</x:v>
      </x:c>
      <x:c r="C1103" t="str">
        <x:v>Sykehjem</x:v>
      </x:c>
      <x:c r="D1103" t="str">
        <x:v>B</x:v>
      </x:c>
      <x:c r="E1103" t="n">
        <x:v>2000</x:v>
      </x:c>
      <x:c r="F1103" t="n">
        <x:v>173.87</x:v>
      </x:c>
      <x:c r="G1103" t="str">
        <x:v>Advanced</x:v>
      </x:c>
      <x:c r="H1103" t="str"/>
      <x:c r="I1103" t="str">
        <x:v>Årlig beregnet, ikke målt</x:v>
      </x:c>
      <x:c r="J1103" t="str">
        <x:v>01012025_17082025_2025.csv</x:v>
      </x:c>
    </x:row>
    <x:row r="1104" ht="22" customHeight="1">
      <x:c r="A1104" t="str">
        <x:v>6134911b65d0</x:v>
      </x:c>
      <x:c r="B1104" t="n">
        <x:v>2025</x:v>
      </x:c>
      <x:c r="C1104" t="str">
        <x:v>Sykehjem</x:v>
      </x:c>
      <x:c r="D1104" t="str">
        <x:v>B</x:v>
      </x:c>
      <x:c r="E1104" t="n">
        <x:v>1989</x:v>
      </x:c>
      <x:c r="F1104" t="n">
        <x:v>182.44</x:v>
      </x:c>
      <x:c r="G1104" t="str">
        <x:v>Advanced</x:v>
      </x:c>
      <x:c r="H1104" t="str"/>
      <x:c r="I1104" t="str">
        <x:v>Årlig beregnet, ikke målt</x:v>
      </x:c>
      <x:c r="J1104" t="str">
        <x:v>01012025_17082025_2025.csv</x:v>
      </x:c>
    </x:row>
    <x:row r="1105" ht="22" customHeight="1">
      <x:c r="A1105" t="str">
        <x:v>f69fe83cf443</x:v>
      </x:c>
      <x:c r="B1105" t="n">
        <x:v>2025</x:v>
      </x:c>
      <x:c r="C1105" t="str">
        <x:v>Sykehjem</x:v>
      </x:c>
      <x:c r="D1105" t="str">
        <x:v>B</x:v>
      </x:c>
      <x:c r="E1105" t="n">
        <x:v>1989</x:v>
      </x:c>
      <x:c r="F1105" t="n">
        <x:v>182.44</x:v>
      </x:c>
      <x:c r="G1105" t="str">
        <x:v>Advanced</x:v>
      </x:c>
      <x:c r="H1105" t="str"/>
      <x:c r="I1105" t="str">
        <x:v>Årlig beregnet, ikke målt</x:v>
      </x:c>
      <x:c r="J1105" t="str">
        <x:v>01012025_17082025_2025.csv</x:v>
      </x:c>
    </x:row>
    <x:row r="1106" ht="22" customHeight="1">
      <x:c r="A1106" t="str">
        <x:v>6155584d32af</x:v>
      </x:c>
      <x:c r="B1106" t="n">
        <x:v>2025</x:v>
      </x:c>
      <x:c r="C1106" t="str">
        <x:v>Sykehjem</x:v>
      </x:c>
      <x:c r="D1106" t="str">
        <x:v>B</x:v>
      </x:c>
      <x:c r="E1106" t="n">
        <x:v>2018</x:v>
      </x:c>
      <x:c r="F1106" t="n">
        <x:v>153.37</x:v>
      </x:c>
      <x:c r="G1106" t="str">
        <x:v>Advanced</x:v>
      </x:c>
      <x:c r="H1106" t="str"/>
      <x:c r="I1106" t="str">
        <x:v>Årlig beregnet, ikke målt</x:v>
      </x:c>
      <x:c r="J1106" t="str">
        <x:v>01012025_17082025_2025.csv</x:v>
      </x:c>
    </x:row>
    <x:row r="1107" ht="22" customHeight="1">
      <x:c r="A1107" t="str">
        <x:v>0b5faaae4de9</x:v>
      </x:c>
      <x:c r="B1107" t="n">
        <x:v>2025</x:v>
      </x:c>
      <x:c r="C1107" t="str">
        <x:v>Sykehjem</x:v>
      </x:c>
      <x:c r="D1107" t="str">
        <x:v>B</x:v>
      </x:c>
      <x:c r="E1107" t="n">
        <x:v>1991</x:v>
      </x:c>
      <x:c r="F1107" t="n">
        <x:v>194.25</x:v>
      </x:c>
      <x:c r="G1107" t="str">
        <x:v>Advanced</x:v>
      </x:c>
      <x:c r="H1107" t="str"/>
      <x:c r="I1107" t="str">
        <x:v>Årlig beregnet, ikke målt</x:v>
      </x:c>
      <x:c r="J1107" t="str">
        <x:v>01012025_17082025_2025.csv</x:v>
      </x:c>
    </x:row>
    <x:row r="1108" ht="22" customHeight="1">
      <x:c r="A1108" t="str">
        <x:v>9fcafbe90916</x:v>
      </x:c>
      <x:c r="B1108" t="n">
        <x:v>2025</x:v>
      </x:c>
      <x:c r="C1108" t="str">
        <x:v>Sykehjem</x:v>
      </x:c>
      <x:c r="D1108" t="str">
        <x:v>C</x:v>
      </x:c>
      <x:c r="E1108" t="n">
        <x:v>2009</x:v>
      </x:c>
      <x:c r="F1108" t="n">
        <x:v>225.6</x:v>
      </x:c>
      <x:c r="G1108" t="str">
        <x:v>Advanced</x:v>
      </x:c>
      <x:c r="H1108" t="str"/>
      <x:c r="I1108" t="str">
        <x:v>Årlig beregnet, ikke målt</x:v>
      </x:c>
      <x:c r="J1108" t="str">
        <x:v>01012025_17082025_2025.csv</x:v>
      </x:c>
    </x:row>
    <x:row r="1109" ht="22" customHeight="1">
      <x:c r="A1109" t="str">
        <x:v>5d221d24b357</x:v>
      </x:c>
      <x:c r="B1109" t="n">
        <x:v>2025</x:v>
      </x:c>
      <x:c r="C1109" t="str">
        <x:v>Sykehjem</x:v>
      </x:c>
      <x:c r="D1109" t="str">
        <x:v>C</x:v>
      </x:c>
      <x:c r="E1109" t="n">
        <x:v>2000</x:v>
      </x:c>
      <x:c r="F1109" t="n">
        <x:v>239.94</x:v>
      </x:c>
      <x:c r="G1109" t="str">
        <x:v>Advanced</x:v>
      </x:c>
      <x:c r="H1109" t="str"/>
      <x:c r="I1109" t="str">
        <x:v>Årlig beregnet, ikke målt</x:v>
      </x:c>
      <x:c r="J1109" t="str">
        <x:v>01012025_17082025_2025.csv</x:v>
      </x:c>
    </x:row>
    <x:row r="1110" ht="22" customHeight="1">
      <x:c r="A1110" t="str">
        <x:v>8f39214b2cdb</x:v>
      </x:c>
      <x:c r="B1110" t="n">
        <x:v>2025</x:v>
      </x:c>
      <x:c r="C1110" t="str">
        <x:v>Sykehjem</x:v>
      </x:c>
      <x:c r="D1110" t="str">
        <x:v>C</x:v>
      </x:c>
      <x:c r="E1110" t="n">
        <x:v>2016</x:v>
      </x:c>
      <x:c r="F1110" t="n">
        <x:v>198.17</x:v>
      </x:c>
      <x:c r="G1110" t="str">
        <x:v>Advanced</x:v>
      </x:c>
      <x:c r="H1110" t="str"/>
      <x:c r="I1110" t="str">
        <x:v>Årlig beregnet, ikke målt</x:v>
      </x:c>
      <x:c r="J1110" t="str">
        <x:v>01012025_17082025_2025.csv</x:v>
      </x:c>
    </x:row>
    <x:row r="1111" ht="22" customHeight="1">
      <x:c r="A1111" t="str">
        <x:v>692d573de60d</x:v>
      </x:c>
      <x:c r="B1111" t="n">
        <x:v>2025</x:v>
      </x:c>
      <x:c r="C1111" t="str">
        <x:v>Sykehjem</x:v>
      </x:c>
      <x:c r="D1111" t="str">
        <x:v>C</x:v>
      </x:c>
      <x:c r="E1111" t="n">
        <x:v>2016</x:v>
      </x:c>
      <x:c r="F1111" t="n">
        <x:v>198.17</x:v>
      </x:c>
      <x:c r="G1111" t="str">
        <x:v>Advanced</x:v>
      </x:c>
      <x:c r="H1111" t="str"/>
      <x:c r="I1111" t="str">
        <x:v>Årlig beregnet, ikke målt</x:v>
      </x:c>
      <x:c r="J1111" t="str">
        <x:v>01012025_17082025_2025.csv</x:v>
      </x:c>
    </x:row>
    <x:row r="1112" ht="22" customHeight="1">
      <x:c r="A1112" t="str">
        <x:v>2d233c8ed0b0</x:v>
      </x:c>
      <x:c r="B1112" t="n">
        <x:v>2025</x:v>
      </x:c>
      <x:c r="C1112" t="str">
        <x:v>Sykehjem</x:v>
      </x:c>
      <x:c r="D1112" t="str">
        <x:v>C</x:v>
      </x:c>
      <x:c r="E1112" t="n">
        <x:v>2016</x:v>
      </x:c>
      <x:c r="F1112" t="n">
        <x:v>198.17</x:v>
      </x:c>
      <x:c r="G1112" t="str">
        <x:v>Advanced</x:v>
      </x:c>
      <x:c r="H1112" t="str"/>
      <x:c r="I1112" t="str">
        <x:v>Årlig beregnet, ikke målt</x:v>
      </x:c>
      <x:c r="J1112" t="str">
        <x:v>01012025_17082025_2025.csv</x:v>
      </x:c>
    </x:row>
    <x:row r="1113" ht="22" customHeight="1">
      <x:c r="A1113" t="str">
        <x:v>8f7efadbbf1e</x:v>
      </x:c>
      <x:c r="B1113" t="n">
        <x:v>2025</x:v>
      </x:c>
      <x:c r="C1113" t="str">
        <x:v>Sykehjem</x:v>
      </x:c>
      <x:c r="D1113" t="str">
        <x:v>D</x:v>
      </x:c>
      <x:c r="E1113" t="n">
        <x:v>2001</x:v>
      </x:c>
      <x:c r="F1113" t="n">
        <x:v>284.31</x:v>
      </x:c>
      <x:c r="G1113" t="str">
        <x:v>Advanced</x:v>
      </x:c>
      <x:c r="H1113" t="str"/>
      <x:c r="I1113" t="str">
        <x:v>Årlig beregnet, ikke målt</x:v>
      </x:c>
      <x:c r="J1113" t="str">
        <x:v>01012025_17082025_2025.csv</x:v>
      </x:c>
    </x:row>
    <x:row r="1114" ht="22" customHeight="1">
      <x:c r="A1114" t="str">
        <x:v>468282f4175d</x:v>
      </x:c>
      <x:c r="B1114" t="n">
        <x:v>2025</x:v>
      </x:c>
      <x:c r="C1114" t="str">
        <x:v>Sykehjem</x:v>
      </x:c>
      <x:c r="D1114" t="str">
        <x:v>D</x:v>
      </x:c>
      <x:c r="E1114" t="n">
        <x:v>1999</x:v>
      </x:c>
      <x:c r="F1114" t="n">
        <x:v>279.92</x:v>
      </x:c>
      <x:c r="G1114" t="str">
        <x:v>Advanced</x:v>
      </x:c>
      <x:c r="H1114" t="str"/>
      <x:c r="I1114" t="str">
        <x:v>Årlig beregnet, ikke målt</x:v>
      </x:c>
      <x:c r="J1114" t="str">
        <x:v>01012025_17082025_2025.csv</x:v>
      </x:c>
    </x:row>
    <x:row r="1115" ht="22" customHeight="1">
      <x:c r="A1115" t="str">
        <x:v>0c0a25e66dcf</x:v>
      </x:c>
      <x:c r="B1115" t="n">
        <x:v>2025</x:v>
      </x:c>
      <x:c r="C1115" t="str">
        <x:v>Sykehjem</x:v>
      </x:c>
      <x:c r="D1115" t="str">
        <x:v>D</x:v>
      </x:c>
      <x:c r="E1115" t="n">
        <x:v>2001</x:v>
      </x:c>
      <x:c r="F1115" t="n">
        <x:v>284.31</x:v>
      </x:c>
      <x:c r="G1115" t="str">
        <x:v>Advanced</x:v>
      </x:c>
      <x:c r="H1115" t="str"/>
      <x:c r="I1115" t="str">
        <x:v>Årlig beregnet, ikke målt</x:v>
      </x:c>
      <x:c r="J1115" t="str">
        <x:v>01012025_17082025_2025.csv</x:v>
      </x:c>
    </x:row>
    <x:row r="1116" ht="22" customHeight="1">
      <x:c r="A1116" t="str">
        <x:v>1405244b4690</x:v>
      </x:c>
      <x:c r="B1116" t="n">
        <x:v>2025</x:v>
      </x:c>
      <x:c r="C1116" t="str">
        <x:v>Sykehjem</x:v>
      </x:c>
      <x:c r="D1116" t="str">
        <x:v>D</x:v>
      </x:c>
      <x:c r="E1116" t="n">
        <x:v>1999</x:v>
      </x:c>
      <x:c r="F1116" t="n">
        <x:v>279.92</x:v>
      </x:c>
      <x:c r="G1116" t="str">
        <x:v>Advanced</x:v>
      </x:c>
      <x:c r="H1116" t="str"/>
      <x:c r="I1116" t="str">
        <x:v>Årlig beregnet, ikke målt</x:v>
      </x:c>
      <x:c r="J1116" t="str">
        <x:v>01012025_17082025_2025.csv</x:v>
      </x:c>
    </x:row>
    <x:row r="1117" ht="22" customHeight="1">
      <x:c r="A1117" t="str">
        <x:v>f9eeabccedde</x:v>
      </x:c>
      <x:c r="B1117" t="n">
        <x:v>2025</x:v>
      </x:c>
      <x:c r="C1117" t="str">
        <x:v>Sykehjem</x:v>
      </x:c>
      <x:c r="D1117" t="str">
        <x:v>D</x:v>
      </x:c>
      <x:c r="E1117" t="n">
        <x:v>2001</x:v>
      </x:c>
      <x:c r="F1117" t="n">
        <x:v>284.31</x:v>
      </x:c>
      <x:c r="G1117" t="str">
        <x:v>Advanced</x:v>
      </x:c>
      <x:c r="H1117" t="str"/>
      <x:c r="I1117" t="str">
        <x:v>Årlig beregnet, ikke målt</x:v>
      </x:c>
      <x:c r="J1117" t="str">
        <x:v>01012025_17082025_2025.csv</x:v>
      </x:c>
    </x:row>
    <x:row r="1118" ht="22" customHeight="1">
      <x:c r="A1118" t="str">
        <x:v>0b92b6ca2c3b</x:v>
      </x:c>
      <x:c r="B1118" t="n">
        <x:v>2025</x:v>
      </x:c>
      <x:c r="C1118" t="str">
        <x:v>Sykehjem</x:v>
      </x:c>
      <x:c r="D1118" t="str">
        <x:v>E</x:v>
      </x:c>
      <x:c r="E1118" t="n">
        <x:v>2003</x:v>
      </x:c>
      <x:c r="F1118" t="n">
        <x:v>337.99</x:v>
      </x:c>
      <x:c r="G1118" t="str">
        <x:v>Advanced</x:v>
      </x:c>
      <x:c r="H1118" t="str"/>
      <x:c r="I1118" t="str">
        <x:v>Årlig beregnet, ikke målt</x:v>
      </x:c>
      <x:c r="J1118" t="str">
        <x:v>01012025_17082025_2025.csv</x:v>
      </x:c>
    </x:row>
    <x:row r="1119" ht="22" customHeight="1">
      <x:c r="A1119" t="str">
        <x:v>e58860d2f5a4</x:v>
      </x:c>
      <x:c r="B1119" t="n">
        <x:v>2025</x:v>
      </x:c>
      <x:c r="C1119" t="str">
        <x:v>Sykehjem</x:v>
      </x:c>
      <x:c r="D1119" t="str">
        <x:v>E</x:v>
      </x:c>
      <x:c r="E1119" t="n">
        <x:v>2006</x:v>
      </x:c>
      <x:c r="F1119" t="n">
        <x:v>306.81</x:v>
      </x:c>
      <x:c r="G1119" t="str">
        <x:v>Advanced</x:v>
      </x:c>
      <x:c r="H1119" t="str"/>
      <x:c r="I1119" t="str">
        <x:v>Årlig beregnet, ikke målt</x:v>
      </x:c>
      <x:c r="J1119" t="str">
        <x:v>01012025_17082025_2025.csv</x:v>
      </x:c>
    </x:row>
    <x:row r="1120" ht="22" customHeight="1">
      <x:c r="A1120" t="str">
        <x:v>7eb05c90265c</x:v>
      </x:c>
      <x:c r="B1120" t="n">
        <x:v>2025</x:v>
      </x:c>
      <x:c r="C1120" t="str">
        <x:v>Sykehjem</x:v>
      </x:c>
      <x:c r="D1120" t="str">
        <x:v>E</x:v>
      </x:c>
      <x:c r="E1120" t="n">
        <x:v>2006</x:v>
      </x:c>
      <x:c r="F1120" t="n">
        <x:v>305.72</x:v>
      </x:c>
      <x:c r="G1120" t="str">
        <x:v>Advanced</x:v>
      </x:c>
      <x:c r="H1120" t="str"/>
      <x:c r="I1120" t="str">
        <x:v>Årlig beregnet, ikke målt</x:v>
      </x:c>
      <x:c r="J1120" t="str">
        <x:v>01012025_17082025_2025.csv</x:v>
      </x:c>
    </x:row>
    <x:row r="1121" ht="22" customHeight="1">
      <x:c r="A1121" t="str">
        <x:v>e5263ff97187</x:v>
      </x:c>
      <x:c r="B1121" t="n">
        <x:v>2025</x:v>
      </x:c>
      <x:c r="C1121" t="str">
        <x:v>Sykehjem</x:v>
      </x:c>
      <x:c r="D1121" t="str">
        <x:v>E</x:v>
      </x:c>
      <x:c r="E1121" t="n">
        <x:v>2000</x:v>
      </x:c>
      <x:c r="F1121" t="n">
        <x:v>309.19</x:v>
      </x:c>
      <x:c r="G1121" t="str">
        <x:v>Advanced</x:v>
      </x:c>
      <x:c r="H1121" t="str"/>
      <x:c r="I1121" t="str">
        <x:v>Årlig beregnet, ikke målt</x:v>
      </x:c>
      <x:c r="J1121" t="str">
        <x:v>01012025_17082025_2025.csv</x:v>
      </x:c>
    </x:row>
    <x:row r="1122" ht="22" customHeight="1">
      <x:c r="A1122" t="str">
        <x:v>337ab2b29e31</x:v>
      </x:c>
      <x:c r="B1122" t="n">
        <x:v>2025</x:v>
      </x:c>
      <x:c r="C1122" t="str">
        <x:v>Sykehjem</x:v>
      </x:c>
      <x:c r="D1122" t="str">
        <x:v>E</x:v>
      </x:c>
      <x:c r="E1122" t="n">
        <x:v>1989</x:v>
      </x:c>
      <x:c r="F1122" t="n">
        <x:v>301.76</x:v>
      </x:c>
      <x:c r="G1122" t="str">
        <x:v>Advanced</x:v>
      </x:c>
      <x:c r="H1122" t="str"/>
      <x:c r="I1122" t="str">
        <x:v>Årlig beregnet, ikke målt</x:v>
      </x:c>
      <x:c r="J1122" t="str">
        <x:v>01012025_17082025_2025.csv</x:v>
      </x:c>
    </x:row>
    <x:row r="1123" ht="22" customHeight="1">
      <x:c r="A1123" t="str">
        <x:v>c6843abccb3b</x:v>
      </x:c>
      <x:c r="B1123" t="n">
        <x:v>2025</x:v>
      </x:c>
      <x:c r="C1123" t="str">
        <x:v>Sykehjem</x:v>
      </x:c>
      <x:c r="D1123" t="str">
        <x:v>F</x:v>
      </x:c>
      <x:c r="E1123" t="n">
        <x:v>1963</x:v>
      </x:c>
      <x:c r="F1123" t="n">
        <x:v>429.59</x:v>
      </x:c>
      <x:c r="G1123" t="str">
        <x:v>Advanced</x:v>
      </x:c>
      <x:c r="H1123" t="str"/>
      <x:c r="I1123" t="str">
        <x:v>Årlig beregnet, ikke målt</x:v>
      </x:c>
      <x:c r="J1123" t="str">
        <x:v>01012025_17082025_2025.csv</x:v>
      </x:c>
    </x:row>
    <x:row r="1124" ht="22" customHeight="1">
      <x:c r="A1124" t="str">
        <x:v>c89c2b159dd9</x:v>
      </x:c>
      <x:c r="B1124" t="n">
        <x:v>2025</x:v>
      </x:c>
      <x:c r="C1124" t="str">
        <x:v>Sykehjem</x:v>
      </x:c>
      <x:c r="D1124" t="str">
        <x:v>F</x:v>
      </x:c>
      <x:c r="E1124" t="n">
        <x:v>1969</x:v>
      </x:c>
      <x:c r="F1124" t="n">
        <x:v>362.26</x:v>
      </x:c>
      <x:c r="G1124" t="str">
        <x:v>Advanced</x:v>
      </x:c>
      <x:c r="H1124" t="str"/>
      <x:c r="I1124" t="str">
        <x:v>Årlig beregnet, ikke målt</x:v>
      </x:c>
      <x:c r="J1124" t="str">
        <x:v>01012025_17082025_2025.csv</x:v>
      </x:c>
    </x:row>
    <x:row r="1125" ht="22" customHeight="1">
      <x:c r="A1125" t="str">
        <x:v>86af52f10fff</x:v>
      </x:c>
      <x:c r="B1125" t="n">
        <x:v>2025</x:v>
      </x:c>
      <x:c r="C1125" t="str">
        <x:v>Sykehjem</x:v>
      </x:c>
      <x:c r="D1125" t="str">
        <x:v>F</x:v>
      </x:c>
      <x:c r="E1125" t="n">
        <x:v>1958</x:v>
      </x:c>
      <x:c r="F1125" t="n">
        <x:v>431.7</x:v>
      </x:c>
      <x:c r="G1125" t="str">
        <x:v>Advanced</x:v>
      </x:c>
      <x:c r="H1125" t="str"/>
      <x:c r="I1125" t="str">
        <x:v>Årlig beregnet, ikke målt</x:v>
      </x:c>
      <x:c r="J1125" t="str">
        <x:v>01012025_17082025_2025.csv</x:v>
      </x:c>
    </x:row>
    <x:row r="1126" ht="22" customHeight="1">
      <x:c r="A1126" t="str">
        <x:v>05383f8cd7d4</x:v>
      </x:c>
      <x:c r="B1126" t="n">
        <x:v>2025</x:v>
      </x:c>
      <x:c r="C1126" t="str">
        <x:v>Sykehjem</x:v>
      </x:c>
      <x:c r="D1126" t="str">
        <x:v>F</x:v>
      </x:c>
      <x:c r="E1126" t="n">
        <x:v>1991</x:v>
      </x:c>
      <x:c r="F1126" t="n">
        <x:v>432.1</x:v>
      </x:c>
      <x:c r="G1126" t="str">
        <x:v>Advanced</x:v>
      </x:c>
      <x:c r="H1126" t="str"/>
      <x:c r="I1126" t="str">
        <x:v>Årlig beregnet, ikke målt</x:v>
      </x:c>
      <x:c r="J1126" t="str">
        <x:v>01012025_17082025_2025.csv</x:v>
      </x:c>
    </x:row>
    <x:row r="1127" ht="22" customHeight="1">
      <x:c r="A1127" t="str">
        <x:v>777d671e340c</x:v>
      </x:c>
      <x:c r="B1127" t="n">
        <x:v>2025</x:v>
      </x:c>
      <x:c r="C1127" t="str">
        <x:v>Sykehjem</x:v>
      </x:c>
      <x:c r="D1127" t="str">
        <x:v>F</x:v>
      </x:c>
      <x:c r="E1127" t="n">
        <x:v>1969</x:v>
      </x:c>
      <x:c r="F1127" t="n">
        <x:v>362.26</x:v>
      </x:c>
      <x:c r="G1127" t="str">
        <x:v>Advanced</x:v>
      </x:c>
      <x:c r="H1127" t="str"/>
      <x:c r="I1127" t="str">
        <x:v>Årlig beregnet, ikke målt</x:v>
      </x:c>
      <x:c r="J1127" t="str">
        <x:v>01012025_17082025_2025.csv</x:v>
      </x:c>
    </x:row>
    <x:row r="1128" ht="22" customHeight="1">
      <x:c r="A1128" t="str">
        <x:v>6b6d48910405</x:v>
      </x:c>
      <x:c r="B1128" t="n">
        <x:v>2025</x:v>
      </x:c>
      <x:c r="C1128" t="str">
        <x:v>Sykehjem</x:v>
      </x:c>
      <x:c r="D1128" t="str">
        <x:v>G</x:v>
      </x:c>
      <x:c r="E1128" t="n">
        <x:v>2000</x:v>
      </x:c>
      <x:c r="F1128" t="n">
        <x:v>469.9</x:v>
      </x:c>
      <x:c r="G1128" t="str">
        <x:v>Advanced</x:v>
      </x:c>
      <x:c r="H1128" t="str"/>
      <x:c r="I1128" t="str">
        <x:v>Årlig beregnet, ikke målt</x:v>
      </x:c>
      <x:c r="J1128" t="str">
        <x:v>01012025_17082025_2025.csv</x:v>
      </x:c>
    </x:row>
    <x:row r="1129" ht="22" customHeight="1">
      <x:c r="A1129" t="str">
        <x:v>4a80f82f9695</x:v>
      </x:c>
      <x:c r="B1129" t="n">
        <x:v>2025</x:v>
      </x:c>
      <x:c r="C1129" t="str">
        <x:v>Sykehjem</x:v>
      </x:c>
      <x:c r="D1129" t="str">
        <x:v>G</x:v>
      </x:c>
      <x:c r="E1129" t="n">
        <x:v>1998</x:v>
      </x:c>
      <x:c r="F1129" t="n">
        <x:v>505.4</x:v>
      </x:c>
      <x:c r="G1129" t="str">
        <x:v>Advanced</x:v>
      </x:c>
      <x:c r="H1129" t="str"/>
      <x:c r="I1129" t="str">
        <x:v>Årlig beregnet, ikke målt</x:v>
      </x:c>
      <x:c r="J1129" t="str">
        <x:v>01012025_17082025_2025.csv</x:v>
      </x:c>
    </x:row>
    <x:row r="1130" ht="22" customHeight="1">
      <x:c r="A1130" t="str">
        <x:v>5a08987f9057</x:v>
      </x:c>
      <x:c r="B1130" t="n">
        <x:v>2025</x:v>
      </x:c>
      <x:c r="C1130" t="str">
        <x:v>Sykehjem</x:v>
      </x:c>
      <x:c r="D1130" t="str">
        <x:v>G</x:v>
      </x:c>
      <x:c r="E1130" t="n">
        <x:v>1977</x:v>
      </x:c>
      <x:c r="F1130" t="n">
        <x:v>642.55</x:v>
      </x:c>
      <x:c r="G1130" t="str">
        <x:v>Advanced</x:v>
      </x:c>
      <x:c r="H1130" t="str"/>
      <x:c r="I1130" t="str">
        <x:v>Årlig beregnet, ikke målt</x:v>
      </x:c>
      <x:c r="J1130" t="str">
        <x:v>01012025_17082025_2025.csv</x:v>
      </x:c>
    </x:row>
    <x:row r="1131" ht="22" customHeight="1">
      <x:c r="A1131" t="str">
        <x:v>25677dd393f7</x:v>
      </x:c>
      <x:c r="B1131" t="n">
        <x:v>2025</x:v>
      </x:c>
      <x:c r="C1131" t="str">
        <x:v>Sykehjem</x:v>
      </x:c>
      <x:c r="D1131" t="str">
        <x:v>G</x:v>
      </x:c>
      <x:c r="E1131" t="n">
        <x:v>1977</x:v>
      </x:c>
      <x:c r="F1131" t="n">
        <x:v>642.55</x:v>
      </x:c>
      <x:c r="G1131" t="str">
        <x:v>Advanced</x:v>
      </x:c>
      <x:c r="H1131" t="str"/>
      <x:c r="I1131" t="str">
        <x:v>Årlig beregnet, ikke målt</x:v>
      </x:c>
      <x:c r="J1131" t="str">
        <x:v>01012025_17082025_2025.csv</x:v>
      </x:c>
    </x:row>
    <x:row r="1132" ht="22" customHeight="1">
      <x:c r="A1132" t="str">
        <x:v>58f7b6e25e57</x:v>
      </x:c>
      <x:c r="B1132" t="n">
        <x:v>2025</x:v>
      </x:c>
      <x:c r="C1132" t="str">
        <x:v>Sykehjem</x:v>
      </x:c>
      <x:c r="D1132" t="str">
        <x:v>G</x:v>
      </x:c>
      <x:c r="E1132" t="n">
        <x:v>1998</x:v>
      </x:c>
      <x:c r="F1132" t="n">
        <x:v>505.4</x:v>
      </x:c>
      <x:c r="G1132" t="str">
        <x:v>Advanced</x:v>
      </x:c>
      <x:c r="H1132" t="str"/>
      <x:c r="I1132" t="str">
        <x:v>Årlig beregnet, ikke målt</x:v>
      </x:c>
      <x:c r="J1132" t="str">
        <x:v>01012025_17082025_2025.csv</x:v>
      </x:c>
    </x:row>
    <x:row r="1133" ht="22" customHeight="1">
      <x:c r="A1133" t="str">
        <x:v>817397f0183e</x:v>
      </x:c>
      <x:c r="B1133" t="n">
        <x:v>2025</x:v>
      </x:c>
      <x:c r="C1133" t="str">
        <x:v>Sykehus</x:v>
      </x:c>
      <x:c r="D1133" t="str">
        <x:v>B</x:v>
      </x:c>
      <x:c r="E1133" t="n">
        <x:v>2011</x:v>
      </x:c>
      <x:c r="F1133" t="n">
        <x:v>216.39</x:v>
      </x:c>
      <x:c r="G1133" t="str">
        <x:v>Advanced</x:v>
      </x:c>
      <x:c r="H1133" t="str"/>
      <x:c r="I1133" t="str">
        <x:v>Årlig beregnet, ikke målt</x:v>
      </x:c>
      <x:c r="J1133" t="str">
        <x:v>01012025_17082025_2025.csv</x:v>
      </x:c>
    </x:row>
    <x:row r="1134" ht="22" customHeight="1">
      <x:c r="A1134" t="str">
        <x:v>385d73b76f0c</x:v>
      </x:c>
      <x:c r="B1134" t="n">
        <x:v>2025</x:v>
      </x:c>
      <x:c r="C1134" t="str">
        <x:v>Sykehus</x:v>
      </x:c>
      <x:c r="D1134" t="str">
        <x:v>B</x:v>
      </x:c>
      <x:c r="E1134" t="n">
        <x:v>2013</x:v>
      </x:c>
      <x:c r="F1134" t="n">
        <x:v>220.42</x:v>
      </x:c>
      <x:c r="G1134" t="str">
        <x:v>Advanced</x:v>
      </x:c>
      <x:c r="H1134" t="str"/>
      <x:c r="I1134" t="str">
        <x:v>Årlig beregnet, ikke målt</x:v>
      </x:c>
      <x:c r="J1134" t="str">
        <x:v>01012025_17082025_2025.csv</x:v>
      </x:c>
    </x:row>
    <x:row r="1135" ht="22" customHeight="1">
      <x:c r="A1135" t="str">
        <x:v>865434c207ed</x:v>
      </x:c>
      <x:c r="B1135" t="n">
        <x:v>2025</x:v>
      </x:c>
      <x:c r="C1135" t="str">
        <x:v>Sykehus</x:v>
      </x:c>
      <x:c r="D1135" t="str">
        <x:v>B</x:v>
      </x:c>
      <x:c r="E1135" t="n">
        <x:v>2021</x:v>
      </x:c>
      <x:c r="F1135" t="n">
        <x:v>194.19</x:v>
      </x:c>
      <x:c r="G1135" t="str">
        <x:v>Advanced</x:v>
      </x:c>
      <x:c r="H1135" t="str"/>
      <x:c r="I1135" t="str">
        <x:v>Årlig beregnet, ikke målt</x:v>
      </x:c>
      <x:c r="J1135" t="str">
        <x:v>01012025_17082025_2025.csv</x:v>
      </x:c>
    </x:row>
    <x:row r="1136" ht="22" customHeight="1">
      <x:c r="A1136" t="str">
        <x:v>a2bc4a0e565e</x:v>
      </x:c>
      <x:c r="B1136" t="n">
        <x:v>2025</x:v>
      </x:c>
      <x:c r="C1136" t="str">
        <x:v>Sykehus</x:v>
      </x:c>
      <x:c r="D1136" t="str">
        <x:v>B</x:v>
      </x:c>
      <x:c r="E1136" t="n">
        <x:v>2018</x:v>
      </x:c>
      <x:c r="F1136" t="n">
        <x:v>239.82</x:v>
      </x:c>
      <x:c r="G1136" t="str">
        <x:v>Advanced</x:v>
      </x:c>
      <x:c r="H1136" t="str"/>
      <x:c r="I1136" t="str">
        <x:v>Årlig beregnet, ikke målt</x:v>
      </x:c>
      <x:c r="J1136" t="str">
        <x:v>01012025_17082025_2025.csv</x:v>
      </x:c>
    </x:row>
    <x:row r="1137" ht="22" customHeight="1">
      <x:c r="A1137" t="str">
        <x:v>3487bd8cd88e</x:v>
      </x:c>
      <x:c r="B1137" t="n">
        <x:v>2025</x:v>
      </x:c>
      <x:c r="C1137" t="str">
        <x:v>Sykehus</x:v>
      </x:c>
      <x:c r="D1137" t="str">
        <x:v>C</x:v>
      </x:c>
      <x:c r="E1137" t="n">
        <x:v>1978</x:v>
      </x:c>
      <x:c r="F1137" t="n">
        <x:v>296.1</x:v>
      </x:c>
      <x:c r="G1137" t="str">
        <x:v>Advanced</x:v>
      </x:c>
      <x:c r="H1137" t="str"/>
      <x:c r="I1137" t="str">
        <x:v>Årlig beregnet, ikke målt</x:v>
      </x:c>
      <x:c r="J1137" t="str">
        <x:v>01012025_17082025_2025.csv</x:v>
      </x:c>
    </x:row>
    <x:row r="1138" ht="22" customHeight="1">
      <x:c r="A1138" t="str">
        <x:v>37761fbffed7</x:v>
      </x:c>
      <x:c r="B1138" t="n">
        <x:v>2025</x:v>
      </x:c>
      <x:c r="C1138" t="str">
        <x:v>Sykehus</x:v>
      </x:c>
      <x:c r="D1138" t="str">
        <x:v>C</x:v>
      </x:c>
      <x:c r="E1138" t="n">
        <x:v>2000</x:v>
      </x:c>
      <x:c r="F1138" t="n">
        <x:v>285.71</x:v>
      </x:c>
      <x:c r="G1138" t="str">
        <x:v>Advanced</x:v>
      </x:c>
      <x:c r="H1138" t="str"/>
      <x:c r="I1138" t="str">
        <x:v>Årlig beregnet, ikke målt</x:v>
      </x:c>
      <x:c r="J1138" t="str">
        <x:v>01012025_17082025_2025.csv</x:v>
      </x:c>
    </x:row>
    <x:row r="1139" ht="22" customHeight="1">
      <x:c r="A1139" t="str">
        <x:v>57270f34f332</x:v>
      </x:c>
      <x:c r="B1139" t="n">
        <x:v>2025</x:v>
      </x:c>
      <x:c r="C1139" t="str">
        <x:v>Sykehus</x:v>
      </x:c>
      <x:c r="D1139" t="str">
        <x:v>C</x:v>
      </x:c>
      <x:c r="E1139" t="n">
        <x:v>1950</x:v>
      </x:c>
      <x:c r="F1139" t="n">
        <x:v>247.05</x:v>
      </x:c>
      <x:c r="G1139" t="str">
        <x:v>Advanced</x:v>
      </x:c>
      <x:c r="H1139" t="str"/>
      <x:c r="I1139" t="str">
        <x:v>Årlig beregnet, ikke målt</x:v>
      </x:c>
      <x:c r="J1139" t="str">
        <x:v>01012025_17082025_2025.csv</x:v>
      </x:c>
    </x:row>
    <x:row r="1140" ht="22" customHeight="1">
      <x:c r="A1140" t="str">
        <x:v>c5c33975fb8b</x:v>
      </x:c>
      <x:c r="B1140" t="n">
        <x:v>2025</x:v>
      </x:c>
      <x:c r="C1140" t="str">
        <x:v>Sykehus</x:v>
      </x:c>
      <x:c r="D1140" t="str">
        <x:v>D</x:v>
      </x:c>
      <x:c r="E1140" t="n">
        <x:v>2000</x:v>
      </x:c>
      <x:c r="F1140" t="n">
        <x:v>320.05</x:v>
      </x:c>
      <x:c r="G1140" t="str">
        <x:v>Advanced</x:v>
      </x:c>
      <x:c r="H1140" t="str"/>
      <x:c r="I1140" t="str">
        <x:v>Årlig beregnet, ikke målt</x:v>
      </x:c>
      <x:c r="J1140" t="str">
        <x:v>01012025_17082025_2025.csv</x:v>
      </x:c>
    </x:row>
    <x:row r="1141" ht="22" customHeight="1">
      <x:c r="A1141" t="str">
        <x:v>a1e67294717b</x:v>
      </x:c>
      <x:c r="B1141" t="n">
        <x:v>2025</x:v>
      </x:c>
      <x:c r="C1141" t="str">
        <x:v>Sykehus</x:v>
      </x:c>
      <x:c r="D1141" t="str">
        <x:v>F</x:v>
      </x:c>
      <x:c r="E1141" t="n">
        <x:v>1971</x:v>
      </x:c>
      <x:c r="F1141" t="n">
        <x:v>489.41</x:v>
      </x:c>
      <x:c r="G1141" t="str">
        <x:v>Advanced</x:v>
      </x:c>
      <x:c r="H1141" t="str"/>
      <x:c r="I1141" t="str">
        <x:v>Årlig beregnet, ikke målt</x:v>
      </x:c>
      <x:c r="J1141" t="str">
        <x:v>01012025_17082025_2025.csv</x:v>
      </x:c>
    </x:row>
    <x:row r="1142" ht="22" customHeight="1">
      <x:c r="A1142" t="str">
        <x:v>f03499cfb0f8</x:v>
      </x:c>
      <x:c r="B1142" t="n">
        <x:v>2025</x:v>
      </x:c>
      <x:c r="C1142" t="str">
        <x:v>Sykehus</x:v>
      </x:c>
      <x:c r="D1142" t="str">
        <x:v>F</x:v>
      </x:c>
      <x:c r="E1142" t="n">
        <x:v>1964</x:v>
      </x:c>
      <x:c r="F1142" t="n">
        <x:v>454.56</x:v>
      </x:c>
      <x:c r="G1142" t="str">
        <x:v>Advanced</x:v>
      </x:c>
      <x:c r="H1142" t="str"/>
      <x:c r="I1142" t="str">
        <x:v>Årlig beregnet, ikke målt</x:v>
      </x:c>
      <x:c r="J1142" t="str">
        <x:v>01012025_17082025_2025.csv</x:v>
      </x:c>
    </x:row>
    <x:row r="1143" ht="22" customHeight="1">
      <x:c r="A1143" t="str">
        <x:v>999cbd96a817</x:v>
      </x:c>
      <x:c r="B1143" t="n">
        <x:v>2025</x:v>
      </x:c>
      <x:c r="C1143" t="str">
        <x:v>Sykehus</x:v>
      </x:c>
      <x:c r="D1143" t="str">
        <x:v>F</x:v>
      </x:c>
      <x:c r="E1143" t="n">
        <x:v>1964</x:v>
      </x:c>
      <x:c r="F1143" t="n">
        <x:v>461.47</x:v>
      </x:c>
      <x:c r="G1143" t="str">
        <x:v>Advanced</x:v>
      </x:c>
      <x:c r="H1143" t="str"/>
      <x:c r="I1143" t="str">
        <x:v>Årlig beregnet, ikke målt</x:v>
      </x:c>
      <x:c r="J1143" t="str">
        <x:v>01012025_17082025_2025.csv</x:v>
      </x:c>
    </x:row>
    <x:row r="1144" ht="22" customHeight="1">
      <x:c r="A1144" t="str">
        <x:v>c18f1df938ea</x:v>
      </x:c>
      <x:c r="B1144" t="n">
        <x:v>2025</x:v>
      </x:c>
      <x:c r="C1144" t="str">
        <x:v>Sykehus</x:v>
      </x:c>
      <x:c r="D1144" t="str">
        <x:v>F</x:v>
      </x:c>
      <x:c r="E1144" t="n">
        <x:v>1964</x:v>
      </x:c>
      <x:c r="F1144" t="n">
        <x:v>461.47</x:v>
      </x:c>
      <x:c r="G1144" t="str">
        <x:v>Advanced</x:v>
      </x:c>
      <x:c r="H1144" t="str"/>
      <x:c r="I1144" t="str">
        <x:v>Årlig beregnet, ikke målt</x:v>
      </x:c>
      <x:c r="J1144" t="str">
        <x:v>01012025_17082025_2025.csv</x:v>
      </x:c>
    </x:row>
    <x:row r="1145" ht="22" customHeight="1">
      <x:c r="A1145" t="str">
        <x:v>46c4dd0efd30</x:v>
      </x:c>
      <x:c r="B1145" t="n">
        <x:v>2025</x:v>
      </x:c>
      <x:c r="C1145" t="str">
        <x:v>Universitets- Og Høgskolebygg</x:v>
      </x:c>
      <x:c r="D1145" t="str">
        <x:v>B</x:v>
      </x:c>
      <x:c r="E1145" t="n">
        <x:v>2015</x:v>
      </x:c>
      <x:c r="F1145" t="n">
        <x:v>91.9</x:v>
      </x:c>
      <x:c r="G1145" t="str">
        <x:v>Advanced</x:v>
      </x:c>
      <x:c r="H1145" t="str"/>
      <x:c r="I1145" t="str">
        <x:v>Årlig beregnet, ikke målt</x:v>
      </x:c>
      <x:c r="J1145" t="str">
        <x:v>01012025_17082025_2025.csv</x:v>
      </x:c>
    </x:row>
    <x:row r="1146" ht="22" customHeight="1">
      <x:c r="A1146" t="str">
        <x:v>bad030119341</x:v>
      </x:c>
      <x:c r="B1146" t="n">
        <x:v>2025</x:v>
      </x:c>
      <x:c r="C1146" t="str">
        <x:v>Universitets- Og Høgskolebygg</x:v>
      </x:c>
      <x:c r="D1146" t="str">
        <x:v>B</x:v>
      </x:c>
      <x:c r="E1146" t="n">
        <x:v>2014</x:v>
      </x:c>
      <x:c r="F1146" t="n">
        <x:v>123.27</x:v>
      </x:c>
      <x:c r="G1146" t="str">
        <x:v>Advanced</x:v>
      </x:c>
      <x:c r="H1146" t="str"/>
      <x:c r="I1146" t="str">
        <x:v>Årlig beregnet, ikke målt</x:v>
      </x:c>
      <x:c r="J1146" t="str">
        <x:v>01012025_17082025_2025.csv</x:v>
      </x:c>
    </x:row>
    <x:row r="1147" ht="22" customHeight="1">
      <x:c r="A1147" t="str">
        <x:v>a1b6d028567a</x:v>
      </x:c>
      <x:c r="B1147" t="n">
        <x:v>2025</x:v>
      </x:c>
      <x:c r="C1147" t="str">
        <x:v>Universitets- Og Høgskolebygg</x:v>
      </x:c>
      <x:c r="D1147" t="str">
        <x:v>B</x:v>
      </x:c>
      <x:c r="E1147" t="n">
        <x:v>2014</x:v>
      </x:c>
      <x:c r="F1147" t="n">
        <x:v>123.27</x:v>
      </x:c>
      <x:c r="G1147" t="str">
        <x:v>Advanced</x:v>
      </x:c>
      <x:c r="H1147" t="str"/>
      <x:c r="I1147" t="str">
        <x:v>Årlig beregnet, ikke målt</x:v>
      </x:c>
      <x:c r="J1147" t="str">
        <x:v>01012025_17082025_2025.csv</x:v>
      </x:c>
    </x:row>
    <x:row r="1148" ht="22" customHeight="1">
      <x:c r="A1148" t="str">
        <x:v>0f4c73d3e81f</x:v>
      </x:c>
      <x:c r="B1148" t="n">
        <x:v>2025</x:v>
      </x:c>
      <x:c r="C1148" t="str">
        <x:v>Universitets- Og Høgskolebygg</x:v>
      </x:c>
      <x:c r="D1148" t="str">
        <x:v>B</x:v>
      </x:c>
      <x:c r="E1148" t="n">
        <x:v>1989</x:v>
      </x:c>
      <x:c r="F1148" t="n">
        <x:v>124.56</x:v>
      </x:c>
      <x:c r="G1148" t="str">
        <x:v>Advanced</x:v>
      </x:c>
      <x:c r="H1148" t="str"/>
      <x:c r="I1148" t="str">
        <x:v>Årlig beregnet, ikke målt</x:v>
      </x:c>
      <x:c r="J1148" t="str">
        <x:v>01012025_17082025_2025.csv</x:v>
      </x:c>
    </x:row>
    <x:row r="1149" ht="22" customHeight="1">
      <x:c r="A1149" t="str">
        <x:v>698f5f2fb5c5</x:v>
      </x:c>
      <x:c r="B1149" t="n">
        <x:v>2025</x:v>
      </x:c>
      <x:c r="C1149" t="str">
        <x:v>Universitets- Og Høgskolebygg</x:v>
      </x:c>
      <x:c r="D1149" t="str">
        <x:v>C</x:v>
      </x:c>
      <x:c r="E1149" t="n">
        <x:v>1993</x:v>
      </x:c>
      <x:c r="F1149" t="n">
        <x:v>153.07</x:v>
      </x:c>
      <x:c r="G1149" t="str">
        <x:v>Advanced</x:v>
      </x:c>
      <x:c r="H1149" t="str"/>
      <x:c r="I1149" t="str">
        <x:v>Årlig beregnet, ikke målt</x:v>
      </x:c>
      <x:c r="J1149" t="str">
        <x:v>01012025_17082025_2025.csv</x:v>
      </x:c>
    </x:row>
    <x:row r="1150" ht="22" customHeight="1">
      <x:c r="A1150" t="str">
        <x:v>adc10f4a6085</x:v>
      </x:c>
      <x:c r="B1150" t="n">
        <x:v>2025</x:v>
      </x:c>
      <x:c r="C1150" t="str">
        <x:v>Universitets- Og Høgskolebygg</x:v>
      </x:c>
      <x:c r="D1150" t="str">
        <x:v>C</x:v>
      </x:c>
      <x:c r="E1150" t="n">
        <x:v>1900</x:v>
      </x:c>
      <x:c r="F1150" t="n">
        <x:v>152.72</x:v>
      </x:c>
      <x:c r="G1150" t="str">
        <x:v>Advanced</x:v>
      </x:c>
      <x:c r="H1150" t="str"/>
      <x:c r="I1150" t="str">
        <x:v>Årlig beregnet, ikke målt</x:v>
      </x:c>
      <x:c r="J1150" t="str">
        <x:v>01012025_17082025_2025.csv</x:v>
      </x:c>
    </x:row>
    <x:row r="1151" ht="22" customHeight="1">
      <x:c r="A1151" t="str">
        <x:v>f6c77b978940</x:v>
      </x:c>
      <x:c r="B1151" t="n">
        <x:v>2025</x:v>
      </x:c>
      <x:c r="C1151" t="str">
        <x:v>Universitets- Og Høgskolebygg</x:v>
      </x:c>
      <x:c r="D1151" t="str">
        <x:v>C</x:v>
      </x:c>
      <x:c r="E1151" t="n">
        <x:v>1995</x:v>
      </x:c>
      <x:c r="F1151" t="n">
        <x:v>141.46</x:v>
      </x:c>
      <x:c r="G1151" t="str">
        <x:v>Advanced</x:v>
      </x:c>
      <x:c r="H1151" t="str"/>
      <x:c r="I1151" t="str">
        <x:v>Årlig beregnet, ikke målt</x:v>
      </x:c>
      <x:c r="J1151" t="str">
        <x:v>01012025_17082025_2025.csv</x:v>
      </x:c>
    </x:row>
    <x:row r="1152" ht="22" customHeight="1">
      <x:c r="A1152" t="str">
        <x:v>710d6cb24909</x:v>
      </x:c>
      <x:c r="B1152" t="n">
        <x:v>2025</x:v>
      </x:c>
      <x:c r="C1152" t="str">
        <x:v>Universitets- Og Høgskolebygg</x:v>
      </x:c>
      <x:c r="D1152" t="str">
        <x:v>C</x:v>
      </x:c>
      <x:c r="E1152" t="n">
        <x:v>2011</x:v>
      </x:c>
      <x:c r="F1152" t="n">
        <x:v>148.04</x:v>
      </x:c>
      <x:c r="G1152" t="str">
        <x:v>Advanced</x:v>
      </x:c>
      <x:c r="H1152" t="str"/>
      <x:c r="I1152" t="str">
        <x:v>Årlig beregnet, ikke målt</x:v>
      </x:c>
      <x:c r="J1152" t="str">
        <x:v>01012025_17082025_2025.csv</x:v>
      </x:c>
    </x:row>
    <x:row r="1153" ht="22" customHeight="1">
      <x:c r="A1153" t="str">
        <x:v>f1532acf1cf8</x:v>
      </x:c>
      <x:c r="B1153" t="n">
        <x:v>2025</x:v>
      </x:c>
      <x:c r="C1153" t="str">
        <x:v>Universitets- Og Høgskolebygg</x:v>
      </x:c>
      <x:c r="D1153" t="str">
        <x:v>C</x:v>
      </x:c>
      <x:c r="E1153" t="n">
        <x:v>2022</x:v>
      </x:c>
      <x:c r="F1153" t="n">
        <x:v>130.41</x:v>
      </x:c>
      <x:c r="G1153" t="str">
        <x:v>Advanced</x:v>
      </x:c>
      <x:c r="H1153" t="str"/>
      <x:c r="I1153" t="str">
        <x:v>Årlig beregnet, ikke målt</x:v>
      </x:c>
      <x:c r="J1153" t="str">
        <x:v>01012025_17082025_2025.csv</x:v>
      </x:c>
    </x:row>
    <x:row r="1154" ht="22" customHeight="1">
      <x:c r="A1154" t="str">
        <x:v>ebf75148c4a3</x:v>
      </x:c>
      <x:c r="B1154" t="n">
        <x:v>2025</x:v>
      </x:c>
      <x:c r="C1154" t="str">
        <x:v>Universitets- Og Høgskolebygg</x:v>
      </x:c>
      <x:c r="D1154" t="str">
        <x:v>D</x:v>
      </x:c>
      <x:c r="E1154" t="n">
        <x:v>1989</x:v>
      </x:c>
      <x:c r="F1154" t="n">
        <x:v>174.35</x:v>
      </x:c>
      <x:c r="G1154" t="str">
        <x:v>Advanced</x:v>
      </x:c>
      <x:c r="H1154" t="str"/>
      <x:c r="I1154" t="str">
        <x:v>Årlig beregnet, ikke målt</x:v>
      </x:c>
      <x:c r="J1154" t="str">
        <x:v>01012025_17082025_2025.csv</x:v>
      </x:c>
    </x:row>
    <x:row r="1155" ht="22" customHeight="1">
      <x:c r="A1155" t="str">
        <x:v>028b88d78de8</x:v>
      </x:c>
      <x:c r="B1155" t="n">
        <x:v>2025</x:v>
      </x:c>
      <x:c r="C1155" t="str">
        <x:v>Universitets- Og Høgskolebygg</x:v>
      </x:c>
      <x:c r="D1155" t="str">
        <x:v>D</x:v>
      </x:c>
      <x:c r="E1155" t="n">
        <x:v>1989</x:v>
      </x:c>
      <x:c r="F1155" t="n">
        <x:v>187.56</x:v>
      </x:c>
      <x:c r="G1155" t="str">
        <x:v>Advanced</x:v>
      </x:c>
      <x:c r="H1155" t="str"/>
      <x:c r="I1155" t="str">
        <x:v>Årlig beregnet, ikke målt</x:v>
      </x:c>
      <x:c r="J1155" t="str">
        <x:v>01012025_17082025_2025.csv</x:v>
      </x:c>
    </x:row>
    <x:row r="1156" ht="22" customHeight="1">
      <x:c r="A1156" t="str">
        <x:v>abe8b11bf90c</x:v>
      </x:c>
      <x:c r="B1156" t="n">
        <x:v>2025</x:v>
      </x:c>
      <x:c r="C1156" t="str">
        <x:v>Universitets- Og Høgskolebygg</x:v>
      </x:c>
      <x:c r="D1156" t="str">
        <x:v>D</x:v>
      </x:c>
      <x:c r="E1156" t="n">
        <x:v>2013</x:v>
      </x:c>
      <x:c r="F1156" t="n">
        <x:v>181.68</x:v>
      </x:c>
      <x:c r="G1156" t="str">
        <x:v>Advanced</x:v>
      </x:c>
      <x:c r="H1156" t="str"/>
      <x:c r="I1156" t="str">
        <x:v>Årlig beregnet, ikke målt</x:v>
      </x:c>
      <x:c r="J1156" t="str">
        <x:v>01012025_17082025_2025.csv</x:v>
      </x:c>
    </x:row>
    <x:row r="1157" ht="22" customHeight="1">
      <x:c r="A1157" t="str">
        <x:v>b9b9575ff8d9</x:v>
      </x:c>
      <x:c r="B1157" t="n">
        <x:v>2025</x:v>
      </x:c>
      <x:c r="C1157" t="str">
        <x:v>Universitets- Og Høgskolebygg</x:v>
      </x:c>
      <x:c r="D1157" t="str">
        <x:v>D</x:v>
      </x:c>
      <x:c r="E1157" t="n">
        <x:v>1966</x:v>
      </x:c>
      <x:c r="F1157" t="n">
        <x:v>183.7</x:v>
      </x:c>
      <x:c r="G1157" t="str">
        <x:v>Advanced</x:v>
      </x:c>
      <x:c r="H1157" t="str"/>
      <x:c r="I1157" t="str">
        <x:v>Årlig beregnet, ikke målt</x:v>
      </x:c>
      <x:c r="J1157" t="str">
        <x:v>01012025_17082025_2025.csv</x:v>
      </x:c>
    </x:row>
    <x:row r="1158" ht="22" customHeight="1">
      <x:c r="A1158" t="str">
        <x:v>25b640ed4e60</x:v>
      </x:c>
      <x:c r="B1158" t="n">
        <x:v>2025</x:v>
      </x:c>
      <x:c r="C1158" t="str">
        <x:v>Universitets- Og Høgskolebygg</x:v>
      </x:c>
      <x:c r="D1158" t="str">
        <x:v>D</x:v>
      </x:c>
      <x:c r="E1158" t="n">
        <x:v>1998</x:v>
      </x:c>
      <x:c r="F1158" t="n">
        <x:v>167.62</x:v>
      </x:c>
      <x:c r="G1158" t="str">
        <x:v>Advanced</x:v>
      </x:c>
      <x:c r="H1158" t="str"/>
      <x:c r="I1158" t="str">
        <x:v>Årlig beregnet, ikke målt</x:v>
      </x:c>
      <x:c r="J1158" t="str">
        <x:v>01012025_17082025_2025.csv</x:v>
      </x:c>
    </x:row>
    <x:row r="1159" ht="22" customHeight="1">
      <x:c r="A1159" t="str">
        <x:v>5bf3f77ec4d3</x:v>
      </x:c>
      <x:c r="B1159" t="n">
        <x:v>2025</x:v>
      </x:c>
      <x:c r="C1159" t="str">
        <x:v>Universitets- Og Høgskolebygg</x:v>
      </x:c>
      <x:c r="D1159" t="str">
        <x:v>E</x:v>
      </x:c>
      <x:c r="E1159" t="n">
        <x:v>2009</x:v>
      </x:c>
      <x:c r="F1159" t="n">
        <x:v>226.71</x:v>
      </x:c>
      <x:c r="G1159" t="str">
        <x:v>Advanced</x:v>
      </x:c>
      <x:c r="H1159" t="str"/>
      <x:c r="I1159" t="str">
        <x:v>Årlig beregnet, ikke målt</x:v>
      </x:c>
      <x:c r="J1159" t="str">
        <x:v>01012025_17082025_2025.csv</x:v>
      </x:c>
    </x:row>
    <x:row r="1160" ht="22" customHeight="1">
      <x:c r="A1160" t="str">
        <x:v>683c2fcc2e2c</x:v>
      </x:c>
      <x:c r="B1160" t="n">
        <x:v>2025</x:v>
      </x:c>
      <x:c r="C1160" t="str">
        <x:v>Universitets- Og Høgskolebygg</x:v>
      </x:c>
      <x:c r="D1160" t="str">
        <x:v>E</x:v>
      </x:c>
      <x:c r="E1160" t="n">
        <x:v>2009</x:v>
      </x:c>
      <x:c r="F1160" t="n">
        <x:v>226.71</x:v>
      </x:c>
      <x:c r="G1160" t="str">
        <x:v>Advanced</x:v>
      </x:c>
      <x:c r="H1160" t="str"/>
      <x:c r="I1160" t="str">
        <x:v>Årlig beregnet, ikke målt</x:v>
      </x:c>
      <x:c r="J1160" t="str">
        <x:v>01012025_17082025_2025.csv</x:v>
      </x:c>
    </x:row>
    <x:row r="1161" ht="22" customHeight="1">
      <x:c r="A1161" t="str">
        <x:v>7087e4f61401</x:v>
      </x:c>
      <x:c r="B1161" t="n">
        <x:v>2025</x:v>
      </x:c>
      <x:c r="C1161" t="str">
        <x:v>Universitets- Og Høgskolebygg</x:v>
      </x:c>
      <x:c r="D1161" t="str">
        <x:v>E</x:v>
      </x:c>
      <x:c r="E1161" t="n">
        <x:v>1989</x:v>
      </x:c>
      <x:c r="F1161" t="n">
        <x:v>224.38</x:v>
      </x:c>
      <x:c r="G1161" t="str">
        <x:v>Advanced</x:v>
      </x:c>
      <x:c r="H1161" t="str"/>
      <x:c r="I1161" t="str">
        <x:v>Årlig beregnet, ikke målt</x:v>
      </x:c>
      <x:c r="J1161" t="str">
        <x:v>01012025_17082025_2025.csv</x:v>
      </x:c>
    </x:row>
    <x:row r="1162" ht="22" customHeight="1">
      <x:c r="A1162" t="str">
        <x:v>e48735294385</x:v>
      </x:c>
      <x:c r="B1162" t="n">
        <x:v>2025</x:v>
      </x:c>
      <x:c r="C1162" t="str">
        <x:v>Universitets- Og Høgskolebygg</x:v>
      </x:c>
      <x:c r="D1162" t="str">
        <x:v>E</x:v>
      </x:c>
      <x:c r="E1162" t="n">
        <x:v>1994</x:v>
      </x:c>
      <x:c r="F1162" t="n">
        <x:v>218.93</x:v>
      </x:c>
      <x:c r="G1162" t="str">
        <x:v>Advanced</x:v>
      </x:c>
      <x:c r="H1162" t="str"/>
      <x:c r="I1162" t="str">
        <x:v>Årlig beregnet, ikke målt</x:v>
      </x:c>
      <x:c r="J1162" t="str">
        <x:v>01012025_17082025_2025.csv</x:v>
      </x:c>
    </x:row>
    <x:row r="1163" ht="22" customHeight="1">
      <x:c r="A1163" t="str">
        <x:v>b71ab26fc425</x:v>
      </x:c>
      <x:c r="B1163" t="n">
        <x:v>2025</x:v>
      </x:c>
      <x:c r="C1163" t="str">
        <x:v>Universitets- Og Høgskolebygg</x:v>
      </x:c>
      <x:c r="D1163" t="str">
        <x:v>E</x:v>
      </x:c>
      <x:c r="E1163" t="n">
        <x:v>1963</x:v>
      </x:c>
      <x:c r="F1163" t="n">
        <x:v>226.53</x:v>
      </x:c>
      <x:c r="G1163" t="str">
        <x:v>Advanced</x:v>
      </x:c>
      <x:c r="H1163" t="str"/>
      <x:c r="I1163" t="str">
        <x:v>Årlig beregnet, ikke målt</x:v>
      </x:c>
      <x:c r="J1163" t="str">
        <x:v>01012025_17082025_2025.csv</x:v>
      </x:c>
    </x:row>
    <x:row r="1164" ht="22" customHeight="1">
      <x:c r="A1164" t="str">
        <x:v>f5f964fecbb3</x:v>
      </x:c>
      <x:c r="B1164" t="n">
        <x:v>2025</x:v>
      </x:c>
      <x:c r="C1164" t="str">
        <x:v>Universitets- Og Høgskolebygg</x:v>
      </x:c>
      <x:c r="D1164" t="str">
        <x:v>F</x:v>
      </x:c>
      <x:c r="E1164" t="n">
        <x:v>1929</x:v>
      </x:c>
      <x:c r="F1164" t="n">
        <x:v>272.32</x:v>
      </x:c>
      <x:c r="G1164" t="str">
        <x:v>Advanced</x:v>
      </x:c>
      <x:c r="H1164" t="str"/>
      <x:c r="I1164" t="str">
        <x:v>Årlig beregnet, ikke målt</x:v>
      </x:c>
      <x:c r="J1164" t="str">
        <x:v>01012025_17082025_2025.csv</x:v>
      </x:c>
    </x:row>
    <x:row r="1165" ht="22" customHeight="1">
      <x:c r="A1165" t="str">
        <x:v>d5a3fabcd2a8</x:v>
      </x:c>
      <x:c r="B1165" t="n">
        <x:v>2025</x:v>
      </x:c>
      <x:c r="C1165" t="str">
        <x:v>Universitets- Og Høgskolebygg</x:v>
      </x:c>
      <x:c r="D1165" t="str">
        <x:v>F</x:v>
      </x:c>
      <x:c r="E1165" t="n">
        <x:v>1980</x:v>
      </x:c>
      <x:c r="F1165" t="n">
        <x:v>249.27</x:v>
      </x:c>
      <x:c r="G1165" t="str">
        <x:v>Advanced</x:v>
      </x:c>
      <x:c r="H1165" t="str"/>
      <x:c r="I1165" t="str">
        <x:v>Årlig beregnet, ikke målt</x:v>
      </x:c>
      <x:c r="J1165" t="str">
        <x:v>01012025_17082025_2025.csv</x:v>
      </x:c>
    </x:row>
    <x:row r="1166" ht="22" customHeight="1">
      <x:c r="A1166" t="str">
        <x:v>f4fcd697c203</x:v>
      </x:c>
      <x:c r="B1166" t="n">
        <x:v>2025</x:v>
      </x:c>
      <x:c r="C1166" t="str">
        <x:v>Universitets- Og Høgskolebygg</x:v>
      </x:c>
      <x:c r="D1166" t="str">
        <x:v>F</x:v>
      </x:c>
      <x:c r="E1166" t="n">
        <x:v>1990</x:v>
      </x:c>
      <x:c r="F1166" t="n">
        <x:v>258.29</x:v>
      </x:c>
      <x:c r="G1166" t="str">
        <x:v>Advanced</x:v>
      </x:c>
      <x:c r="H1166" t="str"/>
      <x:c r="I1166" t="str">
        <x:v>Årlig beregnet, ikke målt</x:v>
      </x:c>
      <x:c r="J1166" t="str">
        <x:v>01012025_17082025_2025.csv</x:v>
      </x:c>
    </x:row>
    <x:row r="1167" ht="22" customHeight="1">
      <x:c r="A1167" t="str">
        <x:v>3def59b22b5e</x:v>
      </x:c>
      <x:c r="B1167" t="n">
        <x:v>2025</x:v>
      </x:c>
      <x:c r="C1167" t="str">
        <x:v>Universitets- Og Høgskolebygg</x:v>
      </x:c>
      <x:c r="D1167" t="str">
        <x:v>F</x:v>
      </x:c>
      <x:c r="E1167" t="n">
        <x:v>1960</x:v>
      </x:c>
      <x:c r="F1167" t="n">
        <x:v>279.12</x:v>
      </x:c>
      <x:c r="G1167" t="str">
        <x:v>Advanced</x:v>
      </x:c>
      <x:c r="H1167" t="str"/>
      <x:c r="I1167" t="str">
        <x:v>Årlig beregnet, ikke målt</x:v>
      </x:c>
      <x:c r="J1167" t="str">
        <x:v>01012025_17082025_2025.csv</x:v>
      </x:c>
    </x:row>
    <x:row r="1168" ht="22" customHeight="1">
      <x:c r="A1168" t="str">
        <x:v>d601e7247d2a</x:v>
      </x:c>
      <x:c r="B1168" t="n">
        <x:v>2025</x:v>
      </x:c>
      <x:c r="C1168" t="str">
        <x:v>Universitets- Og Høgskolebygg</x:v>
      </x:c>
      <x:c r="D1168" t="str">
        <x:v>F</x:v>
      </x:c>
      <x:c r="E1168" t="n">
        <x:v>1960</x:v>
      </x:c>
      <x:c r="F1168" t="n">
        <x:v>279.12</x:v>
      </x:c>
      <x:c r="G1168" t="str">
        <x:v>Advanced</x:v>
      </x:c>
      <x:c r="H1168" t="str"/>
      <x:c r="I1168" t="str">
        <x:v>Årlig beregnet, ikke målt</x:v>
      </x:c>
      <x:c r="J1168" t="str">
        <x:v>01012025_17082025_2025.csv</x:v>
      </x:c>
    </x:row>
    <x:row r="1169" ht="22" customHeight="1">
      <x:c r="A1169" t="str">
        <x:v>4ddc66298bb4</x:v>
      </x:c>
      <x:c r="B1169" t="n">
        <x:v>2025</x:v>
      </x:c>
      <x:c r="C1169" t="str">
        <x:v>Universitets- Og Høgskolebygg</x:v>
      </x:c>
      <x:c r="D1169" t="str">
        <x:v>G</x:v>
      </x:c>
      <x:c r="E1169" t="n">
        <x:v>2000</x:v>
      </x:c>
      <x:c r="F1169" t="n">
        <x:v>429.21</x:v>
      </x:c>
      <x:c r="G1169" t="str">
        <x:v>Advanced</x:v>
      </x:c>
      <x:c r="H1169" t="str"/>
      <x:c r="I1169" t="str">
        <x:v>Årlig beregnet, ikke målt</x:v>
      </x:c>
      <x:c r="J1169" t="str">
        <x:v>01012025_17082025_2025.csv</x:v>
      </x:c>
    </x:row>
    <x:row r="1170" ht="22" customHeight="1">
      <x:c r="A1170" t="str">
        <x:v>039660b689df</x:v>
      </x:c>
      <x:c r="B1170" t="n">
        <x:v>2025</x:v>
      </x:c>
      <x:c r="C1170" t="str">
        <x:v>Universitets- Og Høgskolebygg</x:v>
      </x:c>
      <x:c r="D1170" t="str">
        <x:v>G</x:v>
      </x:c>
      <x:c r="E1170" t="n">
        <x:v>1987</x:v>
      </x:c>
      <x:c r="F1170" t="n">
        <x:v>367.15</x:v>
      </x:c>
      <x:c r="G1170" t="str">
        <x:v>Advanced</x:v>
      </x:c>
      <x:c r="H1170" t="str"/>
      <x:c r="I1170" t="str">
        <x:v>Årlig beregnet, ikke målt</x:v>
      </x:c>
      <x:c r="J1170" t="str">
        <x:v>01012025_17082025_2025.csv</x:v>
      </x:c>
    </x:row>
    <x:row r="1171" ht="22" customHeight="1">
      <x:c r="A1171" t="str">
        <x:v>e04ef38c906a</x:v>
      </x:c>
      <x:c r="B1171" t="n">
        <x:v>2025</x:v>
      </x:c>
      <x:c r="C1171" t="str">
        <x:v>Universitets- Og Høgskolebygg</x:v>
      </x:c>
      <x:c r="D1171" t="str">
        <x:v>G</x:v>
      </x:c>
      <x:c r="E1171" t="n">
        <x:v>1910</x:v>
      </x:c>
      <x:c r="F1171" t="n">
        <x:v>351.71</x:v>
      </x:c>
      <x:c r="G1171" t="str">
        <x:v>Advanced</x:v>
      </x:c>
      <x:c r="H1171" t="str"/>
      <x:c r="I1171" t="str">
        <x:v>Årlig beregnet, ikke målt</x:v>
      </x:c>
      <x:c r="J1171" t="str">
        <x:v>01012025_17082025_2025.csv</x:v>
      </x:c>
    </x:row>
    <x:row r="1172" ht="22" customHeight="1">
      <x:c r="A1172" t="str">
        <x:v>c597b437bf24</x:v>
      </x:c>
      <x:c r="B1172" t="n">
        <x:v>2025</x:v>
      </x:c>
      <x:c r="C1172" t="str">
        <x:v>Universitets- Og Høgskolebygg</x:v>
      </x:c>
      <x:c r="D1172" t="str">
        <x:v>G</x:v>
      </x:c>
      <x:c r="E1172" t="n">
        <x:v>1969</x:v>
      </x:c>
      <x:c r="F1172" t="n">
        <x:v>317.39</x:v>
      </x:c>
      <x:c r="G1172" t="str">
        <x:v>Advanced</x:v>
      </x:c>
      <x:c r="H1172" t="str"/>
      <x:c r="I1172" t="str">
        <x:v>Årlig beregnet, ikke målt</x:v>
      </x:c>
      <x:c r="J1172" t="str">
        <x:v>01012025_17082025_2025.csv</x:v>
      </x:c>
    </x:row>
    <x:row r="1173" ht="22" customHeight="1">
      <x:c r="A1173" t="str">
        <x:v>f3473c964ba5</x:v>
      </x:c>
      <x:c r="B1173" t="n">
        <x:v>2025</x:v>
      </x:c>
      <x:c r="C1173" t="str">
        <x:v>Universitets- Og Høgskolebygg</x:v>
      </x:c>
      <x:c r="D1173" t="str">
        <x:v>G</x:v>
      </x:c>
      <x:c r="E1173" t="n">
        <x:v>1910</x:v>
      </x:c>
      <x:c r="F1173" t="n">
        <x:v>351.71</x:v>
      </x:c>
      <x:c r="G1173" t="str">
        <x:v>Advanced</x:v>
      </x:c>
      <x:c r="H1173" t="str"/>
      <x:c r="I1173" t="str">
        <x:v>Årlig beregnet, ikke målt</x:v>
      </x:c>
      <x:c r="J1173" t="str">
        <x:v>01012025_17082025_2025.csv</x:v>
      </x:c>
    </x:row>
  </x:sheetData>
  <x:pageMargins left="0.7" right="0.7" top="0.75" bottom="0.75" header="0.3" footer="0.3"/>
  <x:tableParts count="1">
    <x:tablePart xmlns:r="http://schemas.openxmlformats.org/officeDocument/2006/relationships" r:id="R62400e4f5a634a5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19" hidden="0" customWidth="1"/>
    <x:col min="4" max="4" width="31" hidden="0" customWidth="1"/>
    <x:col min="5" max="5" width="95" hidden="0" customWidth="1"/>
  </x:cols>
  <x:sheetData>
    <x:row r="1" ht="38" customHeight="1">
      <x:c r="A1" s="5" t="str">
        <x:v>Segment</x:v>
      </x:c>
      <x:c r="B1" s="5" t="str">
        <x:v>Variabel X</x:v>
      </x:c>
      <x:c r="C1" s="5" t="str">
        <x:v>Antall par</x:v>
      </x:c>
      <x:c r="D1" s="5" t="str">
        <x:v>Pearson r (X vs beregnet kWh/m²)</x:v>
      </x:c>
      <x:c r="E1" s="5" t="str">
        <x:v>Tolkning</x:v>
      </x:c>
    </x:row>
    <x:row r="2" ht="22" customHeight="1">
      <x:c r="A2" t="str">
        <x:v>Alle</x:v>
      </x:c>
      <x:c r="B2" t="str">
        <x:v>U yttervegg</x:v>
      </x:c>
      <x:c r="C2" t="n">
        <x:v>491</x:v>
      </x:c>
      <x:c r="D2" t="n">
        <x:v>0.668</x:v>
      </x:c>
      <x:c r="E2" t="str">
        <x:v>Korrelasjon; ikke kausalitet. Ulike brukstider, geografi og tekniske anlegg kan påvirke.</x:v>
      </x:c>
    </x:row>
    <x:row r="3" ht="22" customHeight="1">
      <x:c r="A3" t="str">
        <x:v>Alle</x:v>
      </x:c>
      <x:c r="B3" t="str">
        <x:v>U vindu</x:v>
      </x:c>
      <x:c r="C3" t="n">
        <x:v>487</x:v>
      </x:c>
      <x:c r="D3" t="n">
        <x:v>0.353</x:v>
      </x:c>
      <x:c r="E3" t="str">
        <x:v>Korrelasjon; ikke kausalitet. Ulike brukstider, geografi og tekniske anlegg kan påvirke.</x:v>
      </x:c>
    </x:row>
    <x:row r="4" ht="22" customHeight="1">
      <x:c r="A4" t="str">
        <x:v>Alle</x:v>
      </x:c>
      <x:c r="B4" t="str">
        <x:v>Årsvirkningsgrad varmegjenvinning</x:v>
      </x:c>
      <x:c r="C4" t="n">
        <x:v>487</x:v>
      </x:c>
      <x:c r="D4" t="n">
        <x:v>-0.636</x:v>
      </x:c>
      <x:c r="E4" t="str">
        <x:v>Korrelasjon; ikke kausalitet. Ulike brukstider, geografi og tekniske anlegg kan påvirke.</x:v>
      </x:c>
    </x:row>
    <x:row r="5" ht="22" customHeight="1">
      <x:c r="A5" t="str">
        <x:v>Alle</x:v>
      </x:c>
      <x:c r="B5" t="str">
        <x:v>Ventilasjonsluftmengde per BRA</x:v>
      </x:c>
      <x:c r="C5" t="n">
        <x:v>487</x:v>
      </x:c>
      <x:c r="D5" t="n">
        <x:v>0.111</x:v>
      </x:c>
      <x:c r="E5" t="str">
        <x:v>Korrelasjon; ikke kausalitet. Ulike brukstider, geografi og tekniske anlegg kan påvirke.</x:v>
      </x:c>
    </x:row>
    <x:row r="6" ht="22" customHeight="1">
      <x:c r="A6" t="str">
        <x:v>Alle</x:v>
      </x:c>
      <x:c r="B6" t="str">
        <x:v>SFP i drift</x:v>
      </x:c>
      <x:c r="C6" t="n">
        <x:v>487</x:v>
      </x:c>
      <x:c r="D6" t="n">
        <x:v>0.04</x:v>
      </x:c>
      <x:c r="E6" t="str">
        <x:v>Korrelasjon; ikke kausalitet. Ulike brukstider, geografi og tekniske anlegg kan påvirke.</x:v>
      </x:c>
    </x:row>
    <x:row r="7" ht="22" customHeight="1">
      <x:c r="A7" t="str">
        <x:v>Alle</x:v>
      </x:c>
      <x:c r="B7" t="str">
        <x:v>Varmekapasitet per BRA</x:v>
      </x:c>
      <x:c r="C7" t="n">
        <x:v>487</x:v>
      </x:c>
      <x:c r="D7" t="n">
        <x:v>0.134</x:v>
      </x:c>
      <x:c r="E7" t="str">
        <x:v>Korrelasjon; ikke kausalitet. Ulike brukstider, geografi og tekniske anlegg kan påvirke.</x:v>
      </x:c>
    </x:row>
    <x:row r="8" ht="22" customHeight="1">
      <x:c r="A8" t="str">
        <x:v>Alle</x:v>
      </x:c>
      <x:c r="B8" t="str">
        <x:v>Lekkasjetall n50</x:v>
      </x:c>
      <x:c r="C8" t="n">
        <x:v>487</x:v>
      </x:c>
      <x:c r="D8" t="n">
        <x:v>0.334</x:v>
      </x:c>
      <x:c r="E8" t="str">
        <x:v>Korrelasjon; ikke kausalitet. Ulike brukstider, geografi og tekniske anlegg kan påvirke.</x:v>
      </x:c>
    </x:row>
    <x:row r="9" ht="22" customHeight="1">
      <x:c r="A9" t="str">
        <x:v>Alle</x:v>
      </x:c>
      <x:c r="B9" t="str">
        <x:v>Byggeår</x:v>
      </x:c>
      <x:c r="C9" t="n">
        <x:v>536</x:v>
      </x:c>
      <x:c r="D9" t="n">
        <x:v>-0.478</x:v>
      </x:c>
      <x:c r="E9" t="str">
        <x:v>Korrelasjon; ikke kausalitet. Ulike brukstider, geografi og tekniske anlegg kan påvirke.</x:v>
      </x:c>
    </x:row>
    <x:row r="10" ht="22" customHeight="1">
      <x:c r="A10" t="str">
        <x:v>Alle</x:v>
      </x:c>
      <x:c r="B10" t="str">
        <x:v>Areal BRA</x:v>
      </x:c>
      <x:c r="C10" t="n">
        <x:v>535</x:v>
      </x:c>
      <x:c r="D10" t="n">
        <x:v>-0.185</x:v>
      </x:c>
      <x:c r="E10" t="str">
        <x:v>Korrelasjon; ikke kausalitet. Ulike brukstider, geografi og tekniske anlegg kan påvirke.</x:v>
      </x:c>
    </x:row>
    <x:row r="11" ht="22" customHeight="1">
      <x:c r="A11" t="str">
        <x:v>Kontorbygg</x:v>
      </x:c>
      <x:c r="B11" t="str">
        <x:v>U yttervegg</x:v>
      </x:c>
      <x:c r="C11" t="n">
        <x:v>340</x:v>
      </x:c>
      <x:c r="D11" t="n">
        <x:v>0.655</x:v>
      </x:c>
      <x:c r="E11" t="str">
        <x:v>Korrelasjon; ikke kausalitet. Ulike brukstider, geografi og tekniske anlegg kan påvirke.</x:v>
      </x:c>
    </x:row>
    <x:row r="12" ht="22" customHeight="1">
      <x:c r="A12" t="str">
        <x:v>Kontorbygg</x:v>
      </x:c>
      <x:c r="B12" t="str">
        <x:v>U vindu</x:v>
      </x:c>
      <x:c r="C12" t="n">
        <x:v>336</x:v>
      </x:c>
      <x:c r="D12" t="n">
        <x:v>0.278</x:v>
      </x:c>
      <x:c r="E12" t="str">
        <x:v>Korrelasjon; ikke kausalitet. Ulike brukstider, geografi og tekniske anlegg kan påvirke.</x:v>
      </x:c>
    </x:row>
    <x:row r="13" ht="22" customHeight="1">
      <x:c r="A13" t="str">
        <x:v>Kontorbygg</x:v>
      </x:c>
      <x:c r="B13" t="str">
        <x:v>Årsvirkningsgrad varmegjenvinning</x:v>
      </x:c>
      <x:c r="C13" t="n">
        <x:v>336</x:v>
      </x:c>
      <x:c r="D13" t="n">
        <x:v>-0.602</x:v>
      </x:c>
      <x:c r="E13" t="str">
        <x:v>Korrelasjon; ikke kausalitet. Ulike brukstider, geografi og tekniske anlegg kan påvirke.</x:v>
      </x:c>
    </x:row>
    <x:row r="14" ht="22" customHeight="1">
      <x:c r="A14" t="str">
        <x:v>Kontorbygg</x:v>
      </x:c>
      <x:c r="B14" t="str">
        <x:v>Ventilasjonsluftmengde per BRA</x:v>
      </x:c>
      <x:c r="C14" t="n">
        <x:v>336</x:v>
      </x:c>
      <x:c r="D14" t="n">
        <x:v>-0.018</x:v>
      </x:c>
      <x:c r="E14" t="str">
        <x:v>Korrelasjon; ikke kausalitet. Ulike brukstider, geografi og tekniske anlegg kan påvirke.</x:v>
      </x:c>
    </x:row>
    <x:row r="15" ht="22" customHeight="1">
      <x:c r="A15" t="str">
        <x:v>Kontorbygg</x:v>
      </x:c>
      <x:c r="B15" t="str">
        <x:v>SFP i drift</x:v>
      </x:c>
      <x:c r="C15" t="n">
        <x:v>336</x:v>
      </x:c>
      <x:c r="D15" t="n">
        <x:v>-0.052</x:v>
      </x:c>
      <x:c r="E15" t="str">
        <x:v>Korrelasjon; ikke kausalitet. Ulike brukstider, geografi og tekniske anlegg kan påvirke.</x:v>
      </x:c>
    </x:row>
    <x:row r="16" ht="22" customHeight="1">
      <x:c r="A16" t="str">
        <x:v>Kontorbygg</x:v>
      </x:c>
      <x:c r="B16" t="str">
        <x:v>Varmekapasitet per BRA</x:v>
      </x:c>
      <x:c r="C16" t="n">
        <x:v>336</x:v>
      </x:c>
      <x:c r="D16" t="n">
        <x:v>0.1</x:v>
      </x:c>
      <x:c r="E16" t="str">
        <x:v>Korrelasjon; ikke kausalitet. Ulike brukstider, geografi og tekniske anlegg kan påvirke.</x:v>
      </x:c>
    </x:row>
    <x:row r="17" ht="22" customHeight="1">
      <x:c r="A17" t="str">
        <x:v>Kontorbygg</x:v>
      </x:c>
      <x:c r="B17" t="str">
        <x:v>Lekkasjetall n50</x:v>
      </x:c>
      <x:c r="C17" t="n">
        <x:v>336</x:v>
      </x:c>
      <x:c r="D17" t="n">
        <x:v>0.314</x:v>
      </x:c>
      <x:c r="E17" t="str">
        <x:v>Korrelasjon; ikke kausalitet. Ulike brukstider, geografi og tekniske anlegg kan påvirke.</x:v>
      </x:c>
    </x:row>
    <x:row r="18" ht="22" customHeight="1">
      <x:c r="A18" t="str">
        <x:v>Kontorbygg</x:v>
      </x:c>
      <x:c r="B18" t="str">
        <x:v>Byggeår</x:v>
      </x:c>
      <x:c r="C18" t="n">
        <x:v>369</x:v>
      </x:c>
      <x:c r="D18" t="n">
        <x:v>-0.511</x:v>
      </x:c>
      <x:c r="E18" t="str">
        <x:v>Korrelasjon; ikke kausalitet. Ulike brukstider, geografi og tekniske anlegg kan påvirke.</x:v>
      </x:c>
    </x:row>
    <x:row r="19" ht="22" customHeight="1">
      <x:c r="A19" t="str">
        <x:v>Kontorbygg</x:v>
      </x:c>
      <x:c r="B19" t="str">
        <x:v>Areal BRA</x:v>
      </x:c>
      <x:c r="C19" t="n">
        <x:v>368</x:v>
      </x:c>
      <x:c r="D19" t="n">
        <x:v>-0.167</x:v>
      </x:c>
      <x:c r="E19" t="str">
        <x:v>Korrelasjon; ikke kausalitet. Ulike brukstider, geografi og tekniske anlegg kan påvirke.</x:v>
      </x:c>
    </x:row>
    <x:row r="20" ht="22" customHeight="1">
      <x:c r="A20" t="str">
        <x:v>Forretningsbygg</x:v>
      </x:c>
      <x:c r="B20" t="str">
        <x:v>U yttervegg</x:v>
      </x:c>
      <x:c r="C20" t="n">
        <x:v>123</x:v>
      </x:c>
      <x:c r="D20" t="n">
        <x:v>0.689</x:v>
      </x:c>
      <x:c r="E20" t="str">
        <x:v>Korrelasjon; ikke kausalitet. Ulike brukstider, geografi og tekniske anlegg kan påvirke.</x:v>
      </x:c>
    </x:row>
    <x:row r="21" ht="22" customHeight="1">
      <x:c r="A21" t="str">
        <x:v>Forretningsbygg</x:v>
      </x:c>
      <x:c r="B21" t="str">
        <x:v>U vindu</x:v>
      </x:c>
      <x:c r="C21" t="n">
        <x:v>123</x:v>
      </x:c>
      <x:c r="D21" t="n">
        <x:v>0.51</x:v>
      </x:c>
      <x:c r="E21" t="str">
        <x:v>Korrelasjon; ikke kausalitet. Ulike brukstider, geografi og tekniske anlegg kan påvirke.</x:v>
      </x:c>
    </x:row>
    <x:row r="22" ht="22" customHeight="1">
      <x:c r="A22" t="str">
        <x:v>Forretningsbygg</x:v>
      </x:c>
      <x:c r="B22" t="str">
        <x:v>Årsvirkningsgrad varmegjenvinning</x:v>
      </x:c>
      <x:c r="C22" t="n">
        <x:v>123</x:v>
      </x:c>
      <x:c r="D22" t="n">
        <x:v>-0.704</x:v>
      </x:c>
      <x:c r="E22" t="str">
        <x:v>Korrelasjon; ikke kausalitet. Ulike brukstider, geografi og tekniske anlegg kan påvirke.</x:v>
      </x:c>
    </x:row>
    <x:row r="23" ht="22" customHeight="1">
      <x:c r="A23" t="str">
        <x:v>Forretningsbygg</x:v>
      </x:c>
      <x:c r="B23" t="str">
        <x:v>Ventilasjonsluftmengde per BRA</x:v>
      </x:c>
      <x:c r="C23" t="n">
        <x:v>123</x:v>
      </x:c>
      <x:c r="D23" t="n">
        <x:v>0.145</x:v>
      </x:c>
      <x:c r="E23" t="str">
        <x:v>Korrelasjon; ikke kausalitet. Ulike brukstider, geografi og tekniske anlegg kan påvirke.</x:v>
      </x:c>
    </x:row>
    <x:row r="24" ht="22" customHeight="1">
      <x:c r="A24" t="str">
        <x:v>Forretningsbygg</x:v>
      </x:c>
      <x:c r="B24" t="str">
        <x:v>SFP i drift</x:v>
      </x:c>
      <x:c r="C24" t="n">
        <x:v>123</x:v>
      </x:c>
      <x:c r="D24" t="n">
        <x:v>0.243</x:v>
      </x:c>
      <x:c r="E24" t="str">
        <x:v>Korrelasjon; ikke kausalitet. Ulike brukstider, geografi og tekniske anlegg kan påvirke.</x:v>
      </x:c>
    </x:row>
    <x:row r="25" ht="22" customHeight="1">
      <x:c r="A25" t="str">
        <x:v>Forretningsbygg</x:v>
      </x:c>
      <x:c r="B25" t="str">
        <x:v>Varmekapasitet per BRA</x:v>
      </x:c>
      <x:c r="C25" t="n">
        <x:v>123</x:v>
      </x:c>
      <x:c r="D25" t="n">
        <x:v>0.183</x:v>
      </x:c>
      <x:c r="E25" t="str">
        <x:v>Korrelasjon; ikke kausalitet. Ulike brukstider, geografi og tekniske anlegg kan påvirke.</x:v>
      </x:c>
    </x:row>
    <x:row r="26" ht="22" customHeight="1">
      <x:c r="A26" t="str">
        <x:v>Forretningsbygg</x:v>
      </x:c>
      <x:c r="B26" t="str">
        <x:v>Lekkasjetall n50</x:v>
      </x:c>
      <x:c r="C26" t="n">
        <x:v>123</x:v>
      </x:c>
      <x:c r="D26" t="n">
        <x:v>0.51</x:v>
      </x:c>
      <x:c r="E26" t="str">
        <x:v>Korrelasjon; ikke kausalitet. Ulike brukstider, geografi og tekniske anlegg kan påvirke.</x:v>
      </x:c>
    </x:row>
    <x:row r="27" ht="22" customHeight="1">
      <x:c r="A27" t="str">
        <x:v>Forretningsbygg</x:v>
      </x:c>
      <x:c r="B27" t="str">
        <x:v>Byggeår</x:v>
      </x:c>
      <x:c r="C27" t="n">
        <x:v>134</x:v>
      </x:c>
      <x:c r="D27" t="n">
        <x:v>-0.584</x:v>
      </x:c>
      <x:c r="E27" t="str">
        <x:v>Korrelasjon; ikke kausalitet. Ulike brukstider, geografi og tekniske anlegg kan påvirke.</x:v>
      </x:c>
    </x:row>
    <x:row r="28" ht="22" customHeight="1">
      <x:c r="A28" t="str">
        <x:v>Forretningsbygg</x:v>
      </x:c>
      <x:c r="B28" t="str">
        <x:v>Areal BRA</x:v>
      </x:c>
      <x:c r="C28" t="n">
        <x:v>134</x:v>
      </x:c>
      <x:c r="D28" t="n">
        <x:v>-0.183</x:v>
      </x:c>
      <x:c r="E28" t="str">
        <x:v>Korrelasjon; ikke kausalitet. Ulike brukstider, geografi og tekniske anlegg kan påvirke.</x:v>
      </x:c>
    </x:row>
    <x:row r="29" ht="22" customHeight="1">
      <x:c r="A29" t="str">
        <x:v>Hoteller</x:v>
      </x:c>
      <x:c r="B29" t="str">
        <x:v>U yttervegg</x:v>
      </x:c>
      <x:c r="C29" t="n">
        <x:v>28</x:v>
      </x:c>
      <x:c r="D29" t="n">
        <x:v>0.791</x:v>
      </x:c>
      <x:c r="E29" t="str">
        <x:v>Korrelasjon; ikke kausalitet. Ulike brukstider, geografi og tekniske anlegg kan påvirke.</x:v>
      </x:c>
    </x:row>
    <x:row r="30" ht="22" customHeight="1">
      <x:c r="A30" t="str">
        <x:v>Hoteller</x:v>
      </x:c>
      <x:c r="B30" t="str">
        <x:v>U vindu</x:v>
      </x:c>
      <x:c r="C30" t="n">
        <x:v>28</x:v>
      </x:c>
      <x:c r="D30" t="n">
        <x:v>0.456</x:v>
      </x:c>
      <x:c r="E30" t="str">
        <x:v>Korrelasjon; ikke kausalitet. Ulike brukstider, geografi og tekniske anlegg kan påvirke.</x:v>
      </x:c>
    </x:row>
    <x:row r="31" ht="22" customHeight="1">
      <x:c r="A31" t="str">
        <x:v>Hoteller</x:v>
      </x:c>
      <x:c r="B31" t="str">
        <x:v>Årsvirkningsgrad varmegjenvinning</x:v>
      </x:c>
      <x:c r="C31" t="n">
        <x:v>28</x:v>
      </x:c>
      <x:c r="D31" t="n">
        <x:v>-0.643</x:v>
      </x:c>
      <x:c r="E31" t="str">
        <x:v>Korrelasjon; ikke kausalitet. Ulike brukstider, geografi og tekniske anlegg kan påvirke.</x:v>
      </x:c>
    </x:row>
    <x:row r="32" ht="22" customHeight="1">
      <x:c r="A32" t="str">
        <x:v>Hoteller</x:v>
      </x:c>
      <x:c r="B32" t="str">
        <x:v>Ventilasjonsluftmengde per BRA</x:v>
      </x:c>
      <x:c r="C32" t="n">
        <x:v>28</x:v>
      </x:c>
      <x:c r="D32" t="n">
        <x:v>0.384</x:v>
      </x:c>
      <x:c r="E32" t="str">
        <x:v>Korrelasjon; ikke kausalitet. Ulike brukstider, geografi og tekniske anlegg kan påvirke.</x:v>
      </x:c>
    </x:row>
    <x:row r="33" ht="22" customHeight="1">
      <x:c r="A33" t="str">
        <x:v>Hoteller</x:v>
      </x:c>
      <x:c r="B33" t="str">
        <x:v>SFP i drift</x:v>
      </x:c>
      <x:c r="C33" t="n">
        <x:v>28</x:v>
      </x:c>
      <x:c r="D33" t="n">
        <x:v>0.358</x:v>
      </x:c>
      <x:c r="E33" t="str">
        <x:v>Korrelasjon; ikke kausalitet. Ulike brukstider, geografi og tekniske anlegg kan påvirke.</x:v>
      </x:c>
    </x:row>
    <x:row r="34" ht="22" customHeight="1">
      <x:c r="A34" t="str">
        <x:v>Hoteller</x:v>
      </x:c>
      <x:c r="B34" t="str">
        <x:v>Varmekapasitet per BRA</x:v>
      </x:c>
      <x:c r="C34" t="n">
        <x:v>28</x:v>
      </x:c>
      <x:c r="D34" t="n">
        <x:v>0.241</x:v>
      </x:c>
      <x:c r="E34" t="str">
        <x:v>Korrelasjon; ikke kausalitet. Ulike brukstider, geografi og tekniske anlegg kan påvirke.</x:v>
      </x:c>
    </x:row>
    <x:row r="35" ht="22" customHeight="1">
      <x:c r="A35" t="str">
        <x:v>Hoteller</x:v>
      </x:c>
      <x:c r="B35" t="str">
        <x:v>Lekkasjetall n50</x:v>
      </x:c>
      <x:c r="C35" t="n">
        <x:v>28</x:v>
      </x:c>
      <x:c r="D35" t="n">
        <x:v>0.142</x:v>
      </x:c>
      <x:c r="E35" t="str">
        <x:v>Korrelasjon; ikke kausalitet. Ulike brukstider, geografi og tekniske anlegg kan påvirke.</x:v>
      </x:c>
    </x:row>
    <x:row r="36" ht="22" customHeight="1">
      <x:c r="A36" t="str">
        <x:v>Hoteller</x:v>
      </x:c>
      <x:c r="B36" t="str">
        <x:v>Byggeår</x:v>
      </x:c>
      <x:c r="C36" t="n">
        <x:v>33</x:v>
      </x:c>
      <x:c r="D36" t="n">
        <x:v>-0.103</x:v>
      </x:c>
      <x:c r="E36" t="str">
        <x:v>Korrelasjon; ikke kausalitet. Ulike brukstider, geografi og tekniske anlegg kan påvirke.</x:v>
      </x:c>
    </x:row>
    <x:row r="37" ht="22" customHeight="1">
      <x:c r="A37" t="str">
        <x:v>Hoteller</x:v>
      </x:c>
      <x:c r="B37" t="str">
        <x:v>Areal BRA</x:v>
      </x:c>
      <x:c r="C37" t="n">
        <x:v>33</x:v>
      </x:c>
      <x:c r="D37" t="n">
        <x:v>-0.649</x:v>
      </x:c>
      <x:c r="E37" t="str">
        <x:v>Korrelasjon; ikke kausalitet. Ulike brukstider, geografi og tekniske anlegg kan påvirke.</x:v>
      </x:c>
    </x:row>
  </x:sheetData>
  <x:pageMargins left="0.7" right="0.7" top="0.75" bottom="0.75" header="0.3" footer="0.3"/>
  <x:tableParts count="1">
    <x:tablePart xmlns:r="http://schemas.openxmlformats.org/officeDocument/2006/relationships" r:id="R63848a5d22524f6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42" hidden="0" customWidth="1"/>
    <x:col min="4" max="4" width="28" hidden="0" customWidth="1"/>
    <x:col min="5" max="5" width="96" hidden="0" customWidth="1"/>
    <x:col min="6" max="6" width="95" hidden="0" customWidth="1"/>
    <x:col min="7" max="7" width="48" hidden="0" customWidth="1"/>
  </x:cols>
  <x:sheetData>
    <x:row r="1" ht="38" customHeight="1">
      <x:c r="A1" s="5" t="str">
        <x:v>Kilde</x:v>
      </x:c>
      <x:c r="B1" s="5" t="str">
        <x:v>Fil</x:v>
      </x:c>
      <x:c r="C1" s="5" t="str">
        <x:v>Tema</x:v>
      </x:c>
      <x:c r="D1" s="5" t="str">
        <x:v>Hvor i kilden</x:v>
      </x:c>
      <x:c r="E1" s="5" t="str">
        <x:v>Funn dokumentert i kilden</x:v>
      </x:c>
      <x:c r="F1" s="5" t="str">
        <x:v>Konsekvens for OT-modell</x:v>
      </x:c>
      <x:c r="G1" s="5" t="str">
        <x:v>Avgrensning</x:v>
      </x:c>
    </x:row>
    <x:row r="2" ht="52" customHeight="1">
      <x:c r="A2" t="str">
        <x:v>Varsi 2024</x:v>
      </x:c>
      <x:c r="B2" t="str">
        <x:v>thesis.pdf</x:v>
      </x:c>
      <x:c r="C2" s="10" t="str">
        <x:v>Energieffektivitet og potensial i kontorbygg i betong fra 50-tallet</x:v>
      </x:c>
      <x:c r="D2" s="10" t="str">
        <x:v>Konklusjon / tabell 22</x:v>
      </x:c>
      <x:c r="E2" s="10" t="str">
        <x:v>Case: varmepumpe, nytt ventilasjonsaggregat, nye vinduer og etterisolering av tak framstår aktuelle. Tiltak og lønnsomhet avhenger av tidligere rehabiliteringer.</x:v>
      </x:c>
      <x:c r="F2" s="10" t="str">
        <x:v>Prioriter konfigurasjon av aggregat/COP/U-vindu og tak per case; ikke kopier effekttall som universelle parametere.</x:v>
      </x:c>
      <x:c r="G2" s="10" t="str">
        <x:v>Casebasert simulering, ikke nasjonalt estimat.</x:v>
      </x:c>
    </x:row>
    <x:row r="3" ht="52" customHeight="1">
      <x:c r="A3" t="str">
        <x:v>Varsi 2024</x:v>
      </x:c>
      <x:c r="B3" t="str">
        <x:v>thesis.pdf</x:v>
      </x:c>
      <x:c r="C3" s="10" t="str">
        <x:v>Kontorbygg fra 1950-tallet</x:v>
      </x:c>
      <x:c r="D3" s="10" t="str">
        <x:v>Konklusjon</x:v>
      </x:c>
      <x:c r="E3" s="10" t="str">
        <x:v>Massive betongbygg har høy varmekapasitet. Geografi og klima påvirker ENØK-effekt.</x:v>
      </x:c>
      <x:c r="F3" s="10" t="str">
        <x:v>Skille klima-scenario fra bygningsfysikk; kalibrer kapasitet med målekurve.</x:v>
      </x:c>
      <x:c r="G3" s="10" t="str">
        <x:v>Kvalitativt fra case.</x:v>
      </x:c>
    </x:row>
    <x:row r="4" ht="52" customHeight="1">
      <x:c r="A4" t="str">
        <x:v>Kulvik 2019</x:v>
      </x:c>
      <x:c r="B4" t="str">
        <x:v>thesis (2).pdf</x:v>
      </x:c>
      <x:c r="C4" s="10" t="str">
        <x:v>Energianalyse av vannbåren varmesystem – omlegging 5 til 3 rør</x:v>
      </x:c>
      <x:c r="D4" s="10" t="str">
        <x:v>Sammendrag/konklusjon</x:v>
      </x:c>
      <x:c r="E4" s="10" t="str">
        <x:v>Simulert distribusjonstap i case: direkte 3-rør 155 760 kWh, 5-rør lavtemp 224 054 kWh, indirekte 3-rør 243 168 kWh, 5-rør høytemp 321 379 kWh.</x:v>
      </x:c>
      <x:c r="F4" s="10" t="str">
        <x:v>Modellér rørnettets tur-/returtemperatur, isolasjon, driftstid og distribuert varmetap separat fra klimaskall.</x:v>
      </x:c>
      <x:c r="G4" s="10" t="str">
        <x:v>Fire scenarier for samme anlegg, aldri defaults.</x:v>
      </x:c>
    </x:row>
    <x:row r="5" ht="52" customHeight="1">
      <x:c r="A5" t="str">
        <x:v>Kulvik 2019</x:v>
      </x:c>
      <x:c r="B5" t="str">
        <x:v>thesis (2).pdf</x:v>
      </x:c>
      <x:c r="C5" s="10" t="str">
        <x:v>Vannbåren varmesystem</x:v>
      </x:c>
      <x:c r="D5" s="10" t="str">
        <x:v>Sammendrag</x:v>
      </x:c>
      <x:c r="E5" s="10" t="str">
        <x:v>Investeringene mellom alternative rørsystemer viste små forskjeller i studiens case; rørtype alene forklarer ikke forbruk.</x:v>
      </x:c>
      <x:c r="F5" s="10" t="str">
        <x:v>Etterspør målt temperatur og tap. Ikke anta spareprosent ut fra 3-rør vs 5-rør.</x:v>
      </x:c>
      <x:c r="G5" s="10" t="str">
        <x:v>Casebasert og ikke overførbart.</x:v>
      </x:c>
    </x:row>
    <x:row r="6" ht="52" customHeight="1">
      <x:c r="A6" t="str">
        <x:v>Vårdal 2022</x:v>
      </x:c>
      <x:c r="B6" t="str">
        <x:v>vårdal-maen2022.pdf</x:v>
      </x:c>
      <x:c r="C6" s="10" t="str">
        <x:v>BIM i prosjektering av inneklimaanlegg</x:v>
      </x:c>
      <x:c r="D6" s="10" t="str">
        <x:v>Sammendrag</x:v>
      </x:c>
      <x:c r="E6" s="10" t="str">
        <x:v>BIM har potensial til strukturert datautveksling og beslutningsstøtte for inneklimaanlegg, men standard og implementeringsgrad har begrensninger.</x:v>
      </x:c>
      <x:c r="F6" s="10" t="str">
        <x:v>Bruk enheter, versjonerte skjema, kilde, gyldighet, TFM-ID og sporbarhet ved import.</x:v>
      </x:c>
      <x:c r="G6" s="10" t="str">
        <x:v>Metodisk kilde; ingen målte kalibreringsverdier.</x:v>
      </x:c>
    </x:row>
    <x:row r="7" ht="52" customHeight="1">
      <x:c r="A7" t="str">
        <x:v>Steinsvik 2020</x:v>
      </x:c>
      <x:c r="B7" t="str">
        <x:v>Steinsvik.pdf</x:v>
      </x:c>
      <x:c r="C7" s="10" t="str">
        <x:v>Bygg for fremtiden – en studie om motivasjon for bærekraft</x:v>
      </x:c>
      <x:c r="D7" s="10" t="str">
        <x:v>Sammendrag/konklusjon</x:v>
      </x:c>
      <x:c r="E7" s="10" t="str">
        <x:v>Etterspørsel, omdømme og myndighetskrav påvirker beslutninger hos byggeiere; ikke en teknisk kalibreringsstudie.</x:v>
      </x:c>
      <x:c r="F7" s="10" t="str">
        <x:v>Dokumenter tiltak og eierverdi separat fra fysikk, komfort og energimålinger.</x:v>
      </x:c>
      <x:c r="G7" s="10" t="str">
        <x:v>Forretningskontekst, ikke kontrollmodell.</x:v>
      </x:c>
    </x:row>
    <x:row r="8" ht="52" customHeight="1">
      <x:c r="A8" t="str">
        <x:v>GitHub 2026</x:v>
      </x:c>
      <x:c r="B8" t="str">
        <x:v>GitHub README / fixture</x:v>
      </x:c>
      <x:c r="C8" s="10" t="str">
        <x:v>autonomous-ot-control</x:v>
      </x:c>
      <x:c r="D8" s="10" t="str">
        <x:v>README, twin/fixtures/three-zone-v1.json</x:v>
      </x:c>
      <x:c r="E8" s="10" t="str">
        <x:v>Simulator med 3 soner; UA, capacity J/K, heater_max W, efficiency og inter-zone W/K er illustrative og ukalibrerte.</x:v>
      </x:c>
      <x:c r="F8" s="10" t="str">
        <x:v>Kalibreringsarket kan gi priorer, men en dynamisk kalibrering trenger målt temperatur/energi.</x:v>
      </x:c>
      <x:c r="G8" s="10" t="str">
        <x:v>Simulert og ukalibrert.</x:v>
      </x:c>
    </x:row>
  </x:sheetData>
  <x:pageMargins left="0.7" right="0.7" top="0.75" bottom="0.75" header="0.3" footer="0.3"/>
  <x:tableParts count="1">
    <x:tablePart xmlns:r="http://schemas.openxmlformats.org/officeDocument/2006/relationships" r:id="R1d22c070204e478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3" hidden="0" customWidth="1"/>
    <x:col min="3" max="3" width="24" hidden="0" customWidth="1"/>
    <x:col min="4" max="4" width="43" hidden="0" customWidth="1"/>
    <x:col min="5" max="5" width="81" hidden="0" customWidth="1"/>
    <x:col min="6" max="6" width="28" hidden="0" customWidth="1"/>
    <x:col min="7" max="7" width="99" hidden="0" customWidth="1"/>
  </x:cols>
  <x:sheetData>
    <x:row r="1" ht="38" customHeight="1">
      <x:c r="A1" s="5" t="str">
        <x:v>Parameter i twin</x:v>
      </x:c>
      <x:c r="B1" s="5" t="str">
        <x:v>Felt / metode</x:v>
      </x:c>
      <x:c r="C1" s="5" t="str">
        <x:v>Enhet</x:v>
      </x:c>
      <x:c r="D1" s="5" t="str">
        <x:v>Kildetype</x:v>
      </x:c>
      <x:c r="E1" s="5" t="str">
        <x:v>Hvordan bruke</x:v>
      </x:c>
      <x:c r="F1" s="5" t="str">
        <x:v>Sikkerhet/konfidens</x:v>
      </x:c>
      <x:c r="G1" s="5" t="str">
        <x:v>Begrensning</x:v>
      </x:c>
    </x:row>
    <x:row r="2" ht="45" customHeight="1">
      <x:c r="A2" t="str">
        <x:v>OT zone.area_m2</x:v>
      </x:c>
      <x:c r="B2" s="10" t="str">
        <x:v>BRA_m2 + zoneandel</x:v>
      </x:c>
      <x:c r="C2" s="10" t="str">
        <x:v>m²</x:v>
      </x:c>
      <x:c r="D2" s="10" t="str">
        <x:v>PDF-bygg (BRA) og simulert sonedeling</x:v>
      </x:c>
      <x:c r="E2" s="10" t="str">
        <x:v>Direkte BRA; soneandel må angis</x:v>
      </x:c>
      <x:c r="F2" s="10" t="str">
        <x:v>Høy/antatt</x:v>
      </x:c>
      <x:c r="G2" s="10" t="str">
        <x:v>Per sone skal sum areal nærme seg samlet oppvarmet BRA; demo er 120+90+60 = 270 m².</x:v>
      </x:c>
    </x:row>
    <x:row r="3" ht="45" customHeight="1">
      <x:c r="A3" t="str">
        <x:v>OT zone.ua_w_per_k</x:v>
      </x:c>
      <x:c r="B3" s="10" t="str">
        <x:v>Σ U×A (klimaskall)</x:v>
      </x:c>
      <x:c r="C3" s="10" t="str">
        <x:v>W/K</x:v>
      </x:c>
      <x:c r="D3" s="10" t="str">
        <x:v>PDF-bygg: U og flater</x:v>
      </x:c>
      <x:c r="E3" s="10" t="str">
        <x:v>Overfør kun etter allokering til soner; termiske broer/ventilasjon ikke inkludert</x:v>
      </x:c>
      <x:c r="F3" s="10" t="str">
        <x:v>Middels/avledet</x:v>
      </x:c>
      <x:c r="G3" s="10" t="str">
        <x:v>Gulv mot grunn har egne tapsmekanismer; bruk ikke som eneste transmisjonskalibrering.</x:v>
      </x:c>
    </x:row>
    <x:row r="4" ht="45" customHeight="1">
      <x:c r="A4" t="str">
        <x:v>OT zone.capacity_j_per_k</x:v>
      </x:c>
      <x:c r="B4" s="10" t="str">
        <x:v>Normert varmekapasitet × BRA × 3600</x:v>
      </x:c>
      <x:c r="C4" s="10" t="str">
        <x:v>J/K</x:v>
      </x:c>
      <x:c r="D4" s="10" t="str">
        <x:v>PDF-bygg: Wh/(m²K)</x:v>
      </x:c>
      <x:c r="E4" s="10" t="str">
        <x:v>Førsteprior 1R1C, deretter juster med temperaturrespons</x:v>
      </x:c>
      <x:c r="F4" s="10" t="str">
        <x:v>Middels/avledet</x:v>
      </x:c>
      <x:c r="G4" s="10" t="str">
        <x:v>Nominell effektiv masse kan avvike fra RC-dynamisk kapasitet.</x:v>
      </x:c>
    </x:row>
    <x:row r="5" ht="45" customHeight="1">
      <x:c r="A5" t="str">
        <x:v>OT zone.heater_max_w</x:v>
      </x:c>
      <x:c r="B5" s="10" t="str">
        <x:v>Installert varmeeffekt W/m² × soneareal</x:v>
      </x:c>
      <x:c r="C5" s="10" t="str">
        <x:v>W</x:v>
      </x:c>
      <x:c r="D5" s="10" t="str">
        <x:v>PDF-bygg: installert varmeeffekt</x:v>
      </x:c>
      <x:c r="E5" s="10" t="str">
        <x:v>Bruk som øvre startverdi, kontroller soneandel og tidsstyring</x:v>
      </x:c>
      <x:c r="F5" s="10" t="str">
        <x:v>Middels/avledet</x:v>
      </x:c>
      <x:c r="G5" s="10" t="str">
        <x:v>Total effekt rapportert for romoppvarming og ventilasjonsvarme, ikke nødvendigvis romvarmer per sone.</x:v>
      </x:c>
    </x:row>
    <x:row r="6" ht="45" customHeight="1">
      <x:c r="A6" t="str">
        <x:v>OT zone.heating_efficiency</x:v>
      </x:c>
      <x:c r="B6" s="10" t="str">
        <x:v>Årsgjennomsnittlig systemvirkningsgrad/100</x:v>
      </x:c>
      <x:c r="C6" s="10" t="str">
        <x:v>0..1</x:v>
      </x:c>
      <x:c r="D6" s="10" t="str">
        <x:v>PDF-bygg: %</x:v>
      </x:c>
      <x:c r="E6" s="10" t="str">
        <x:v>Kvalifiser energikilde og om effektiviteten er modellert riktig</x:v>
      </x:c>
      <x:c r="F6" s="10" t="str">
        <x:v>Middels</x:v>
      </x:c>
      <x:c r="G6" s="10" t="str">
        <x:v>Årsmiddel er ikke timevariabel COP. Kan kreve separat varmepumpemodell.</x:v>
      </x:c>
    </x:row>
    <x:row r="7" ht="45" customHeight="1">
      <x:c r="A7" t="str">
        <x:v>OT envelope.inter_zone_conductance_w_per_k</x:v>
      </x:c>
      <x:c r="B7" s="10" t="str">
        <x:v>—</x:v>
      </x:c>
      <x:c r="C7" s="10" t="str">
        <x:v>W/K</x:v>
      </x:c>
      <x:c r="D7" s="10" t="str">
        <x:v>Ikke i energiattesten</x:v>
      </x:c>
      <x:c r="E7" s="10" t="str">
        <x:v>Må kalibreres mot sonetemperatur og geometri</x:v>
      </x:c>
      <x:c r="F7" s="10" t="str">
        <x:v>Mangler</x:v>
      </x:c>
      <x:c r="G7" s="10" t="str">
        <x:v>GitHub-demo har fast 40 W/K; ikke generaliser.</x:v>
      </x:c>
    </x:row>
    <x:row r="8" ht="45" customHeight="1">
      <x:c r="A8" t="str">
        <x:v>OT heating comfort bounds</x:v>
      </x:c>
      <x:c r="B8" s="10" t="str">
        <x:v>Settpkt varme/kjøling</x:v>
      </x:c>
      <x:c r="C8" s="10" t="str">
        <x:v>°C</x:v>
      </x:c>
      <x:c r="D8" s="10" t="str">
        <x:v>PDF-bygg: settpunkt temperatur</x:v>
      </x:c>
      <x:c r="E8" s="10" t="str">
        <x:v>Gir nominelle driftstider, ikke mandat til å endre sikkerhetsgrenser</x:v>
      </x:c>
      <x:c r="F8" s="10" t="str">
        <x:v>Middels</x:v>
      </x:c>
      <x:c r="G8" s="10" t="str">
        <x:v>Styringsgrenser/guard kommer fra uavhengig policy, ikke energiattest.</x:v>
      </x:c>
    </x:row>
    <x:row r="9" ht="45" customHeight="1">
      <x:c r="A9" t="str">
        <x:v>OT time step</x:v>
      </x:c>
      <x:c r="B9" s="10" t="str">
        <x:v>—</x:v>
      </x:c>
      <x:c r="C9" s="10" t="str">
        <x:v>s</x:v>
      </x:c>
      <x:c r="D9" s="10" t="str">
        <x:v>GitHub fixture</x:v>
      </x:c>
      <x:c r="E9" s="10" t="str">
        <x:v>Behold tidssteg fra pilot (60 s integrasjon, 900 s styring, 300 s observasjon)</x:v>
      </x:c>
      <x:c r="F9" s="10" t="str">
        <x:v>Repo-kontrakt</x:v>
      </x:c>
      <x:c r="G9" s="10" t="str">
        <x:v>Kalibrering krever riktig tidssynkronisering.</x:v>
      </x:c>
    </x:row>
    <x:row r="10" ht="45" customHeight="1">
      <x:c r="A10" t="str">
        <x:v>OT weather signal</x:v>
      </x:c>
      <x:c r="B10" s="10" t="str">
        <x:v>Klimafil + temperatur ute</x:v>
      </x:c>
      <x:c r="C10" s="10" t="str">
        <x:v>°C</x:v>
      </x:c>
      <x:c r="D10" s="10" t="str">
        <x:v>ERA5 i repo; ikke i attester</x:v>
      </x:c>
      <x:c r="E10" s="10" t="str">
        <x:v>Bruk samme klimaperiode for målt energi og simulasjon</x:v>
      </x:c>
      <x:c r="F10" s="10" t="str">
        <x:v>Krever drift</x:v>
      </x:c>
      <x:c r="G10" s="10" t="str">
        <x:v>Normalårsberegning i energiattest må ikke sammenlignes blindt mot målt kalenderår.</x:v>
      </x:c>
    </x:row>
    <x:row r="11" ht="45" customHeight="1">
      <x:c r="A11" t="str">
        <x:v>OT occupancy/internal gains</x:v>
      </x:c>
      <x:c r="B11" s="10" t="str">
        <x:v>Driftstid lys/utstyr; W/m²</x:v>
      </x:c>
      <x:c r="C11" s="10" t="str">
        <x:v>h/døgn; W/m²</x:v>
      </x:c>
      <x:c r="D11" s="10" t="str">
        <x:v>PDF-bygg</x:v>
      </x:c>
      <x:c r="E11" s="10" t="str">
        <x:v>Konstruer kalenderbasert prior; valider mot faktiske brukssignaler</x:v>
      </x:c>
      <x:c r="F11" s="10" t="str">
        <x:v>Middels/antatt</x:v>
      </x:c>
      <x:c r="G11" s="10" t="str">
        <x:v>Årsmiddel eller innlagte driftstider er ikke persontelling.</x:v>
      </x:c>
    </x:row>
    <x:row r="12" ht="45" customHeight="1">
      <x:c r="A12" t="str">
        <x:v>OT ventilation/AHU</x:v>
      </x:c>
      <x:c r="B12" s="10" t="str">
        <x:v>SFP, luftmengde, varmegjenvinning</x:v>
      </x:c>
      <x:c r="C12" s="10" t="str">
        <x:v>kW/(m³/s); m³/(m²h); %</x:v>
      </x:c>
      <x:c r="D12" s="10" t="str">
        <x:v>PDF-bygg</x:v>
      </x:c>
      <x:c r="E12" s="10" t="str">
        <x:v>Parametriser AHU som egen term og egen energimåler, hvis modell støtter det</x:v>
      </x:c>
      <x:c r="F12" s="10" t="str">
        <x:v>Middels</x:v>
      </x:c>
      <x:c r="G12" s="10" t="str">
        <x:v>Sjekk om modellen inneholder eksplisitt AHU-fysikk før import.</x:v>
      </x:c>
    </x:row>
    <x:row r="13" ht="45" customHeight="1">
      <x:c r="A13" t="str">
        <x:v>OT infiltration</x:v>
      </x:c>
      <x:c r="B13" s="10" t="str">
        <x:v>Lekkasjetall ved testtrykk</x:v>
      </x:c>
      <x:c r="C13" s="10" t="str">
        <x:v>1/h</x:v>
      </x:c>
      <x:c r="D13" s="10" t="str">
        <x:v>PDF-bygg</x:v>
      </x:c>
      <x:c r="E13" s="10" t="str">
        <x:v>La stå uten direkte mapping til naturlig infiltrasjon</x:v>
      </x:c>
      <x:c r="F13" s="10" t="str">
        <x:v>Lav</x:v>
      </x:c>
      <x:c r="G13" s="10" t="str">
        <x:v>n50 skal ikke brukes som ordinær infiltrasjons-ACH uten trykk/vindmodell.</x:v>
      </x:c>
    </x:row>
    <x:row r="14" ht="45" customHeight="1">
      <x:c r="A14" t="str">
        <x:v>OT distribution loss</x:v>
      </x:c>
      <x:c r="B14" s="10" t="str">
        <x:v>Rørtemperatur, rørlengde, isolasjon</x:v>
      </x:c>
      <x:c r="C14" s="10" t="str">
        <x:v>kWh/h eller W</x:v>
      </x:c>
      <x:c r="D14" s="10" t="str">
        <x:v>Kulvik 2019</x:v>
      </x:c>
      <x:c r="E14" s="10" t="str">
        <x:v>Separate tap for vannbåren distribusjon</x:v>
      </x:c>
      <x:c r="F14" s="10" t="str">
        <x:v>Litteraturveiledning</x:v>
      </x:c>
      <x:c r="G14" s="10" t="str">
        <x:v>Årlige case-verdier fra studien er ikke parametere for andre bygg.</x:v>
      </x:c>
    </x:row>
    <x:row r="15" ht="45" customHeight="1">
      <x:c r="A15" t="str">
        <x:v>OT electricity baseline</x:v>
      </x:c>
      <x:c r="B15" s="10" t="str">
        <x:v>Beregnet levert kWh/m²år</x:v>
      </x:c>
      <x:c r="C15" s="10" t="str">
        <x:v>kWh/m²år</x:v>
      </x:c>
      <x:c r="D15" s="10" t="str">
        <x:v>PDF-bygg/års-CSV</x:v>
      </x:c>
      <x:c r="E15" s="10" t="str">
        <x:v>Årlig nivåcheck, ikke fasit for kontrollspesifikt forbruk</x:v>
      </x:c>
      <x:c r="F15" s="10" t="str">
        <x:v>Lav/årlig</x:v>
      </x:c>
      <x:c r="G15" s="10" t="str">
        <x:v>Ikke splitte totalenergi i HVAC/lys/tank/kabler uten delmålere.</x:v>
      </x:c>
    </x:row>
    <x:row r="16" ht="45" customHeight="1">
      <x:c r="A16" t="str">
        <x:v>OT validation</x:v>
      </x:c>
      <x:c r="B16" s="10" t="str">
        <x:v>MAE/RMSE på T, strøm, effekt og kWh</x:v>
      </x:c>
      <x:c r="C16" s="10" t="str">
        <x:v>flere</x:v>
      </x:c>
      <x:c r="D16" s="10" t="str">
        <x:v>Krever driftsdata</x:v>
      </x:c>
      <x:c r="E16" s="10" t="str">
        <x:v>Gjør separat train/validation; hold ut dager/sesonger</x:v>
      </x:c>
      <x:c r="F16" s="10" t="str">
        <x:v>Krever drift</x:v>
      </x:c>
      <x:c r="G16" s="10" t="str">
        <x:v>Rapportér komfortbrudd, effektgrenser, avvik og følsomhet før optimalisering.</x:v>
      </x:c>
    </x:row>
    <x:row r="17" ht="45" customHeight="1">
      <x:c r="A17" t="str">
        <x:v>OT safety</x:v>
      </x:c>
      <x:c r="B17" s="10" t="str">
        <x:v>Guard/interlocks/REMORA</x:v>
      </x:c>
      <x:c r="C17" s="10" t="str">
        <x:v>policy</x:v>
      </x:c>
      <x:c r="D17" s="10" t="str">
        <x:v>Repo-dokumentasjon</x:v>
      </x:c>
      <x:c r="E17" s="10" t="str">
        <x:v>Ingen kalibreringsdata gir rett til fysisk styring</x:v>
      </x:c>
      <x:c r="F17" s="10" t="str">
        <x:v>Repo-kontrakt</x:v>
      </x:c>
      <x:c r="G17" s="10" t="str">
        <x:v>Simulert kontroll kun; menneskelig godkjenning og fysiske barrierer kreves separat.</x:v>
      </x:c>
    </x:row>
  </x:sheetData>
  <x:pageMargins left="0.7" right="0.7" top="0.75" bottom="0.75" header="0.3" footer="0.3"/>
  <x:tableParts count="1">
    <x:tablePart xmlns:r="http://schemas.openxmlformats.org/officeDocument/2006/relationships" r:id="R0775a7e188f74ce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76" hidden="0" customWidth="1"/>
  </x:cols>
  <x:sheetData>
    <x:row r="1" ht="38" customHeight="1">
      <x:c r="A1" s="5" t="str">
        <x:v>Kategori</x:v>
      </x:c>
      <x:c r="B1" s="5" t="str">
        <x:v>Arealgruppe</x:v>
      </x:c>
      <x:c r="C1" s="5" t="str">
        <x:v>Antall PDF-bygg</x:v>
      </x:c>
      <x:c r="D1" s="5" t="str">
        <x:v>Median BRA m²</x:v>
      </x:c>
      <x:c r="E1" s="5" t="str">
        <x:v>Median kWh/m²år</x:v>
      </x:c>
      <x:c r="F1" s="5" t="str">
        <x:v>U vegg</x:v>
      </x:c>
      <x:c r="G1" s="5" t="str">
        <x:v>U vindu</x:v>
      </x:c>
      <x:c r="H1" s="5" t="str">
        <x:v>Års-HRV %</x:v>
      </x:c>
      <x:c r="I1" s="5" t="str">
        <x:v>Ventilasjonsluft m³/m²h</x:v>
      </x:c>
      <x:c r="J1" s="5" t="str">
        <x:v>SFP drift</x:v>
      </x:c>
      <x:c r="K1" s="5" t="str">
        <x:v>C normert Wh/m²K</x:v>
      </x:c>
      <x:c r="L1" s="5" t="str">
        <x:v>Varme W/m²</x:v>
      </x:c>
      <x:c r="M1" s="5" t="str">
        <x:v>UA trans/BRA W/m²K</x:v>
      </x:c>
      <x:c r="N1" s="5" t="str">
        <x:v>Kvalitet</x:v>
      </x:c>
    </x:row>
    <x:row r="2" ht="22" customHeight="1">
      <x:c r="A2" t="str">
        <x:v>Forretningsbygg</x:v>
      </x:c>
      <x:c r="B2" t="str">
        <x:v>Lite (&lt;500 m²)</x:v>
      </x:c>
      <x:c r="C2" t="n">
        <x:v>20</x:v>
      </x:c>
      <x:c r="D2" t="n">
        <x:v>227</x:v>
      </x:c>
      <x:c r="E2" t="n">
        <x:v>392.35</x:v>
      </x:c>
      <x:c r="F2" t="n">
        <x:v>0.45</x:v>
      </x:c>
      <x:c r="G2" t="n">
        <x:v>2.37</x:v>
      </x:c>
      <x:c r="H2" t="n">
        <x:v>37</x:v>
      </x:c>
      <x:c r="I2" t="n">
        <x:v>13</x:v>
      </x:c>
      <x:c r="J2" t="n">
        <x:v>2.5</x:v>
      </x:c>
      <x:c r="K2" t="n">
        <x:v>75.8</x:v>
      </x:c>
      <x:c r="L2" t="n">
        <x:v>100</x:v>
      </x:c>
      <x:c r="M2" t="n">
        <x:v>0.827</x:v>
      </x:c>
      <x:c r="N2" t="str">
        <x:v>Empirisk median fra 2015-rapporterte PDF; kun prior for simulering</x:v>
      </x:c>
    </x:row>
    <x:row r="3" ht="22" customHeight="1">
      <x:c r="A3" t="str">
        <x:v>Forretningsbygg</x:v>
      </x:c>
      <x:c r="B3" t="str">
        <x:v>Mellom (500-2499 m²)</x:v>
      </x:c>
      <x:c r="C3" t="n">
        <x:v>92</x:v>
      </x:c>
      <x:c r="D3" t="n">
        <x:v>1186</x:v>
      </x:c>
      <x:c r="E3" t="n">
        <x:v>225.65</x:v>
      </x:c>
      <x:c r="F3" t="n">
        <x:v>0.28</x:v>
      </x:c>
      <x:c r="G3" t="n">
        <x:v>1.8</x:v>
      </x:c>
      <x:c r="H3" t="n">
        <x:v>70</x:v>
      </x:c>
      <x:c r="I3" t="n">
        <x:v>13</x:v>
      </x:c>
      <x:c r="J3" t="n">
        <x:v>2</x:v>
      </x:c>
      <x:c r="K3" t="n">
        <x:v>94.1</x:v>
      </x:c>
      <x:c r="L3" t="n">
        <x:v>80</x:v>
      </x:c>
      <x:c r="M3" t="n">
        <x:v>0.541</x:v>
      </x:c>
      <x:c r="N3" t="str">
        <x:v>Empirisk median fra 2015-rapporterte PDF; kun prior for simulering</x:v>
      </x:c>
    </x:row>
    <x:row r="4" ht="22" customHeight="1">
      <x:c r="A4" t="str">
        <x:v>Forretningsbygg</x:v>
      </x:c>
      <x:c r="B4" t="str">
        <x:v>Stort (&gt;=2500 m²)</x:v>
      </x:c>
      <x:c r="C4" t="n">
        <x:v>22</x:v>
      </x:c>
      <x:c r="D4" t="n">
        <x:v>5749</x:v>
      </x:c>
      <x:c r="E4" t="n">
        <x:v>185.65</x:v>
      </x:c>
      <x:c r="F4" t="n">
        <x:v>0.28</x:v>
      </x:c>
      <x:c r="G4" t="n">
        <x:v>1.96</x:v>
      </x:c>
      <x:c r="H4" t="n">
        <x:v>74</x:v>
      </x:c>
      <x:c r="I4" t="n">
        <x:v>13</x:v>
      </x:c>
      <x:c r="J4" t="n">
        <x:v>2</x:v>
      </x:c>
      <x:c r="K4" t="n">
        <x:v>82.4</x:v>
      </x:c>
      <x:c r="L4" t="n">
        <x:v>80</x:v>
      </x:c>
      <x:c r="M4" t="n">
        <x:v>0.41</x:v>
      </x:c>
      <x:c r="N4" t="str">
        <x:v>Empirisk median fra 2015-rapporterte PDF; kun prior for simulering</x:v>
      </x:c>
    </x:row>
    <x:row r="5" ht="22" customHeight="1">
      <x:c r="A5" t="str">
        <x:v>Hoteller</x:v>
      </x:c>
      <x:c r="B5" t="str">
        <x:v>Lite (&lt;500 m²)</x:v>
      </x:c>
      <x:c r="C5" t="n">
        <x:v>6</x:v>
      </x:c>
      <x:c r="D5" t="n">
        <x:v>427</x:v>
      </x:c>
      <x:c r="E5" t="n">
        <x:v>433.2</x:v>
      </x:c>
      <x:c r="F5" t="n">
        <x:v>1.05</x:v>
      </x:c>
      <x:c r="G5" t="n">
        <x:v>1.21</x:v>
      </x:c>
      <x:c r="H5" t="n">
        <x:v>47.5</x:v>
      </x:c>
      <x:c r="I5" t="n">
        <x:v>11.25</x:v>
      </x:c>
      <x:c r="J5" t="n">
        <x:v>3.2</x:v>
      </x:c>
      <x:c r="K5" t="n">
        <x:v>64.7</x:v>
      </x:c>
      <x:c r="L5" t="n">
        <x:v>125</x:v>
      </x:c>
      <x:c r="M5" t="n">
        <x:v>1.025</x:v>
      </x:c>
      <x:c r="N5" t="str">
        <x:v>Empirisk median fra 2015-rapporterte PDF; kun prior for simulering</x:v>
      </x:c>
    </x:row>
    <x:row r="6" ht="22" customHeight="1">
      <x:c r="A6" t="str">
        <x:v>Hoteller</x:v>
      </x:c>
      <x:c r="B6" t="str">
        <x:v>Mellom (500-2499 m²)</x:v>
      </x:c>
      <x:c r="C6" t="n">
        <x:v>11</x:v>
      </x:c>
      <x:c r="D6" t="n">
        <x:v>1284</x:v>
      </x:c>
      <x:c r="E6" t="n">
        <x:v>456.2</x:v>
      </x:c>
      <x:c r="F6" t="n">
        <x:v>1.03</x:v>
      </x:c>
      <x:c r="G6" t="n">
        <x:v>2.35</x:v>
      </x:c>
      <x:c r="H6" t="n">
        <x:v>23</x:v>
      </x:c>
      <x:c r="I6" t="n">
        <x:v>10</x:v>
      </x:c>
      <x:c r="J6" t="n">
        <x:v>3.8</x:v>
      </x:c>
      <x:c r="K6" t="n">
        <x:v>58.7</x:v>
      </x:c>
      <x:c r="L6" t="n">
        <x:v>210</x:v>
      </x:c>
      <x:c r="M6" t="n">
        <x:v>1.294</x:v>
      </x:c>
      <x:c r="N6" t="str">
        <x:v>Empirisk median fra 2015-rapporterte PDF; kun prior for simulering</x:v>
      </x:c>
    </x:row>
    <x:row r="7" ht="22" customHeight="1">
      <x:c r="A7" t="str">
        <x:v>Hoteller</x:v>
      </x:c>
      <x:c r="B7" t="str">
        <x:v>Stort (&gt;=2500 m²)</x:v>
      </x:c>
      <x:c r="C7" t="n">
        <x:v>16</x:v>
      </x:c>
      <x:c r="D7" t="n">
        <x:v>6781</x:v>
      </x:c>
      <x:c r="E7" t="n">
        <x:v>271.4</x:v>
      </x:c>
      <x:c r="F7" t="n">
        <x:v>0.35</x:v>
      </x:c>
      <x:c r="G7" t="n">
        <x:v>2.02</x:v>
      </x:c>
      <x:c r="H7" t="n">
        <x:v>57</x:v>
      </x:c>
      <x:c r="I7" t="n">
        <x:v>7.2</x:v>
      </x:c>
      <x:c r="J7" t="n">
        <x:v>2.79</x:v>
      </x:c>
      <x:c r="K7" t="n">
        <x:v>69</x:v>
      </x:c>
      <x:c r="L7" t="n">
        <x:v>117</x:v>
      </x:c>
      <x:c r="M7" t="n">
        <x:v>0.53</x:v>
      </x:c>
      <x:c r="N7" t="str">
        <x:v>Empirisk median fra 2015-rapporterte PDF; kun prior for simulering</x:v>
      </x:c>
    </x:row>
    <x:row r="8" ht="22" customHeight="1">
      <x:c r="A8" t="str">
        <x:v>Kontorbygg</x:v>
      </x:c>
      <x:c r="B8" t="str">
        <x:v>Lite (&lt;500 m²)</x:v>
      </x:c>
      <x:c r="C8" t="n">
        <x:v>88</x:v>
      </x:c>
      <x:c r="D8" t="n">
        <x:v>296.5</x:v>
      </x:c>
      <x:c r="E8" t="n">
        <x:v>249.5</x:v>
      </x:c>
      <x:c r="F8" t="n">
        <x:v>0.34</x:v>
      </x:c>
      <x:c r="G8" t="n">
        <x:v>1.88</x:v>
      </x:c>
      <x:c r="H8" t="n">
        <x:v>63</x:v>
      </x:c>
      <x:c r="I8" t="n">
        <x:v>7</x:v>
      </x:c>
      <x:c r="J8" t="n">
        <x:v>2</x:v>
      </x:c>
      <x:c r="K8" t="n">
        <x:v>77.6</x:v>
      </x:c>
      <x:c r="L8" t="n">
        <x:v>80</x:v>
      </x:c>
      <x:c r="M8" t="n">
        <x:v>0.893</x:v>
      </x:c>
      <x:c r="N8" t="str">
        <x:v>Empirisk median fra 2015-rapporterte PDF; kun prior for simulering</x:v>
      </x:c>
    </x:row>
    <x:row r="9" ht="22" customHeight="1">
      <x:c r="A9" t="str">
        <x:v>Kontorbygg</x:v>
      </x:c>
      <x:c r="B9" t="str">
        <x:v>Mellom (500-2499 m²)</x:v>
      </x:c>
      <x:c r="C9" t="n">
        <x:v>185</x:v>
      </x:c>
      <x:c r="D9" t="n">
        <x:v>1136</x:v>
      </x:c>
      <x:c r="E9" t="n">
        <x:v>211.3</x:v>
      </x:c>
      <x:c r="F9" t="n">
        <x:v>0.32</x:v>
      </x:c>
      <x:c r="G9" t="n">
        <x:v>2.15</x:v>
      </x:c>
      <x:c r="H9" t="n">
        <x:v>70</x:v>
      </x:c>
      <x:c r="I9" t="n">
        <x:v>8</x:v>
      </x:c>
      <x:c r="J9" t="n">
        <x:v>2.5</x:v>
      </x:c>
      <x:c r="K9" t="n">
        <x:v>67.8</x:v>
      </x:c>
      <x:c r="L9" t="n">
        <x:v>90</x:v>
      </x:c>
      <x:c r="M9" t="n">
        <x:v>0.666</x:v>
      </x:c>
      <x:c r="N9" t="str">
        <x:v>Empirisk median fra 2015-rapporterte PDF; kun prior for simulering</x:v>
      </x:c>
    </x:row>
    <x:row r="10" ht="22" customHeight="1">
      <x:c r="A10" t="str">
        <x:v>Kontorbygg</x:v>
      </x:c>
      <x:c r="B10" t="str">
        <x:v>Stort (&gt;=2500 m²)</x:v>
      </x:c>
      <x:c r="C10" t="n">
        <x:v>95</x:v>
      </x:c>
      <x:c r="D10" t="n">
        <x:v>4153</x:v>
      </x:c>
      <x:c r="E10" t="n">
        <x:v>182.5</x:v>
      </x:c>
      <x:c r="F10" t="n">
        <x:v>0.31</x:v>
      </x:c>
      <x:c r="G10" t="n">
        <x:v>1.83</x:v>
      </x:c>
      <x:c r="H10" t="n">
        <x:v>70</x:v>
      </x:c>
      <x:c r="I10" t="n">
        <x:v>9.53</x:v>
      </x:c>
      <x:c r="J10" t="n">
        <x:v>2.51</x:v>
      </x:c>
      <x:c r="K10" t="n">
        <x:v>73.1</x:v>
      </x:c>
      <x:c r="L10" t="n">
        <x:v>93</x:v>
      </x:c>
      <x:c r="M10" t="n">
        <x:v>0.492</x:v>
      </x:c>
      <x:c r="N10" t="str">
        <x:v>Empirisk median fra 2015-rapporterte PDF; kun prior for simulering</x:v>
      </x:c>
    </x:row>
  </x:sheetData>
  <x:pageMargins left="0.7" right="0.7" top="0.75" bottom="0.75" header="0.3" footer="0.3"/>
  <x:tableParts count="1">
    <x:tablePart xmlns:r="http://schemas.openxmlformats.org/officeDocument/2006/relationships" r:id="R380924e7364a4ba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64" hidden="0" customWidth="1"/>
    <x:col min="3" max="3" width="19" hidden="0" customWidth="1"/>
    <x:col min="4" max="4" width="33" hidden="0" customWidth="1"/>
    <x:col min="5" max="5" width="62" hidden="0" customWidth="1"/>
    <x:col min="6" max="6" width="20" hidden="0" customWidth="1"/>
    <x:col min="7" max="7" width="89" hidden="0" customWidth="1"/>
  </x:cols>
  <x:sheetData>
    <x:row r="1" ht="38" customHeight="1">
      <x:c r="A1" s="5" t="str">
        <x:v>Feltnavn</x:v>
      </x:c>
      <x:c r="B1" s="5" t="str">
        <x:v>Definisjon/metode</x:v>
      </x:c>
      <x:c r="C1" s="5" t="str">
        <x:v>Enhet</x:v>
      </x:c>
      <x:c r="D1" s="5" t="str">
        <x:v>Primærkilde</x:v>
      </x:c>
      <x:c r="E1" s="5" t="str">
        <x:v>Bruksområde</x:v>
      </x:c>
      <x:c r="F1" s="5" t="str">
        <x:v>Type</x:v>
      </x:c>
      <x:c r="G1" s="5" t="str">
        <x:v>Begrensning</x:v>
      </x:c>
    </x:row>
    <x:row r="2" ht="40" customHeight="1">
      <x:c r="A2" t="str">
        <x:v>ID anonym</x:v>
      </x:c>
      <x:c r="B2" s="10" t="str">
        <x:v>Hash av attestnummer SHA256 12 hex + prefiks</x:v>
      </x:c>
      <x:c r="C2" s="10" t="str">
        <x:v>string</x:v>
      </x:c>
      <x:c r="D2" s="10" t="str">
        <x:v>ikke adresse</x:v>
      </x:c>
      <x:c r="E2" s="10" t="str">
        <x:v>Avidentifikasjon; hash er pseudonym, ikke irreversibel anonymisering</x:v>
      </x:c>
      <x:c r="F2" s="10" t="str">
        <x:v>GENERERT</x:v>
      </x:c>
      <x:c r="G2" s="10" t="str">
        <x:v>Ikke bruk som autorisasjons-ID</x:v>
      </x:c>
    </x:row>
    <x:row r="3" ht="40" customHeight="1">
      <x:c r="A3" t="str">
        <x:v>Byggeår</x:v>
      </x:c>
      <x:c r="B3" s="10" t="str">
        <x:v>Oppgitt byggeår</x:v>
      </x:c>
      <x:c r="C3" s="10" t="str">
        <x:v>år</x:v>
      </x:c>
      <x:c r="D3" s="10" t="str">
        <x:v>2015 attester</x:v>
      </x:c>
      <x:c r="E3" s="10" t="str">
        <x:v>Grunnlag for stratifikasjon</x:v>
      </x:c>
      <x:c r="F3" s="10" t="str">
        <x:v>REGISTRERT</x:v>
      </x:c>
      <x:c r="G3" s="10" t="str">
        <x:v>Ikke år for siste rehabilitering</x:v>
      </x:c>
    </x:row>
    <x:row r="4" ht="40" customHeight="1">
      <x:c r="A4" t="str">
        <x:v>Energikarakter</x:v>
      </x:c>
      <x:c r="B4" s="10" t="str">
        <x:v>Bokstav A-G</x:v>
      </x:c>
      <x:c r="C4" s="10" t="str">
        <x:v>kategori</x:v>
      </x:c>
      <x:c r="D4" s="10" t="str">
        <x:v>attest CSV/PDF</x:v>
      </x:c>
      <x:c r="E4" s="10" t="str">
        <x:v>Analyse/segmentering</x:v>
      </x:c>
      <x:c r="F4" s="10" t="str">
        <x:v>REGISTRERT</x:v>
      </x:c>
      <x:c r="G4" s="10" t="str">
        <x:v>Ikke mål på operativ varmeeffekt</x:v>
      </x:c>
    </x:row>
    <x:row r="5" ht="40" customHeight="1">
      <x:c r="A5" t="str">
        <x:v>Beregnet levert</x:v>
      </x:c>
      <x:c r="B5" s="10" t="str">
        <x:v>Beregnet levert energi</x:v>
      </x:c>
      <x:c r="C5" s="10" t="str">
        <x:v>kWh/m²år</x:v>
      </x:c>
      <x:c r="D5" s="10" t="str">
        <x:v>Attest og CSV</x:v>
      </x:c>
      <x:c r="E5" s="10" t="str">
        <x:v>Årlig plausibilitetskontroll</x:v>
      </x:c>
      <x:c r="F5" s="10" t="str">
        <x:v>BEREGNET</x:v>
      </x:c>
      <x:c r="G5" s="10" t="str">
        <x:v>Ikke målt; energikarakter er ikke regresjonsinput alene</x:v>
      </x:c>
    </x:row>
    <x:row r="6" ht="40" customHeight="1">
      <x:c r="A6" t="str">
        <x:v>BRA</x:v>
      </x:c>
      <x:c r="B6" s="10" t="str">
        <x:v>Oppvarmet bruksareal</x:v>
      </x:c>
      <x:c r="C6" s="10" t="str">
        <x:v>m²</x:v>
      </x:c>
      <x:c r="D6" s="10" t="str">
        <x:v>PDF</x:v>
      </x:c>
      <x:c r="E6" s="10" t="str">
        <x:v>Skalering til sone</x:v>
      </x:c>
      <x:c r="F6" s="10" t="str">
        <x:v>RAPPORTERT</x:v>
      </x:c>
      <x:c r="G6" s="10" t="str">
        <x:v>Kan være bygningsdel/multiple attest</x:v>
      </x:c>
    </x:row>
    <x:row r="7" ht="40" customHeight="1">
      <x:c r="A7" t="str">
        <x:v>U yttervegg/tak/gulv/vindu</x:v>
      </x:c>
      <x:c r="B7" s="10" t="str">
        <x:v>Varmegjennomgangskoeffisient</x:v>
      </x:c>
      <x:c r="C7" s="10" t="str">
        <x:v>W/(m²K)</x:v>
      </x:c>
      <x:c r="D7" s="10" t="str">
        <x:v>PDF vedlegg</x:v>
      </x:c>
      <x:c r="E7" s="10" t="str">
        <x:v>Transmisjonsberegning</x:v>
      </x:c>
      <x:c r="F7" s="10" t="str">
        <x:v>RAPPORTERT</x:v>
      </x:c>
      <x:c r="G7" s="10" t="str">
        <x:v>Vinduer kan ha andre ramme-/solfaktorer</x:v>
      </x:c>
    </x:row>
    <x:row r="8" ht="40" customHeight="1">
      <x:c r="A8" t="str">
        <x:v>Flater yttervegg/tak/gulv/vindu</x:v>
      </x:c>
      <x:c r="B8" s="10" t="str">
        <x:v>Areal i energimodell</x:v>
      </x:c>
      <x:c r="C8" s="10" t="str">
        <x:v>m²</x:v>
      </x:c>
      <x:c r="D8" s="10" t="str">
        <x:v>PDF vedlegg</x:v>
      </x:c>
      <x:c r="E8" s="10" t="str">
        <x:v>Transmisjonsberegning</x:v>
      </x:c>
      <x:c r="F8" s="10" t="str">
        <x:v>RAPPORTERT</x:v>
      </x:c>
      <x:c r="G8" s="10" t="str">
        <x:v>Klimaskjerm-geometri og grunnkontakt usikker</x:v>
      </x:c>
    </x:row>
    <x:row r="9" ht="40" customHeight="1">
      <x:c r="A9" t="str">
        <x:v>Års-HRV</x:v>
      </x:c>
      <x:c r="B9" s="10" t="str">
        <x:v>Estimert effektivitet etter frostsikring</x:v>
      </x:c>
      <x:c r="C9" s="10" t="str">
        <x:v>%</x:v>
      </x:c>
      <x:c r="D9" s="10" t="str">
        <x:v>PDF vedlegg</x:v>
      </x:c>
      <x:c r="E9" s="10" t="str">
        <x:v>Ventilasjonens varmetap</x:v>
      </x:c>
      <x:c r="F9" s="10" t="str">
        <x:v>RAPPORTERT</x:v>
      </x:c>
      <x:c r="G9" s="10" t="str">
        <x:v>Årsmiddel kan variere med temperatur</x:v>
      </x:c>
    </x:row>
    <x:row r="10" ht="40" customHeight="1">
      <x:c r="A10" t="str">
        <x:v>SFP</x:v>
      </x:c>
      <x:c r="B10" s="10" t="str">
        <x:v>Spesifikk vifteeffekt ved valgt drift</x:v>
      </x:c>
      <x:c r="C10" s="10" t="str">
        <x:v>kW/(m³/s)</x:v>
      </x:c>
      <x:c r="D10" s="10" t="str">
        <x:v>PDF vedlegg</x:v>
      </x:c>
      <x:c r="E10" s="10" t="str">
        <x:v>Ventilasjonseffekt</x:v>
      </x:c>
      <x:c r="F10" s="10" t="str">
        <x:v>RAPPORTERT</x:v>
      </x:c>
      <x:c r="G10" s="10" t="str">
        <x:v>Må brukes med volumstrøm og driftstid</x:v>
      </x:c>
    </x:row>
    <x:row r="11" ht="40" customHeight="1">
      <x:c r="A11" t="str">
        <x:v>Ventilasjonsluft</x:v>
      </x:c>
      <x:c r="B11" s="10" t="str">
        <x:v>Driftstids gjennomsnittlig luftmengde</x:v>
      </x:c>
      <x:c r="C11" s="10" t="str">
        <x:v>m³/(m² h)</x:v>
      </x:c>
      <x:c r="D11" s="10" t="str">
        <x:v>PDF vedlegg</x:v>
      </x:c>
      <x:c r="E11" s="10" t="str">
        <x:v>Ventilasjonssimulering</x:v>
      </x:c>
      <x:c r="F11" s="10" t="str">
        <x:v>RAPPORTERT</x:v>
      </x:c>
      <x:c r="G11" s="10" t="str">
        <x:v>Ikke nødvendigvis min/maks verdier</x:v>
      </x:c>
    </x:row>
    <x:row r="12" ht="40" customHeight="1">
      <x:c r="A12" t="str">
        <x:v>Systemvirkningsgrad varme</x:v>
      </x:c>
      <x:c r="B12" s="10" t="str">
        <x:v>Årsgjennomsnittlig varmevirkningsgrad</x:v>
      </x:c>
      <x:c r="C12" s="10" t="str">
        <x:v>%</x:v>
      </x:c>
      <x:c r="D12" s="10" t="str">
        <x:v>PDF vedlegg</x:v>
      </x:c>
      <x:c r="E12" s="10" t="str">
        <x:v>Energikonvertering</x:v>
      </x:c>
      <x:c r="F12" s="10" t="str">
        <x:v>RAPPORTERT</x:v>
      </x:c>
      <x:c r="G12" s="10" t="str">
        <x:v>Ikke COP og ikke per time</x:v>
      </x:c>
    </x:row>
    <x:row r="13" ht="40" customHeight="1">
      <x:c r="A13" t="str">
        <x:v>Varme W/m²</x:v>
      </x:c>
      <x:c r="B13" s="10" t="str">
        <x:v>Oppgitt installert effekt for rom + ventilasjonsvarme</x:v>
      </x:c>
      <x:c r="C13" s="10" t="str">
        <x:v>W/m²</x:v>
      </x:c>
      <x:c r="D13" s="10" t="str">
        <x:v>PDF vedlegg</x:v>
      </x:c>
      <x:c r="E13" s="10" t="str">
        <x:v>Dimensjoneringsreferanse</x:v>
      </x:c>
      <x:c r="F13" s="10" t="str">
        <x:v>RAPPORTERT</x:v>
      </x:c>
      <x:c r="G13" s="10" t="str">
        <x:v>Ikke øyeblikkelig faktisk effekt</x:v>
      </x:c>
    </x:row>
    <x:row r="14" ht="40" customHeight="1">
      <x:c r="A14" t="str">
        <x:v>Normert varmekapasitet</x:v>
      </x:c>
      <x:c r="B14" s="10" t="str">
        <x:v>Termisk varmelager per BRA</x:v>
      </x:c>
      <x:c r="C14" s="10" t="str">
        <x:v>Wh/(m² K)</x:v>
      </x:c>
      <x:c r="D14" s="10" t="str">
        <x:v>PDF vedlegg</x:v>
      </x:c>
      <x:c r="E14" s="10" t="str">
        <x:v>RC-startkapasitet</x:v>
      </x:c>
      <x:c r="F14" s="10" t="str">
        <x:v>RAPPORTERT</x:v>
      </x:c>
      <x:c r="G14" s="10" t="str">
        <x:v>Dynamisk respons krever sensordata</x:v>
      </x:c>
    </x:row>
    <x:row r="15" ht="40" customHeight="1">
      <x:c r="A15" t="str">
        <x:v>Lekkasjetall</x:v>
      </x:c>
      <x:c r="B15" s="10" t="str">
        <x:v>n50 fra standardtest/innlagte data</x:v>
      </x:c>
      <x:c r="C15" s="10" t="str">
        <x:v>1/h</x:v>
      </x:c>
      <x:c r="D15" s="10" t="str">
        <x:v>PDF vedlegg</x:v>
      </x:c>
      <x:c r="E15" s="10" t="str">
        <x:v>Kun kontekst, ikke direkte infiltrasjon</x:v>
      </x:c>
      <x:c r="F15" s="10" t="str">
        <x:v>RAPPORTERT</x:v>
      </x:c>
      <x:c r="G15" s="10" t="str">
        <x:v>Trykkavhengig; krever konvertering</x:v>
      </x:c>
    </x:row>
    <x:row r="16" ht="40" customHeight="1">
      <x:c r="A16" t="str">
        <x:v>Tiltak flagg</x:v>
      </x:c>
      <x:c r="B16" s="10" t="str">
        <x:v>Tiltak omtalt i PDF-vedlegget</x:v>
      </x:c>
      <x:c r="C16" s="10" t="str">
        <x:v>0/1/tomt</x:v>
      </x:c>
      <x:c r="D16" s="10" t="str">
        <x:v>Teksttreff fra tiltak_structured</x:v>
      </x:c>
      <x:c r="E16" s="10" t="str">
        <x:v>Prioritere parameteranalyse</x:v>
      </x:c>
      <x:c r="F16" s="10" t="str">
        <x:v>MASKINLÆST</x:v>
      </x:c>
      <x:c r="G16" s="10" t="str">
        <x:v>1 betyr omtalt/anbefalt, IKKE installert; 0 betyr ikke funnet; tomt ingen tiltakfelt</x:v>
      </x:c>
    </x:row>
    <x:row r="17" ht="40" customHeight="1">
      <x:c r="A17" t="str">
        <x:v>UA transmisjon</x:v>
      </x:c>
      <x:c r="B17" s="10" t="str">
        <x:v>Sum U×A for 4 flater</x:v>
      </x:c>
      <x:c r="C17" s="10" t="str">
        <x:v>W/K</x:v>
      </x:c>
      <x:c r="D17" s="10" t="str">
        <x:v>Excel-formel</x:v>
      </x:c>
      <x:c r="E17" s="10" t="str">
        <x:v>Klimaskall-proxy</x:v>
      </x:c>
      <x:c r="F17" s="10" t="str">
        <x:v>AVLEDET</x:v>
      </x:c>
      <x:c r="G17" s="10" t="str">
        <x:v>Ikke kuldebro, infiltrasjon eller ventilasjon; gulv mot grunn grovt</x:v>
      </x:c>
    </x:row>
    <x:row r="18" ht="40" customHeight="1">
      <x:c r="A18" t="str">
        <x:v>UA/BRA</x:v>
      </x:c>
      <x:c r="B18" s="10" t="str">
        <x:v>UA transmisjon delt på BRA</x:v>
      </x:c>
      <x:c r="C18" s="10" t="str">
        <x:v>W/(m²K)</x:v>
      </x:c>
      <x:c r="D18" s="10" t="str">
        <x:v>Excel-formel</x:v>
      </x:c>
      <x:c r="E18" s="10" t="str">
        <x:v>Skaleringskontroll</x:v>
      </x:c>
      <x:c r="F18" s="10" t="str">
        <x:v>AVLEDET</x:v>
      </x:c>
      <x:c r="G18" s="10" t="str">
        <x:v>Et grovt mål på varmetapsflate vs areal</x:v>
      </x:c>
    </x:row>
    <x:row r="19" ht="40" customHeight="1">
      <x:c r="A19" t="str">
        <x:v>C effektiv</x:v>
      </x:c>
      <x:c r="B19" s="10" t="str">
        <x:v>Normert varmekapasitet × BRA × 3600</x:v>
      </x:c>
      <x:c r="C19" s="10" t="str">
        <x:v>J/K</x:v>
      </x:c>
      <x:c r="D19" s="10" t="str">
        <x:v>Excel-formel</x:v>
      </x:c>
      <x:c r="E19" s="10" t="str">
        <x:v>Dynamisk modell-prior</x:v>
      </x:c>
      <x:c r="F19" s="10" t="str">
        <x:v>AVLEDET</x:v>
      </x:c>
      <x:c r="G19" s="10" t="str">
        <x:v>Hele bygg; fordeling på 3 soner er antakelse</x:v>
      </x:c>
    </x:row>
    <x:row r="20" ht="40" customHeight="1">
      <x:c r="A20" t="str">
        <x:v>Varmeeffekt W</x:v>
      </x:c>
      <x:c r="B20" s="10" t="str">
        <x:v>Installert effekt W/m² × BRA</x:v>
      </x:c>
      <x:c r="C20" s="10" t="str">
        <x:v>W</x:v>
      </x:c>
      <x:c r="D20" s="10" t="str">
        <x:v>Excel-formel</x:v>
      </x:c>
      <x:c r="E20" s="10" t="str">
        <x:v>Effektramme</x:v>
      </x:c>
      <x:c r="F20" s="10" t="str">
        <x:v>AVLEDET</x:v>
      </x:c>
      <x:c r="G20" s="10" t="str">
        <x:v>Dekker også ventilasjonsvarme</x:v>
      </x:c>
    </x:row>
    <x:row r="21" ht="40" customHeight="1">
      <x:c r="A21" t="str">
        <x:v>Pearson r</x:v>
      </x:c>
      <x:c r="B21" s="10" t="str">
        <x:v>Korrelasjon beregnet på hele PDF-utvalget</x:v>
      </x:c>
      <x:c r="C21" s="10" t="str">
        <x:v>-1..1</x:v>
      </x:c>
      <x:c r="D21" s="10" t="str">
        <x:v>Analyse</x:v>
      </x:c>
      <x:c r="E21" s="10" t="str">
        <x:v>Utforsk sammenhenger</x:v>
      </x:c>
      <x:c r="F21" s="10" t="str">
        <x:v>BEREGNET</x:v>
      </x:c>
      <x:c r="G21" s="10" t="str">
        <x:v>Ingen kausalitet; confounding, 2015-only</x:v>
      </x:c>
    </x:row>
    <x:row r="22" ht="40" customHeight="1">
      <x:c r="A22" t="str">
        <x:v>Årspercentiler</x:v>
      </x:c>
      <x:c r="B22" s="10" t="str">
        <x:v>Percentiler av CSV-verdi etter filter 10..1200</x:v>
      </x:c>
      <x:c r="C22" s="10" t="str">
        <x:v>kWh/m²år</x:v>
      </x:c>
      <x:c r="D22" s="10" t="str">
        <x:v>Årsfiler</x:v>
      </x:c>
      <x:c r="E22" s="10" t="str">
        <x:v>Sammenlign med lignende attest-år/kategori/bokstav</x:v>
      </x:c>
      <x:c r="F22" s="10" t="str">
        <x:v>BEREGNET</x:v>
      </x:c>
      <x:c r="G22" s="10" t="str">
        <x:v>Over/under filter ekskludert; antall vises</x:v>
      </x:c>
    </x:row>
    <x:row r="23" ht="40" customHeight="1">
      <x:c r="A23" t="str">
        <x:v>Datamangel</x:v>
      </x:c>
      <x:c r="B23" s="10" t="str">
        <x:v>Blank er ukjent/ikke dokumentert</x:v>
      </x:c>
      <x:c r="C23" s="10" t="str">
        <x:v>—</x:v>
      </x:c>
      <x:c r="D23" s="10" t="str">
        <x:v>Alle kilder</x:v>
      </x:c>
      <x:c r="E23" s="10" t="str">
        <x:v>Behold null som null</x:v>
      </x:c>
      <x:c r="F23" s="10" t="str">
        <x:v>QA</x:v>
      </x:c>
      <x:c r="G23" s="10" t="str">
        <x:v>Ingen imputering av ukjente U-verdier eller effekt</x:v>
      </x:c>
    </x:row>
  </x:sheetData>
  <x:pageMargins left="0.7" right="0.7" top="0.75" bottom="0.75" header="0.3" footer="0.3"/>
  <x:tableParts count="1">
    <x:tablePart xmlns:r="http://schemas.openxmlformats.org/officeDocument/2006/relationships" r:id="R2dfeba3ce8f440d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1" hidden="0" customWidth="1"/>
    <x:col min="12" max="12" width="86" hidden="0" customWidth="1"/>
  </x:cols>
  <x:sheetData>
    <x:row r="1" ht="38" customHeight="1">
      <x:c r="A1" s="5" t="str">
        <x:v>Sone</x:v>
      </x:c>
      <x:c r="B1" s="5" t="str">
        <x:v>Areal m²</x:v>
      </x:c>
      <x:c r="C1" s="5" t="str">
        <x:v>UA repo (W/K)</x:v>
      </x:c>
      <x:c r="D1" s="5" t="str">
        <x:v>C repo (J/K)</x:v>
      </x:c>
      <x:c r="E1" s="5" t="str">
        <x:v>Varme repo (W)</x:v>
      </x:c>
      <x:c r="F1" s="5" t="str">
        <x:v>Eff repo</x:v>
      </x:c>
      <x:c r="G1" s="5" t="str">
        <x:v>UA empirisk (W/K)</x:v>
      </x:c>
      <x:c r="H1" s="5" t="str">
        <x:v>C empirisk (J/K)</x:v>
      </x:c>
      <x:c r="I1" s="5" t="str">
        <x:v>Varme empirisk (W)</x:v>
      </x:c>
      <x:c r="J1" s="5" t="str">
        <x:v>Eff empirisk</x:v>
      </x:c>
      <x:c r="K1" s="5" t="str">
        <x:v>Status</x:v>
      </x:c>
      <x:c r="L1" s="5" t="str">
        <x:v>Datakilde/merknad</x:v>
      </x:c>
    </x:row>
    <x:row r="2" ht="22" customHeight="1">
      <x:c r="A2" t="str">
        <x:v>ZONE-01</x:v>
      </x:c>
      <x:c r="B2" t="n">
        <x:v>120</x:v>
      </x:c>
      <x:c r="C2" t="n">
        <x:v>110</x:v>
      </x:c>
      <x:c r="D2" t="n">
        <x:v>6000000</x:v>
      </x:c>
      <x:c r="E2" t="n">
        <x:v>9000</x:v>
      </x:c>
      <x:c r="F2" t="n">
        <x:v>0.95</x:v>
      </x:c>
      <x:c r="G2" t="n">
        <x:v>77.4</x:v>
      </x:c>
      <x:c r="H2" t="n">
        <x:v>31147200</x:v>
      </x:c>
      <x:c r="I2" t="n">
        <x:v>10800</x:v>
      </x:c>
      <x:c r="J2" t="n">
        <x:v>0.9</x:v>
      </x:c>
      <x:c r="K2" t="str">
        <x:v>EMPIRISK PRIOR – IKKE KALIBRERT</x:v>
      </x:c>
      <x:c r="L2" t="str">
        <x:v>Attest 2015 kontor; median av komplette felt, tilpasset soneareal</x:v>
      </x:c>
    </x:row>
    <x:row r="3" ht="22" customHeight="1">
      <x:c r="A3" t="str">
        <x:v>ZONE-02</x:v>
      </x:c>
      <x:c r="B3" t="n">
        <x:v>90</x:v>
      </x:c>
      <x:c r="C3" t="n">
        <x:v>85</x:v>
      </x:c>
      <x:c r="D3" t="n">
        <x:v>4500000</x:v>
      </x:c>
      <x:c r="E3" t="n">
        <x:v>7000</x:v>
      </x:c>
      <x:c r="F3" t="n">
        <x:v>0.95</x:v>
      </x:c>
      <x:c r="G3" t="n">
        <x:v>58</x:v>
      </x:c>
      <x:c r="H3" t="n">
        <x:v>23360400</x:v>
      </x:c>
      <x:c r="I3" t="n">
        <x:v>8100</x:v>
      </x:c>
      <x:c r="J3" t="n">
        <x:v>0.9</x:v>
      </x:c>
      <x:c r="K3" t="str">
        <x:v>EMPIRISK PRIOR – IKKE KALIBRERT</x:v>
      </x:c>
      <x:c r="L3" t="str">
        <x:v>Attest 2015 kontor; median av komplette felt, tilpasset soneareal</x:v>
      </x:c>
    </x:row>
    <x:row r="4" ht="22" customHeight="1">
      <x:c r="A4" t="str">
        <x:v>ZONE-03</x:v>
      </x:c>
      <x:c r="B4" t="n">
        <x:v>60</x:v>
      </x:c>
      <x:c r="C4" t="n">
        <x:v>70</x:v>
      </x:c>
      <x:c r="D4" t="n">
        <x:v>3000000</x:v>
      </x:c>
      <x:c r="E4" t="n">
        <x:v>5000</x:v>
      </x:c>
      <x:c r="F4" t="n">
        <x:v>0.95</x:v>
      </x:c>
      <x:c r="G4" t="n">
        <x:v>38.7</x:v>
      </x:c>
      <x:c r="H4" t="n">
        <x:v>15573600</x:v>
      </x:c>
      <x:c r="I4" t="n">
        <x:v>5400</x:v>
      </x:c>
      <x:c r="J4" t="n">
        <x:v>0.9</x:v>
      </x:c>
      <x:c r="K4" t="str">
        <x:v>EMPIRISK PRIOR – IKKE KALIBRERT</x:v>
      </x:c>
      <x:c r="L4" t="str">
        <x:v>Attest 2015 kontor; median av komplette felt, tilpasset soneareal</x:v>
      </x:c>
    </x:row>
  </x:sheetData>
  <x:pageMargins left="0.7" right="0.7" top="0.75" bottom="0.75" header="0.3" footer="0.3"/>
  <x:tableParts count="1">
    <x:tablePart xmlns:r="http://schemas.openxmlformats.org/officeDocument/2006/relationships" r:id="R6ed304a386084647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4" hidden="0" customWidth="1"/>
    <x:col min="3" max="3" width="88" hidden="0" customWidth="1"/>
  </x:cols>
  <x:sheetData>
    <x:row r="1" ht="38" customHeight="1">
      <x:c r="A1" s="5" t="str">
        <x:v>Kontroll</x:v>
      </x:c>
      <x:c r="B1" s="5" t="str">
        <x:v>Resultat</x:v>
      </x:c>
      <x:c r="C1" s="5" t="str">
        <x:v>Hva betyr det?</x:v>
      </x:c>
    </x:row>
    <x:row r="2" ht="22" customHeight="1">
      <x:c r="A2" t="str">
        <x:v>PDF 2015 antall</x:v>
      </x:c>
      <x:c r="B2" t="n">
        <x:v>536</x:v>
      </x:c>
      <x:c r="C2" t="str">
        <x:v>Alle fra eksisterende JSON-eksport, ingen nye PDF-er hentet</x:v>
      </x:c>
    </x:row>
    <x:row r="3" ht="22" customHeight="1">
      <x:c r="A3" t="str">
        <x:v>PDF 2015 med alle fire U+flater</x:v>
      </x:c>
      <x:c r="B3" t="n">
        <x:v>487</x:v>
      </x:c>
      <x:c r="C3" t="str">
        <x:v>Kan regne enkel UA-transmisjon</x:v>
      </x:c>
    </x:row>
    <x:row r="4" ht="22" customHeight="1">
      <x:c r="A4" t="str">
        <x:v>PDF 2015 med varmegjenvinning årsjustert</x:v>
      </x:c>
      <x:c r="B4" t="n">
        <x:v>487</x:v>
      </x:c>
      <x:c r="C4" t="str">
        <x:v>Ikke målt HRV, antagelig modellert</x:v>
      </x:c>
    </x:row>
    <x:row r="5" ht="22" customHeight="1">
      <x:c r="A5" t="str">
        <x:v>PDF 2015 med varmekapasitet</x:v>
      </x:c>
      <x:c r="B5" t="n">
        <x:v>487</x:v>
      </x:c>
      <x:c r="C5" t="str">
        <x:v>Wh/(m²K)</x:v>
      </x:c>
    </x:row>
    <x:row r="6" ht="22" customHeight="1">
      <x:c r="A6" t="str">
        <x:v>PDF 2015 med driftstid ventilasjon</x:v>
      </x:c>
      <x:c r="B6" t="n">
        <x:v>462</x:v>
      </x:c>
      <x:c r="C6" t="str">
        <x:v>Timer per døgn</x:v>
      </x:c>
    </x:row>
    <x:row r="7" ht="22" customHeight="1">
      <x:c r="A7" t="str">
        <x:v>PDF 2015 med registrerte tiltakfelt</x:v>
      </x:c>
      <x:c r="B7" t="n">
        <x:v>442</x:v>
      </x:c>
      <x:c r="C7" t="str">
        <x:v>Teksttreff kan være ufullstendige</x:v>
      </x:c>
    </x:row>
    <x:row r="8" ht="22" customHeight="1">
      <x:c r="A8" t="str">
        <x:v>PDF 2015 med målt_energi_kwh</x:v>
      </x:c>
      <x:c r="B8" t="n">
        <x:v>0</x:v>
      </x:c>
      <x:c r="C8" t="str">
        <x:v>VIKTIG: 0. Alt årsenergiforbruk er beregnet</x:v>
      </x:c>
    </x:row>
    <x:row r="9" ht="22" customHeight="1">
      <x:c r="A9" t="str">
        <x:v>2015 CSV totalt</x:v>
      </x:c>
      <x:c r="B9" t="n">
        <x:v>85003</x:v>
      </x:c>
      <x:c r="C9" t="str">
        <x:v>Rådatakilde; alle byggkategorier</x:v>
      </x:c>
    </x:row>
    <x:row r="10" ht="22" customHeight="1">
      <x:c r="A10" t="str">
        <x:v>2016 CSV totalt</x:v>
      </x:c>
      <x:c r="B10" t="n">
        <x:v>86683</x:v>
      </x:c>
      <x:c r="C10" t="str">
        <x:v>Rådatakilde; alle byggkategorier</x:v>
      </x:c>
    </x:row>
    <x:row r="11" ht="22" customHeight="1">
      <x:c r="A11" t="str">
        <x:v>2025 CSV totalt</x:v>
      </x:c>
      <x:c r="B11" t="n">
        <x:v>100719</x:v>
      </x:c>
      <x:c r="C11" t="str">
        <x:v>Rådatakilde; alle byggkategorier</x:v>
      </x:c>
    </x:row>
    <x:row r="12" ht="22" customHeight="1">
      <x:c r="A12" t="str">
        <x:v>Kohort/gradering grupper</x:v>
      </x:c>
      <x:c r="B12" t="n">
        <x:v>252</x:v>
      </x:c>
      <x:c r="C12" t="str">
        <x:v>År+bygningskategori+energikarakter</x:v>
      </x:c>
    </x:row>
    <x:row r="13" ht="22" customHeight="1">
      <x:c r="A13" t="str">
        <x:v>Anonymisert stratifisert prøve</x:v>
      </x:c>
      <x:c r="B13" t="n">
        <x:v>1172</x:v>
      </x:c>
      <x:c r="C13" t="str">
        <x:v>Maks fem tilfeldige attest-eksempler per gruppe; kun råfil-felt</x:v>
      </x:c>
    </x:row>
    <x:row r="14" ht="22" customHeight="1">
      <x:c r="A14" t="str">
        <x:v>2025 skjema/attest-ID</x:v>
      </x:c>
      <x:c r="B14" t="str">
        <x:v>nyere format</x:v>
      </x:c>
      <x:c r="C14" t="str">
        <x:v>Kan ikke blande direkte med A2015-identifikator</x:v>
      </x:c>
    </x:row>
    <x:row r="15" ht="22" customHeight="1">
      <x:c r="A15" t="str">
        <x:v>Fysisk OT-kalibrert</x:v>
      </x:c>
      <x:c r="B15" t="str">
        <x:v>Nei</x:v>
      </x:c>
      <x:c r="C15" t="str">
        <x:v>Mangler tidsserier og fysisk verifikasjon</x:v>
      </x:c>
    </x:row>
    <x:row r="16" ht="22" customHeight="1">
      <x:c r="A16" t="str">
        <x:v>Tiltaksbeskrivelser</x:v>
      </x:c>
      <x:c r="B16" t="str">
        <x:v>teksttreff</x:v>
      </x:c>
      <x:c r="C16" t="str">
        <x:v>Tiltak omtalt; ikke bevist utført</x:v>
      </x:c>
    </x:row>
    <x:row r="17" ht="22" customHeight="1">
      <x:c r="A17" t="str">
        <x:v>Kommune, geografi</x:v>
      </x:c>
      <x:c r="B17" t="str">
        <x:v>utelatt fra eksport</x:v>
      </x:c>
      <x:c r="C17" t="str">
        <x:v>Klimatiske forskyvninger kan påvirke alle korrelasjoner</x:v>
      </x:c>
    </x:row>
  </x:sheetData>
  <x:pageMargins left="0.7" right="0.7" top="0.75" bottom="0.75" header="0.3" footer="0.3"/>
  <x:tableParts count="1">
    <x:tablePart xmlns:r="http://schemas.openxmlformats.org/officeDocument/2006/relationships" r:id="Rd65eb7509168435e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2" hidden="0" customWidth="1"/>
    <x:col min="3" max="3" width="75" hidden="0" customWidth="1"/>
    <x:col min="4" max="4" width="80" hidden="0" customWidth="1"/>
    <x:col min="5" max="5" width="40" hidden="0" customWidth="1"/>
  </x:cols>
  <x:sheetData>
    <x:row r="1" ht="38" customHeight="1">
      <x:c r="A1" s="5" t="str">
        <x:v>Tema</x:v>
      </x:c>
      <x:c r="B1" s="5" t="str">
        <x:v>Fra energiattest</x:v>
      </x:c>
      <x:c r="C1" s="5" t="str">
        <x:v>Ekstra data som må måles</x:v>
      </x:c>
      <x:c r="D1" s="5" t="str">
        <x:v>Viktig forbehold</x:v>
      </x:c>
      <x:c r="E1" s="5" t="str">
        <x:v>Kilde</x:v>
      </x:c>
    </x:row>
    <x:row r="2" ht="48" customHeight="1">
      <x:c r="A2" t="str">
        <x:v>Ventilasjon – varmegjenvinning</x:v>
      </x:c>
      <x:c r="B2" s="10" t="str">
        <x:v>Oppgitt årlig gjenvinningsgrad, SFP, luftmengde og driftstid</x:v>
      </x:c>
      <x:c r="C2" s="10" t="str">
        <x:v>Kontroller faktisk tilluft/avtrekk, vifteenergi, varmegjenvinningsbypass og avising</x:v>
      </x:c>
      <x:c r="D2" s="10" t="str">
        <x:v>Funn i attestvedlegg kan være anbefaling, ikke installasjon</x:v>
      </x:c>
      <x:c r="E2" s="10" t="str">
        <x:v>PDF-bygg/Thesis Varsi</x:v>
      </x:c>
    </x:row>
    <x:row r="3" ht="48" customHeight="1">
      <x:c r="A3" t="str">
        <x:v>Ventilasjon – behovsstyring</x:v>
      </x:c>
      <x:c r="B3" s="10" t="str">
        <x:v>Gjennomsnitt luftmengde og h/døgn</x:v>
      </x:c>
      <x:c r="C3" s="10" t="str">
        <x:v>Mål CO₂, tilstedeværelse, VAV-spjeld og driftstid</x:v>
      </x:c>
      <x:c r="D3" s="10" t="str">
        <x:v>Ikke senk luftmengde uten dokumentert inneklimakrav</x:v>
      </x:c>
      <x:c r="E3" s="10" t="str">
        <x:v>PDF-bygg</x:v>
      </x:c>
    </x:row>
    <x:row r="4" ht="48" customHeight="1">
      <x:c r="A4" t="str">
        <x:v>Varmepumpe</x:v>
      </x:c>
      <x:c r="B4" s="10" t="str">
        <x:v>Systemvirkningsgrad, varmekilde, varmeeffekt W/m²</x:v>
      </x:c>
      <x:c r="C4" s="10" t="str">
        <x:v>Mål elektrisk effekt, leverte kWh varme, tur/returtemp, avrimingsstatus</x:v>
      </x:c>
      <x:c r="D4" s="10" t="str">
        <x:v>Årlig virkningsgrad er ikke COP i sanntid</x:v>
      </x:c>
      <x:c r="E4" s="10" t="str">
        <x:v>PDF-bygg/Thesis Varsi</x:v>
      </x:c>
    </x:row>
    <x:row r="5" ht="48" customHeight="1">
      <x:c r="A5" t="str">
        <x:v>Klimaskall – vinduer</x:v>
      </x:c>
      <x:c r="B5" s="10" t="str">
        <x:v>U-vindu × vindusareal</x:v>
      </x:c>
      <x:c r="C5" s="10" t="str">
        <x:v>Sjekk sol/skygge, glassandel og infiltrasjon rundt karm</x:v>
      </x:c>
      <x:c r="D5" s="10" t="str">
        <x:v>Bytte kan påvirke både oppvarming, solvarme og kjøling</x:v>
      </x:c>
      <x:c r="E5" s="10" t="str">
        <x:v>PDF-bygg/Thesis Varsi</x:v>
      </x:c>
    </x:row>
    <x:row r="6" ht="48" customHeight="1">
      <x:c r="A6" t="str">
        <x:v>Klimaskall – tak/vegg</x:v>
      </x:c>
      <x:c r="B6" s="10" t="str">
        <x:v>U-verdi × relevant flate</x:v>
      </x:c>
      <x:c r="C6" s="10" t="str">
        <x:v>Kontroller siste rehabilitering, fukt og lokale kuldebroer</x:v>
      </x:c>
      <x:c r="D6" s="10" t="str">
        <x:v>Ikke anta forbedring uten oppdatert bygningsdel</x:v>
      </x:c>
      <x:c r="E6" s="10" t="str">
        <x:v>PDF-bygg/Thesis Varsi</x:v>
      </x:c>
    </x:row>
    <x:row r="7" ht="48" customHeight="1">
      <x:c r="A7" t="str">
        <x:v>Belysning</x:v>
      </x:c>
      <x:c r="B7" s="10" t="str">
        <x:v>W/m² og driftstimer</x:v>
      </x:c>
      <x:c r="C7" s="10" t="str">
        <x:v>Mål belysningens effekt, styringssignaler og sonetilstedeværelse</x:v>
      </x:c>
      <x:c r="D7" s="10" t="str">
        <x:v>Separér spart lysenergi fra endret oppvarmingsbehov</x:v>
      </x:c>
      <x:c r="E7" s="10" t="str">
        <x:v>PDF-bygg</x:v>
      </x:c>
    </x:row>
    <x:row r="8" ht="48" customHeight="1">
      <x:c r="A8" t="str">
        <x:v>Energioppfølging</x:v>
      </x:c>
      <x:c r="B8" s="10" t="str">
        <x:v>Beregnet kWh/m²år og driftsprofiler</x:v>
      </x:c>
      <x:c r="C8" s="10" t="str">
        <x:v>Etabler målte strøm-/varmeserier, avvik og normalår</x:v>
      </x:c>
      <x:c r="D8" s="10" t="str">
        <x:v>Årlig attestverdi er en sammenligning, ikke målte besparelser</x:v>
      </x:c>
      <x:c r="E8" s="10" t="str">
        <x:v>PDF-bygg</x:v>
      </x:c>
    </x:row>
    <x:row r="9" ht="48" customHeight="1">
      <x:c r="A9" t="str">
        <x:v>Vannbåren distribusjon</x:v>
      </x:c>
      <x:c r="B9" s="10" t="str">
        <x:v>— ikke vanligvis i CSV</x:v>
      </x:c>
      <x:c r="C9" s="10" t="str">
        <x:v>Tur-returtemp, isolasjon, tap i teknisk rom, sirkulasjonspumper</x:v>
      </x:c>
      <x:c r="D9" s="10" t="str">
        <x:v>3-rør/5-rør-resultater fra én mastercase må ikke overføres direkte</x:v>
      </x:c>
      <x:c r="E9" s="10" t="str">
        <x:v>Kulvik 2019</x:v>
      </x:c>
    </x:row>
    <x:row r="10" ht="48" customHeight="1">
      <x:c r="A10" t="str">
        <x:v>Material/termisk treghet</x:v>
      </x:c>
      <x:c r="B10" s="10" t="str">
        <x:v>Varmekapasitet Wh/(m²K)</x:v>
      </x:c>
      <x:c r="C10" s="10" t="str">
        <x:v>Mål avkjølingskurver for å identifisere C og luftlekkasje</x:v>
      </x:c>
      <x:c r="D10" s="10" t="str">
        <x:v>Kun varmekapasitet i attesten gir ikke verifisert tidskonstant</x:v>
      </x:c>
      <x:c r="E10" s="10" t="str">
        <x:v>PDF-bygg/Varsi 2024</x:v>
      </x:c>
    </x:row>
  </x:sheetData>
  <x:pageMargins left="0.7" right="0.7" top="0.75" bottom="0.75" header="0.3" footer="0.3"/>
  <x:tableParts count="1">
    <x:tablePart xmlns:r="http://schemas.openxmlformats.org/officeDocument/2006/relationships" r:id="R44a46c4c2f48495d"/>
  </x:tableParts>
</x:worksheet>
</file>